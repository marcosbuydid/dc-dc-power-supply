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rcosbuydid/Desktop/"/>
    </mc:Choice>
  </mc:AlternateContent>
  <xr:revisionPtr revIDLastSave="0" documentId="13_ncr:1_{CC704F88-B6CC-244D-8465-92E2462F5278}" xr6:coauthVersionLast="47" xr6:coauthVersionMax="47" xr10:uidLastSave="{00000000-0000-0000-0000-000000000000}"/>
  <bookViews>
    <workbookView xWindow="0" yWindow="500" windowWidth="16380" windowHeight="8200" tabRatio="500" xr2:uid="{00000000-000D-0000-FFFF-FFFF00000000}"/>
  </bookViews>
  <sheets>
    <sheet name="Summary" sheetId="1" r:id="rId1"/>
    <sheet name="Changes" sheetId="2" r:id="rId2"/>
    <sheet name="Enhancements" sheetId="3" r:id="rId3"/>
    <sheet name="Test Cases" sheetId="4" r:id="rId4"/>
    <sheet name="Unit Tests" sheetId="5" r:id="rId5"/>
    <sheet name="ADC Parity" sheetId="6" r:id="rId6"/>
    <sheet name="Stability Tests" sheetId="7" r:id="rId7"/>
    <sheet name="LCD Scenarios" sheetId="8" r:id="rId8"/>
    <sheet name="Findings" sheetId="9" r:id="rId9"/>
    <sheet name="Memory &amp; Timing" sheetId="10" r:id="rId10"/>
    <sheet name="Bench Test Plan" sheetId="11" r:id="rId11"/>
    <sheet name="Voltage Accuracy" sheetId="12" r:id="rId12"/>
    <sheet name="Method" sheetId="13" r:id="rId13"/>
  </sheets>
  <definedNames>
    <definedName name="_xlnm._FilterDatabase" localSheetId="5" hidden="1">'ADC Parity'!$A$4:$O$1028</definedName>
    <definedName name="_xlnm._FilterDatabase" localSheetId="1" hidden="1">Changes!$A$4:$G$27</definedName>
    <definedName name="_xlnm._FilterDatabase" localSheetId="3" hidden="1">'Test Cases'!$A$4:$I$105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2" i="12" l="1"/>
  <c r="G42" i="12"/>
  <c r="F42" i="12"/>
  <c r="E42" i="12"/>
  <c r="H41" i="12"/>
  <c r="G41" i="12"/>
  <c r="F41" i="12"/>
  <c r="E41" i="12"/>
  <c r="H40" i="12"/>
  <c r="G40" i="12"/>
  <c r="F40" i="12"/>
  <c r="E40" i="12"/>
  <c r="F39" i="12"/>
  <c r="E39" i="12"/>
  <c r="D39" i="12"/>
  <c r="C39" i="12"/>
  <c r="H39" i="12" s="1"/>
  <c r="H38" i="12"/>
  <c r="G38" i="12"/>
  <c r="F38" i="12"/>
  <c r="E38" i="12"/>
  <c r="B34" i="12"/>
  <c r="B33" i="12"/>
  <c r="B24" i="12"/>
  <c r="B23" i="12"/>
  <c r="H19" i="12"/>
  <c r="E19" i="12"/>
  <c r="F19" i="12" s="1"/>
  <c r="J19" i="12" s="1"/>
  <c r="D19" i="12"/>
  <c r="G19" i="12" s="1"/>
  <c r="H18" i="12"/>
  <c r="F18" i="12"/>
  <c r="J18" i="12" s="1"/>
  <c r="E18" i="12"/>
  <c r="D18" i="12"/>
  <c r="I18" i="12" s="1"/>
  <c r="I17" i="12"/>
  <c r="H17" i="12"/>
  <c r="G17" i="12"/>
  <c r="F17" i="12"/>
  <c r="J17" i="12" s="1"/>
  <c r="E17" i="12"/>
  <c r="D17" i="12"/>
  <c r="I16" i="12"/>
  <c r="H16" i="12"/>
  <c r="F16" i="12"/>
  <c r="J16" i="12" s="1"/>
  <c r="E16" i="12"/>
  <c r="D16" i="12"/>
  <c r="H15" i="12"/>
  <c r="I15" i="12" s="1"/>
  <c r="E15" i="12"/>
  <c r="F15" i="12" s="1"/>
  <c r="D15" i="12"/>
  <c r="H14" i="12"/>
  <c r="F14" i="12"/>
  <c r="E14" i="12"/>
  <c r="D14" i="12"/>
  <c r="I14" i="12" s="1"/>
  <c r="I13" i="12"/>
  <c r="H13" i="12"/>
  <c r="F13" i="12"/>
  <c r="G13" i="12" s="1"/>
  <c r="E13" i="12"/>
  <c r="D13" i="12"/>
  <c r="I12" i="12"/>
  <c r="H12" i="12"/>
  <c r="E12" i="12"/>
  <c r="F12" i="12" s="1"/>
  <c r="J12" i="12" s="1"/>
  <c r="D12" i="12"/>
  <c r="H11" i="12"/>
  <c r="E11" i="12"/>
  <c r="F11" i="12" s="1"/>
  <c r="J11" i="12" s="1"/>
  <c r="D11" i="12"/>
  <c r="G11" i="12" s="1"/>
  <c r="H10" i="12"/>
  <c r="F10" i="12"/>
  <c r="J10" i="12" s="1"/>
  <c r="E10" i="12"/>
  <c r="D10" i="12"/>
  <c r="I10" i="12" s="1"/>
  <c r="J51" i="11"/>
  <c r="I51" i="11"/>
  <c r="H51" i="11"/>
  <c r="I50" i="11"/>
  <c r="H50" i="11"/>
  <c r="J50" i="11" s="1"/>
  <c r="I49" i="11"/>
  <c r="H49" i="11"/>
  <c r="J49" i="11" s="1"/>
  <c r="J48" i="11"/>
  <c r="I48" i="11"/>
  <c r="H48" i="11"/>
  <c r="J47" i="11"/>
  <c r="I47" i="11"/>
  <c r="H47" i="11"/>
  <c r="I46" i="11"/>
  <c r="H46" i="11"/>
  <c r="J46" i="11" s="1"/>
  <c r="I45" i="11"/>
  <c r="H45" i="11"/>
  <c r="J45" i="11" s="1"/>
  <c r="J44" i="11"/>
  <c r="I44" i="11"/>
  <c r="H44" i="11"/>
  <c r="J43" i="11"/>
  <c r="I43" i="11"/>
  <c r="H43" i="11"/>
  <c r="I42" i="11"/>
  <c r="H42" i="11"/>
  <c r="J42" i="11" s="1"/>
  <c r="I41" i="11"/>
  <c r="H41" i="11"/>
  <c r="J41" i="11" s="1"/>
  <c r="J40" i="11"/>
  <c r="I40" i="11"/>
  <c r="H40" i="11"/>
  <c r="J39" i="11"/>
  <c r="I39" i="11"/>
  <c r="H39" i="11"/>
  <c r="I38" i="11"/>
  <c r="H38" i="11"/>
  <c r="J38" i="11" s="1"/>
  <c r="I37" i="11"/>
  <c r="H37" i="11"/>
  <c r="J37" i="11" s="1"/>
  <c r="J36" i="11"/>
  <c r="I36" i="11"/>
  <c r="H36" i="11"/>
  <c r="J35" i="11"/>
  <c r="I35" i="11"/>
  <c r="H35" i="11"/>
  <c r="I34" i="11"/>
  <c r="H34" i="11"/>
  <c r="J34" i="11" s="1"/>
  <c r="I33" i="11"/>
  <c r="H33" i="11"/>
  <c r="J33" i="11" s="1"/>
  <c r="J32" i="11"/>
  <c r="I32" i="11"/>
  <c r="H32" i="11"/>
  <c r="J31" i="11"/>
  <c r="I31" i="11"/>
  <c r="H31" i="11"/>
  <c r="I30" i="11"/>
  <c r="H30" i="11"/>
  <c r="J30" i="11" s="1"/>
  <c r="I29" i="11"/>
  <c r="H29" i="11"/>
  <c r="J29" i="11" s="1"/>
  <c r="J28" i="11"/>
  <c r="I28" i="11"/>
  <c r="H28" i="11"/>
  <c r="J27" i="11"/>
  <c r="I27" i="11"/>
  <c r="H27" i="11"/>
  <c r="I26" i="11"/>
  <c r="H26" i="11"/>
  <c r="J26" i="11" s="1"/>
  <c r="I25" i="11"/>
  <c r="H25" i="11"/>
  <c r="J25" i="11" s="1"/>
  <c r="J24" i="11"/>
  <c r="I24" i="11"/>
  <c r="H24" i="11"/>
  <c r="J23" i="11"/>
  <c r="I23" i="11"/>
  <c r="H23" i="11"/>
  <c r="I22" i="11"/>
  <c r="H22" i="11"/>
  <c r="J22" i="11" s="1"/>
  <c r="I21" i="11"/>
  <c r="H21" i="11"/>
  <c r="J21" i="11" s="1"/>
  <c r="J20" i="11"/>
  <c r="I20" i="11"/>
  <c r="H20" i="11"/>
  <c r="J19" i="11"/>
  <c r="I19" i="11"/>
  <c r="H19" i="11"/>
  <c r="I18" i="11"/>
  <c r="H18" i="11"/>
  <c r="J18" i="11" s="1"/>
  <c r="I17" i="11"/>
  <c r="H17" i="11"/>
  <c r="J17" i="11" s="1"/>
  <c r="J16" i="11"/>
  <c r="I16" i="11"/>
  <c r="H16" i="11"/>
  <c r="J15" i="11"/>
  <c r="I15" i="11"/>
  <c r="H15" i="11"/>
  <c r="I14" i="11"/>
  <c r="H14" i="11"/>
  <c r="J14" i="11" s="1"/>
  <c r="I13" i="11"/>
  <c r="H13" i="11"/>
  <c r="J13" i="11" s="1"/>
  <c r="J12" i="11"/>
  <c r="I12" i="11"/>
  <c r="H12" i="11"/>
  <c r="J9" i="11"/>
  <c r="I9" i="11"/>
  <c r="H9" i="11"/>
  <c r="C19" i="10"/>
  <c r="D18" i="10"/>
  <c r="D19" i="10" s="1"/>
  <c r="C18" i="10"/>
  <c r="D15" i="10"/>
  <c r="C15" i="10"/>
  <c r="D12" i="10"/>
  <c r="C12" i="10"/>
  <c r="B12" i="10"/>
  <c r="D9" i="10"/>
  <c r="C9" i="10"/>
  <c r="B9" i="10"/>
  <c r="F10" i="7"/>
  <c r="E10" i="7"/>
  <c r="D10" i="7"/>
  <c r="H10" i="7" s="1"/>
  <c r="M1028" i="6"/>
  <c r="J1028" i="6"/>
  <c r="F1028" i="6"/>
  <c r="B1028" i="6"/>
  <c r="C1028" i="6" s="1"/>
  <c r="M1027" i="6"/>
  <c r="J1027" i="6"/>
  <c r="F1027" i="6"/>
  <c r="C1027" i="6"/>
  <c r="B1027" i="6"/>
  <c r="G1027" i="6" s="1"/>
  <c r="M1026" i="6"/>
  <c r="J1026" i="6"/>
  <c r="G1026" i="6"/>
  <c r="F1026" i="6"/>
  <c r="B1026" i="6"/>
  <c r="C1026" i="6" s="1"/>
  <c r="M1025" i="6"/>
  <c r="J1025" i="6"/>
  <c r="F1025" i="6"/>
  <c r="C1025" i="6"/>
  <c r="B1025" i="6"/>
  <c r="G1025" i="6" s="1"/>
  <c r="M1024" i="6"/>
  <c r="J1024" i="6"/>
  <c r="F1024" i="6"/>
  <c r="B1024" i="6"/>
  <c r="C1024" i="6" s="1"/>
  <c r="M1023" i="6"/>
  <c r="J1023" i="6"/>
  <c r="F1023" i="6"/>
  <c r="C1023" i="6"/>
  <c r="B1023" i="6"/>
  <c r="G1023" i="6" s="1"/>
  <c r="M1022" i="6"/>
  <c r="J1022" i="6"/>
  <c r="G1022" i="6"/>
  <c r="F1022" i="6"/>
  <c r="B1022" i="6"/>
  <c r="C1022" i="6" s="1"/>
  <c r="M1021" i="6"/>
  <c r="J1021" i="6"/>
  <c r="F1021" i="6"/>
  <c r="C1021" i="6"/>
  <c r="B1021" i="6"/>
  <c r="G1021" i="6" s="1"/>
  <c r="M1020" i="6"/>
  <c r="J1020" i="6"/>
  <c r="F1020" i="6"/>
  <c r="B1020" i="6"/>
  <c r="C1020" i="6" s="1"/>
  <c r="M1019" i="6"/>
  <c r="J1019" i="6"/>
  <c r="F1019" i="6"/>
  <c r="C1019" i="6"/>
  <c r="B1019" i="6"/>
  <c r="G1019" i="6" s="1"/>
  <c r="M1018" i="6"/>
  <c r="J1018" i="6"/>
  <c r="G1018" i="6"/>
  <c r="F1018" i="6"/>
  <c r="B1018" i="6"/>
  <c r="C1018" i="6" s="1"/>
  <c r="M1017" i="6"/>
  <c r="J1017" i="6"/>
  <c r="F1017" i="6"/>
  <c r="C1017" i="6"/>
  <c r="B1017" i="6"/>
  <c r="G1017" i="6" s="1"/>
  <c r="M1016" i="6"/>
  <c r="J1016" i="6"/>
  <c r="F1016" i="6"/>
  <c r="B1016" i="6"/>
  <c r="C1016" i="6" s="1"/>
  <c r="M1015" i="6"/>
  <c r="J1015" i="6"/>
  <c r="F1015" i="6"/>
  <c r="C1015" i="6"/>
  <c r="B1015" i="6"/>
  <c r="G1015" i="6" s="1"/>
  <c r="M1014" i="6"/>
  <c r="J1014" i="6"/>
  <c r="G1014" i="6"/>
  <c r="F1014" i="6"/>
  <c r="B1014" i="6"/>
  <c r="C1014" i="6" s="1"/>
  <c r="M1013" i="6"/>
  <c r="J1013" i="6"/>
  <c r="F1013" i="6"/>
  <c r="C1013" i="6"/>
  <c r="B1013" i="6"/>
  <c r="G1013" i="6" s="1"/>
  <c r="M1012" i="6"/>
  <c r="J1012" i="6"/>
  <c r="F1012" i="6"/>
  <c r="B1012" i="6"/>
  <c r="C1012" i="6" s="1"/>
  <c r="M1011" i="6"/>
  <c r="J1011" i="6"/>
  <c r="F1011" i="6"/>
  <c r="C1011" i="6"/>
  <c r="B1011" i="6"/>
  <c r="G1011" i="6" s="1"/>
  <c r="M1010" i="6"/>
  <c r="J1010" i="6"/>
  <c r="G1010" i="6"/>
  <c r="F1010" i="6"/>
  <c r="B1010" i="6"/>
  <c r="C1010" i="6" s="1"/>
  <c r="M1009" i="6"/>
  <c r="J1009" i="6"/>
  <c r="F1009" i="6"/>
  <c r="C1009" i="6"/>
  <c r="B1009" i="6"/>
  <c r="G1009" i="6" s="1"/>
  <c r="M1008" i="6"/>
  <c r="J1008" i="6"/>
  <c r="F1008" i="6"/>
  <c r="B1008" i="6"/>
  <c r="C1008" i="6" s="1"/>
  <c r="M1007" i="6"/>
  <c r="J1007" i="6"/>
  <c r="F1007" i="6"/>
  <c r="C1007" i="6"/>
  <c r="B1007" i="6"/>
  <c r="G1007" i="6" s="1"/>
  <c r="M1006" i="6"/>
  <c r="J1006" i="6"/>
  <c r="G1006" i="6"/>
  <c r="F1006" i="6"/>
  <c r="B1006" i="6"/>
  <c r="C1006" i="6" s="1"/>
  <c r="M1005" i="6"/>
  <c r="J1005" i="6"/>
  <c r="F1005" i="6"/>
  <c r="C1005" i="6"/>
  <c r="B1005" i="6"/>
  <c r="G1005" i="6" s="1"/>
  <c r="M1004" i="6"/>
  <c r="J1004" i="6"/>
  <c r="F1004" i="6"/>
  <c r="B1004" i="6"/>
  <c r="C1004" i="6" s="1"/>
  <c r="M1003" i="6"/>
  <c r="J1003" i="6"/>
  <c r="F1003" i="6"/>
  <c r="C1003" i="6"/>
  <c r="B1003" i="6"/>
  <c r="G1003" i="6" s="1"/>
  <c r="M1002" i="6"/>
  <c r="J1002" i="6"/>
  <c r="G1002" i="6"/>
  <c r="F1002" i="6"/>
  <c r="B1002" i="6"/>
  <c r="C1002" i="6" s="1"/>
  <c r="M1001" i="6"/>
  <c r="J1001" i="6"/>
  <c r="F1001" i="6"/>
  <c r="C1001" i="6"/>
  <c r="B1001" i="6"/>
  <c r="G1001" i="6" s="1"/>
  <c r="M1000" i="6"/>
  <c r="J1000" i="6"/>
  <c r="F1000" i="6"/>
  <c r="B1000" i="6"/>
  <c r="C1000" i="6" s="1"/>
  <c r="M999" i="6"/>
  <c r="J999" i="6"/>
  <c r="F999" i="6"/>
  <c r="C999" i="6"/>
  <c r="B999" i="6"/>
  <c r="G999" i="6" s="1"/>
  <c r="M998" i="6"/>
  <c r="J998" i="6"/>
  <c r="G998" i="6"/>
  <c r="F998" i="6"/>
  <c r="B998" i="6"/>
  <c r="C998" i="6" s="1"/>
  <c r="M997" i="6"/>
  <c r="J997" i="6"/>
  <c r="F997" i="6"/>
  <c r="C997" i="6"/>
  <c r="B997" i="6"/>
  <c r="G997" i="6" s="1"/>
  <c r="M996" i="6"/>
  <c r="J996" i="6"/>
  <c r="F996" i="6"/>
  <c r="B996" i="6"/>
  <c r="C996" i="6" s="1"/>
  <c r="M995" i="6"/>
  <c r="J995" i="6"/>
  <c r="F995" i="6"/>
  <c r="C995" i="6"/>
  <c r="B995" i="6"/>
  <c r="G995" i="6" s="1"/>
  <c r="M994" i="6"/>
  <c r="J994" i="6"/>
  <c r="G994" i="6"/>
  <c r="F994" i="6"/>
  <c r="B994" i="6"/>
  <c r="C994" i="6" s="1"/>
  <c r="M993" i="6"/>
  <c r="J993" i="6"/>
  <c r="F993" i="6"/>
  <c r="C993" i="6"/>
  <c r="B993" i="6"/>
  <c r="G993" i="6" s="1"/>
  <c r="M992" i="6"/>
  <c r="J992" i="6"/>
  <c r="F992" i="6"/>
  <c r="B992" i="6"/>
  <c r="C992" i="6" s="1"/>
  <c r="M991" i="6"/>
  <c r="J991" i="6"/>
  <c r="F991" i="6"/>
  <c r="C991" i="6"/>
  <c r="B991" i="6"/>
  <c r="G991" i="6" s="1"/>
  <c r="M990" i="6"/>
  <c r="J990" i="6"/>
  <c r="G990" i="6"/>
  <c r="F990" i="6"/>
  <c r="B990" i="6"/>
  <c r="C990" i="6" s="1"/>
  <c r="M989" i="6"/>
  <c r="J989" i="6"/>
  <c r="F989" i="6"/>
  <c r="C989" i="6"/>
  <c r="B989" i="6"/>
  <c r="G989" i="6" s="1"/>
  <c r="M988" i="6"/>
  <c r="J988" i="6"/>
  <c r="F988" i="6"/>
  <c r="B988" i="6"/>
  <c r="C988" i="6" s="1"/>
  <c r="M987" i="6"/>
  <c r="J987" i="6"/>
  <c r="F987" i="6"/>
  <c r="C987" i="6"/>
  <c r="B987" i="6"/>
  <c r="G987" i="6" s="1"/>
  <c r="M986" i="6"/>
  <c r="J986" i="6"/>
  <c r="G986" i="6"/>
  <c r="F986" i="6"/>
  <c r="B986" i="6"/>
  <c r="C986" i="6" s="1"/>
  <c r="M985" i="6"/>
  <c r="J985" i="6"/>
  <c r="F985" i="6"/>
  <c r="B985" i="6"/>
  <c r="G985" i="6" s="1"/>
  <c r="M984" i="6"/>
  <c r="J984" i="6"/>
  <c r="F984" i="6"/>
  <c r="B984" i="6"/>
  <c r="C984" i="6" s="1"/>
  <c r="M983" i="6"/>
  <c r="J983" i="6"/>
  <c r="F983" i="6"/>
  <c r="B983" i="6"/>
  <c r="G983" i="6" s="1"/>
  <c r="M982" i="6"/>
  <c r="J982" i="6"/>
  <c r="G982" i="6"/>
  <c r="F982" i="6"/>
  <c r="B982" i="6"/>
  <c r="C982" i="6" s="1"/>
  <c r="M981" i="6"/>
  <c r="J981" i="6"/>
  <c r="F981" i="6"/>
  <c r="B981" i="6"/>
  <c r="G981" i="6" s="1"/>
  <c r="M980" i="6"/>
  <c r="J980" i="6"/>
  <c r="F980" i="6"/>
  <c r="B980" i="6"/>
  <c r="C980" i="6" s="1"/>
  <c r="M979" i="6"/>
  <c r="J979" i="6"/>
  <c r="F979" i="6"/>
  <c r="B979" i="6"/>
  <c r="G979" i="6" s="1"/>
  <c r="M978" i="6"/>
  <c r="J978" i="6"/>
  <c r="G978" i="6"/>
  <c r="F978" i="6"/>
  <c r="B978" i="6"/>
  <c r="C978" i="6" s="1"/>
  <c r="M977" i="6"/>
  <c r="J977" i="6"/>
  <c r="F977" i="6"/>
  <c r="B977" i="6"/>
  <c r="G977" i="6" s="1"/>
  <c r="M976" i="6"/>
  <c r="J976" i="6"/>
  <c r="F976" i="6"/>
  <c r="B976" i="6"/>
  <c r="C976" i="6" s="1"/>
  <c r="M975" i="6"/>
  <c r="J975" i="6"/>
  <c r="F975" i="6"/>
  <c r="B975" i="6"/>
  <c r="G975" i="6" s="1"/>
  <c r="M974" i="6"/>
  <c r="J974" i="6"/>
  <c r="G974" i="6"/>
  <c r="F974" i="6"/>
  <c r="B974" i="6"/>
  <c r="C974" i="6" s="1"/>
  <c r="M973" i="6"/>
  <c r="J973" i="6"/>
  <c r="F973" i="6"/>
  <c r="B973" i="6"/>
  <c r="G973" i="6" s="1"/>
  <c r="M972" i="6"/>
  <c r="J972" i="6"/>
  <c r="F972" i="6"/>
  <c r="B972" i="6"/>
  <c r="C972" i="6" s="1"/>
  <c r="M971" i="6"/>
  <c r="J971" i="6"/>
  <c r="F971" i="6"/>
  <c r="B971" i="6"/>
  <c r="G971" i="6" s="1"/>
  <c r="M970" i="6"/>
  <c r="J970" i="6"/>
  <c r="G970" i="6"/>
  <c r="F970" i="6"/>
  <c r="B970" i="6"/>
  <c r="C970" i="6" s="1"/>
  <c r="M969" i="6"/>
  <c r="J969" i="6"/>
  <c r="G969" i="6"/>
  <c r="F969" i="6"/>
  <c r="C969" i="6"/>
  <c r="B969" i="6"/>
  <c r="M968" i="6"/>
  <c r="J968" i="6"/>
  <c r="G968" i="6"/>
  <c r="F968" i="6"/>
  <c r="C968" i="6"/>
  <c r="B968" i="6"/>
  <c r="M967" i="6"/>
  <c r="J967" i="6"/>
  <c r="G967" i="6"/>
  <c r="F967" i="6"/>
  <c r="C967" i="6"/>
  <c r="B967" i="6"/>
  <c r="M966" i="6"/>
  <c r="J966" i="6"/>
  <c r="G966" i="6"/>
  <c r="F966" i="6"/>
  <c r="C966" i="6"/>
  <c r="B966" i="6"/>
  <c r="M965" i="6"/>
  <c r="J965" i="6"/>
  <c r="G965" i="6"/>
  <c r="F965" i="6"/>
  <c r="C965" i="6"/>
  <c r="B965" i="6"/>
  <c r="M964" i="6"/>
  <c r="J964" i="6"/>
  <c r="G964" i="6"/>
  <c r="F964" i="6"/>
  <c r="C964" i="6"/>
  <c r="B964" i="6"/>
  <c r="M963" i="6"/>
  <c r="J963" i="6"/>
  <c r="G963" i="6"/>
  <c r="F963" i="6"/>
  <c r="C963" i="6"/>
  <c r="B963" i="6"/>
  <c r="M962" i="6"/>
  <c r="J962" i="6"/>
  <c r="G962" i="6"/>
  <c r="F962" i="6"/>
  <c r="C962" i="6"/>
  <c r="B962" i="6"/>
  <c r="M961" i="6"/>
  <c r="J961" i="6"/>
  <c r="G961" i="6"/>
  <c r="F961" i="6"/>
  <c r="C961" i="6"/>
  <c r="B961" i="6"/>
  <c r="M960" i="6"/>
  <c r="J960" i="6"/>
  <c r="G960" i="6"/>
  <c r="F960" i="6"/>
  <c r="C960" i="6"/>
  <c r="B960" i="6"/>
  <c r="M959" i="6"/>
  <c r="J959" i="6"/>
  <c r="G959" i="6"/>
  <c r="F959" i="6"/>
  <c r="C959" i="6"/>
  <c r="B959" i="6"/>
  <c r="M958" i="6"/>
  <c r="J958" i="6"/>
  <c r="G958" i="6"/>
  <c r="F958" i="6"/>
  <c r="C958" i="6"/>
  <c r="B958" i="6"/>
  <c r="M957" i="6"/>
  <c r="J957" i="6"/>
  <c r="G957" i="6"/>
  <c r="F957" i="6"/>
  <c r="C957" i="6"/>
  <c r="B957" i="6"/>
  <c r="M956" i="6"/>
  <c r="J956" i="6"/>
  <c r="G956" i="6"/>
  <c r="F956" i="6"/>
  <c r="C956" i="6"/>
  <c r="B956" i="6"/>
  <c r="M955" i="6"/>
  <c r="J955" i="6"/>
  <c r="G955" i="6"/>
  <c r="F955" i="6"/>
  <c r="C955" i="6"/>
  <c r="B955" i="6"/>
  <c r="M954" i="6"/>
  <c r="J954" i="6"/>
  <c r="G954" i="6"/>
  <c r="F954" i="6"/>
  <c r="C954" i="6"/>
  <c r="B954" i="6"/>
  <c r="M953" i="6"/>
  <c r="J953" i="6"/>
  <c r="G953" i="6"/>
  <c r="F953" i="6"/>
  <c r="C953" i="6"/>
  <c r="B953" i="6"/>
  <c r="M952" i="6"/>
  <c r="J952" i="6"/>
  <c r="G952" i="6"/>
  <c r="F952" i="6"/>
  <c r="C952" i="6"/>
  <c r="B952" i="6"/>
  <c r="M951" i="6"/>
  <c r="J951" i="6"/>
  <c r="G951" i="6"/>
  <c r="F951" i="6"/>
  <c r="C951" i="6"/>
  <c r="B951" i="6"/>
  <c r="M950" i="6"/>
  <c r="J950" i="6"/>
  <c r="G950" i="6"/>
  <c r="F950" i="6"/>
  <c r="C950" i="6"/>
  <c r="B950" i="6"/>
  <c r="M949" i="6"/>
  <c r="J949" i="6"/>
  <c r="G949" i="6"/>
  <c r="F949" i="6"/>
  <c r="C949" i="6"/>
  <c r="B949" i="6"/>
  <c r="M948" i="6"/>
  <c r="J948" i="6"/>
  <c r="G948" i="6"/>
  <c r="F948" i="6"/>
  <c r="C948" i="6"/>
  <c r="B948" i="6"/>
  <c r="M947" i="6"/>
  <c r="J947" i="6"/>
  <c r="G947" i="6"/>
  <c r="F947" i="6"/>
  <c r="C947" i="6"/>
  <c r="B947" i="6"/>
  <c r="M946" i="6"/>
  <c r="J946" i="6"/>
  <c r="G946" i="6"/>
  <c r="F946" i="6"/>
  <c r="C946" i="6"/>
  <c r="B946" i="6"/>
  <c r="M945" i="6"/>
  <c r="J945" i="6"/>
  <c r="G945" i="6"/>
  <c r="F945" i="6"/>
  <c r="C945" i="6"/>
  <c r="B945" i="6"/>
  <c r="M944" i="6"/>
  <c r="J944" i="6"/>
  <c r="G944" i="6"/>
  <c r="F944" i="6"/>
  <c r="C944" i="6"/>
  <c r="B944" i="6"/>
  <c r="M943" i="6"/>
  <c r="J943" i="6"/>
  <c r="G943" i="6"/>
  <c r="F943" i="6"/>
  <c r="C943" i="6"/>
  <c r="B943" i="6"/>
  <c r="M942" i="6"/>
  <c r="J942" i="6"/>
  <c r="G942" i="6"/>
  <c r="F942" i="6"/>
  <c r="C942" i="6"/>
  <c r="B942" i="6"/>
  <c r="M941" i="6"/>
  <c r="J941" i="6"/>
  <c r="G941" i="6"/>
  <c r="F941" i="6"/>
  <c r="C941" i="6"/>
  <c r="B941" i="6"/>
  <c r="M940" i="6"/>
  <c r="J940" i="6"/>
  <c r="G940" i="6"/>
  <c r="F940" i="6"/>
  <c r="C940" i="6"/>
  <c r="B940" i="6"/>
  <c r="M939" i="6"/>
  <c r="J939" i="6"/>
  <c r="G939" i="6"/>
  <c r="F939" i="6"/>
  <c r="C939" i="6"/>
  <c r="B939" i="6"/>
  <c r="M938" i="6"/>
  <c r="J938" i="6"/>
  <c r="G938" i="6"/>
  <c r="F938" i="6"/>
  <c r="C938" i="6"/>
  <c r="B938" i="6"/>
  <c r="M937" i="6"/>
  <c r="J937" i="6"/>
  <c r="G937" i="6"/>
  <c r="F937" i="6"/>
  <c r="C937" i="6"/>
  <c r="B937" i="6"/>
  <c r="M936" i="6"/>
  <c r="J936" i="6"/>
  <c r="G936" i="6"/>
  <c r="F936" i="6"/>
  <c r="C936" i="6"/>
  <c r="B936" i="6"/>
  <c r="M935" i="6"/>
  <c r="J935" i="6"/>
  <c r="G935" i="6"/>
  <c r="F935" i="6"/>
  <c r="C935" i="6"/>
  <c r="B935" i="6"/>
  <c r="M934" i="6"/>
  <c r="J934" i="6"/>
  <c r="G934" i="6"/>
  <c r="F934" i="6"/>
  <c r="C934" i="6"/>
  <c r="B934" i="6"/>
  <c r="M933" i="6"/>
  <c r="J933" i="6"/>
  <c r="G933" i="6"/>
  <c r="F933" i="6"/>
  <c r="C933" i="6"/>
  <c r="B933" i="6"/>
  <c r="M932" i="6"/>
  <c r="J932" i="6"/>
  <c r="G932" i="6"/>
  <c r="F932" i="6"/>
  <c r="C932" i="6"/>
  <c r="B932" i="6"/>
  <c r="M931" i="6"/>
  <c r="J931" i="6"/>
  <c r="G931" i="6"/>
  <c r="F931" i="6"/>
  <c r="C931" i="6"/>
  <c r="B931" i="6"/>
  <c r="M930" i="6"/>
  <c r="J930" i="6"/>
  <c r="G930" i="6"/>
  <c r="F930" i="6"/>
  <c r="C930" i="6"/>
  <c r="B930" i="6"/>
  <c r="M929" i="6"/>
  <c r="J929" i="6"/>
  <c r="G929" i="6"/>
  <c r="F929" i="6"/>
  <c r="C929" i="6"/>
  <c r="B929" i="6"/>
  <c r="M928" i="6"/>
  <c r="J928" i="6"/>
  <c r="G928" i="6"/>
  <c r="F928" i="6"/>
  <c r="C928" i="6"/>
  <c r="B928" i="6"/>
  <c r="M927" i="6"/>
  <c r="J927" i="6"/>
  <c r="G927" i="6"/>
  <c r="F927" i="6"/>
  <c r="C927" i="6"/>
  <c r="B927" i="6"/>
  <c r="M926" i="6"/>
  <c r="J926" i="6"/>
  <c r="G926" i="6"/>
  <c r="F926" i="6"/>
  <c r="C926" i="6"/>
  <c r="B926" i="6"/>
  <c r="M925" i="6"/>
  <c r="J925" i="6"/>
  <c r="G925" i="6"/>
  <c r="F925" i="6"/>
  <c r="C925" i="6"/>
  <c r="B925" i="6"/>
  <c r="M924" i="6"/>
  <c r="J924" i="6"/>
  <c r="G924" i="6"/>
  <c r="F924" i="6"/>
  <c r="C924" i="6"/>
  <c r="B924" i="6"/>
  <c r="M923" i="6"/>
  <c r="J923" i="6"/>
  <c r="G923" i="6"/>
  <c r="F923" i="6"/>
  <c r="C923" i="6"/>
  <c r="B923" i="6"/>
  <c r="M922" i="6"/>
  <c r="J922" i="6"/>
  <c r="G922" i="6"/>
  <c r="F922" i="6"/>
  <c r="C922" i="6"/>
  <c r="B922" i="6"/>
  <c r="M921" i="6"/>
  <c r="J921" i="6"/>
  <c r="G921" i="6"/>
  <c r="F921" i="6"/>
  <c r="C921" i="6"/>
  <c r="B921" i="6"/>
  <c r="M920" i="6"/>
  <c r="J920" i="6"/>
  <c r="G920" i="6"/>
  <c r="F920" i="6"/>
  <c r="C920" i="6"/>
  <c r="B920" i="6"/>
  <c r="M919" i="6"/>
  <c r="J919" i="6"/>
  <c r="G919" i="6"/>
  <c r="F919" i="6"/>
  <c r="C919" i="6"/>
  <c r="B919" i="6"/>
  <c r="M918" i="6"/>
  <c r="J918" i="6"/>
  <c r="G918" i="6"/>
  <c r="F918" i="6"/>
  <c r="C918" i="6"/>
  <c r="B918" i="6"/>
  <c r="M917" i="6"/>
  <c r="J917" i="6"/>
  <c r="F917" i="6"/>
  <c r="C917" i="6"/>
  <c r="B917" i="6"/>
  <c r="G917" i="6" s="1"/>
  <c r="M916" i="6"/>
  <c r="J916" i="6"/>
  <c r="G916" i="6"/>
  <c r="F916" i="6"/>
  <c r="C916" i="6"/>
  <c r="B916" i="6"/>
  <c r="M915" i="6"/>
  <c r="J915" i="6"/>
  <c r="F915" i="6"/>
  <c r="C915" i="6"/>
  <c r="B915" i="6"/>
  <c r="G915" i="6" s="1"/>
  <c r="M914" i="6"/>
  <c r="J914" i="6"/>
  <c r="G914" i="6"/>
  <c r="F914" i="6"/>
  <c r="C914" i="6"/>
  <c r="B914" i="6"/>
  <c r="M913" i="6"/>
  <c r="J913" i="6"/>
  <c r="F913" i="6"/>
  <c r="C913" i="6"/>
  <c r="B913" i="6"/>
  <c r="G913" i="6" s="1"/>
  <c r="M912" i="6"/>
  <c r="J912" i="6"/>
  <c r="G912" i="6"/>
  <c r="F912" i="6"/>
  <c r="C912" i="6"/>
  <c r="B912" i="6"/>
  <c r="M911" i="6"/>
  <c r="J911" i="6"/>
  <c r="F911" i="6"/>
  <c r="C911" i="6"/>
  <c r="B911" i="6"/>
  <c r="G911" i="6" s="1"/>
  <c r="M910" i="6"/>
  <c r="J910" i="6"/>
  <c r="G910" i="6"/>
  <c r="F910" i="6"/>
  <c r="C910" i="6"/>
  <c r="B910" i="6"/>
  <c r="M909" i="6"/>
  <c r="J909" i="6"/>
  <c r="F909" i="6"/>
  <c r="C909" i="6"/>
  <c r="B909" i="6"/>
  <c r="G909" i="6" s="1"/>
  <c r="M908" i="6"/>
  <c r="J908" i="6"/>
  <c r="G908" i="6"/>
  <c r="F908" i="6"/>
  <c r="C908" i="6"/>
  <c r="B908" i="6"/>
  <c r="M907" i="6"/>
  <c r="J907" i="6"/>
  <c r="F907" i="6"/>
  <c r="C907" i="6"/>
  <c r="B907" i="6"/>
  <c r="G907" i="6" s="1"/>
  <c r="M906" i="6"/>
  <c r="J906" i="6"/>
  <c r="G906" i="6"/>
  <c r="F906" i="6"/>
  <c r="C906" i="6"/>
  <c r="B906" i="6"/>
  <c r="M905" i="6"/>
  <c r="J905" i="6"/>
  <c r="F905" i="6"/>
  <c r="C905" i="6"/>
  <c r="B905" i="6"/>
  <c r="G905" i="6" s="1"/>
  <c r="M904" i="6"/>
  <c r="J904" i="6"/>
  <c r="G904" i="6"/>
  <c r="F904" i="6"/>
  <c r="C904" i="6"/>
  <c r="B904" i="6"/>
  <c r="M903" i="6"/>
  <c r="J903" i="6"/>
  <c r="F903" i="6"/>
  <c r="C903" i="6"/>
  <c r="B903" i="6"/>
  <c r="G903" i="6" s="1"/>
  <c r="M902" i="6"/>
  <c r="J902" i="6"/>
  <c r="G902" i="6"/>
  <c r="F902" i="6"/>
  <c r="C902" i="6"/>
  <c r="B902" i="6"/>
  <c r="M901" i="6"/>
  <c r="J901" i="6"/>
  <c r="F901" i="6"/>
  <c r="C901" i="6"/>
  <c r="B901" i="6"/>
  <c r="G901" i="6" s="1"/>
  <c r="M900" i="6"/>
  <c r="J900" i="6"/>
  <c r="G900" i="6"/>
  <c r="F900" i="6"/>
  <c r="C900" i="6"/>
  <c r="B900" i="6"/>
  <c r="M899" i="6"/>
  <c r="J899" i="6"/>
  <c r="F899" i="6"/>
  <c r="C899" i="6"/>
  <c r="B899" i="6"/>
  <c r="G899" i="6" s="1"/>
  <c r="M898" i="6"/>
  <c r="J898" i="6"/>
  <c r="G898" i="6"/>
  <c r="F898" i="6"/>
  <c r="C898" i="6"/>
  <c r="B898" i="6"/>
  <c r="M897" i="6"/>
  <c r="J897" i="6"/>
  <c r="F897" i="6"/>
  <c r="C897" i="6"/>
  <c r="B897" i="6"/>
  <c r="G897" i="6" s="1"/>
  <c r="M896" i="6"/>
  <c r="J896" i="6"/>
  <c r="G896" i="6"/>
  <c r="F896" i="6"/>
  <c r="C896" i="6"/>
  <c r="B896" i="6"/>
  <c r="M895" i="6"/>
  <c r="J895" i="6"/>
  <c r="F895" i="6"/>
  <c r="C895" i="6"/>
  <c r="B895" i="6"/>
  <c r="G895" i="6" s="1"/>
  <c r="M894" i="6"/>
  <c r="J894" i="6"/>
  <c r="G894" i="6"/>
  <c r="F894" i="6"/>
  <c r="C894" i="6"/>
  <c r="B894" i="6"/>
  <c r="M893" i="6"/>
  <c r="J893" i="6"/>
  <c r="F893" i="6"/>
  <c r="C893" i="6"/>
  <c r="B893" i="6"/>
  <c r="G893" i="6" s="1"/>
  <c r="M892" i="6"/>
  <c r="J892" i="6"/>
  <c r="G892" i="6"/>
  <c r="F892" i="6"/>
  <c r="C892" i="6"/>
  <c r="B892" i="6"/>
  <c r="M891" i="6"/>
  <c r="J891" i="6"/>
  <c r="F891" i="6"/>
  <c r="C891" i="6"/>
  <c r="B891" i="6"/>
  <c r="G891" i="6" s="1"/>
  <c r="M890" i="6"/>
  <c r="J890" i="6"/>
  <c r="G890" i="6"/>
  <c r="F890" i="6"/>
  <c r="C890" i="6"/>
  <c r="B890" i="6"/>
  <c r="M889" i="6"/>
  <c r="J889" i="6"/>
  <c r="F889" i="6"/>
  <c r="C889" i="6"/>
  <c r="B889" i="6"/>
  <c r="G889" i="6" s="1"/>
  <c r="M888" i="6"/>
  <c r="J888" i="6"/>
  <c r="G888" i="6"/>
  <c r="F888" i="6"/>
  <c r="B888" i="6"/>
  <c r="C888" i="6" s="1"/>
  <c r="M887" i="6"/>
  <c r="J887" i="6"/>
  <c r="F887" i="6"/>
  <c r="C887" i="6"/>
  <c r="B887" i="6"/>
  <c r="G887" i="6" s="1"/>
  <c r="M886" i="6"/>
  <c r="J886" i="6"/>
  <c r="G886" i="6"/>
  <c r="F886" i="6"/>
  <c r="B886" i="6"/>
  <c r="C886" i="6" s="1"/>
  <c r="M885" i="6"/>
  <c r="J885" i="6"/>
  <c r="F885" i="6"/>
  <c r="C885" i="6"/>
  <c r="B885" i="6"/>
  <c r="G885" i="6" s="1"/>
  <c r="M884" i="6"/>
  <c r="J884" i="6"/>
  <c r="G884" i="6"/>
  <c r="F884" i="6"/>
  <c r="B884" i="6"/>
  <c r="C884" i="6" s="1"/>
  <c r="M883" i="6"/>
  <c r="J883" i="6"/>
  <c r="F883" i="6"/>
  <c r="C883" i="6"/>
  <c r="B883" i="6"/>
  <c r="G883" i="6" s="1"/>
  <c r="M882" i="6"/>
  <c r="J882" i="6"/>
  <c r="G882" i="6"/>
  <c r="F882" i="6"/>
  <c r="B882" i="6"/>
  <c r="C882" i="6" s="1"/>
  <c r="M881" i="6"/>
  <c r="J881" i="6"/>
  <c r="F881" i="6"/>
  <c r="C881" i="6"/>
  <c r="B881" i="6"/>
  <c r="G881" i="6" s="1"/>
  <c r="M880" i="6"/>
  <c r="J880" i="6"/>
  <c r="G880" i="6"/>
  <c r="F880" i="6"/>
  <c r="B880" i="6"/>
  <c r="C880" i="6" s="1"/>
  <c r="M879" i="6"/>
  <c r="J879" i="6"/>
  <c r="F879" i="6"/>
  <c r="C879" i="6"/>
  <c r="B879" i="6"/>
  <c r="G879" i="6" s="1"/>
  <c r="M878" i="6"/>
  <c r="J878" i="6"/>
  <c r="G878" i="6"/>
  <c r="F878" i="6"/>
  <c r="B878" i="6"/>
  <c r="C878" i="6" s="1"/>
  <c r="M877" i="6"/>
  <c r="J877" i="6"/>
  <c r="F877" i="6"/>
  <c r="C877" i="6"/>
  <c r="B877" i="6"/>
  <c r="G877" i="6" s="1"/>
  <c r="M876" i="6"/>
  <c r="J876" i="6"/>
  <c r="G876" i="6"/>
  <c r="F876" i="6"/>
  <c r="B876" i="6"/>
  <c r="C876" i="6" s="1"/>
  <c r="M875" i="6"/>
  <c r="J875" i="6"/>
  <c r="F875" i="6"/>
  <c r="C875" i="6"/>
  <c r="B875" i="6"/>
  <c r="G875" i="6" s="1"/>
  <c r="M874" i="6"/>
  <c r="J874" i="6"/>
  <c r="G874" i="6"/>
  <c r="F874" i="6"/>
  <c r="B874" i="6"/>
  <c r="C874" i="6" s="1"/>
  <c r="M873" i="6"/>
  <c r="J873" i="6"/>
  <c r="F873" i="6"/>
  <c r="C873" i="6"/>
  <c r="B873" i="6"/>
  <c r="G873" i="6" s="1"/>
  <c r="M872" i="6"/>
  <c r="J872" i="6"/>
  <c r="G872" i="6"/>
  <c r="F872" i="6"/>
  <c r="B872" i="6"/>
  <c r="C872" i="6" s="1"/>
  <c r="M871" i="6"/>
  <c r="J871" i="6"/>
  <c r="F871" i="6"/>
  <c r="C871" i="6"/>
  <c r="B871" i="6"/>
  <c r="G871" i="6" s="1"/>
  <c r="M870" i="6"/>
  <c r="J870" i="6"/>
  <c r="G870" i="6"/>
  <c r="F870" i="6"/>
  <c r="B870" i="6"/>
  <c r="C870" i="6" s="1"/>
  <c r="M869" i="6"/>
  <c r="J869" i="6"/>
  <c r="F869" i="6"/>
  <c r="C869" i="6"/>
  <c r="B869" i="6"/>
  <c r="G869" i="6" s="1"/>
  <c r="M868" i="6"/>
  <c r="J868" i="6"/>
  <c r="G868" i="6"/>
  <c r="F868" i="6"/>
  <c r="B868" i="6"/>
  <c r="C868" i="6" s="1"/>
  <c r="M867" i="6"/>
  <c r="J867" i="6"/>
  <c r="F867" i="6"/>
  <c r="C867" i="6"/>
  <c r="B867" i="6"/>
  <c r="G867" i="6" s="1"/>
  <c r="M866" i="6"/>
  <c r="J866" i="6"/>
  <c r="G866" i="6"/>
  <c r="F866" i="6"/>
  <c r="B866" i="6"/>
  <c r="C866" i="6" s="1"/>
  <c r="M865" i="6"/>
  <c r="J865" i="6"/>
  <c r="F865" i="6"/>
  <c r="C865" i="6"/>
  <c r="B865" i="6"/>
  <c r="G865" i="6" s="1"/>
  <c r="M864" i="6"/>
  <c r="J864" i="6"/>
  <c r="G864" i="6"/>
  <c r="F864" i="6"/>
  <c r="B864" i="6"/>
  <c r="C864" i="6" s="1"/>
  <c r="M863" i="6"/>
  <c r="J863" i="6"/>
  <c r="F863" i="6"/>
  <c r="C863" i="6"/>
  <c r="B863" i="6"/>
  <c r="G863" i="6" s="1"/>
  <c r="M862" i="6"/>
  <c r="J862" i="6"/>
  <c r="G862" i="6"/>
  <c r="F862" i="6"/>
  <c r="B862" i="6"/>
  <c r="C862" i="6" s="1"/>
  <c r="M861" i="6"/>
  <c r="J861" i="6"/>
  <c r="F861" i="6"/>
  <c r="C861" i="6"/>
  <c r="B861" i="6"/>
  <c r="G861" i="6" s="1"/>
  <c r="M860" i="6"/>
  <c r="J860" i="6"/>
  <c r="G860" i="6"/>
  <c r="F860" i="6"/>
  <c r="B860" i="6"/>
  <c r="C860" i="6" s="1"/>
  <c r="M859" i="6"/>
  <c r="J859" i="6"/>
  <c r="F859" i="6"/>
  <c r="C859" i="6"/>
  <c r="B859" i="6"/>
  <c r="G859" i="6" s="1"/>
  <c r="M858" i="6"/>
  <c r="J858" i="6"/>
  <c r="G858" i="6"/>
  <c r="F858" i="6"/>
  <c r="B858" i="6"/>
  <c r="C858" i="6" s="1"/>
  <c r="M857" i="6"/>
  <c r="J857" i="6"/>
  <c r="F857" i="6"/>
  <c r="C857" i="6"/>
  <c r="B857" i="6"/>
  <c r="G857" i="6" s="1"/>
  <c r="M856" i="6"/>
  <c r="J856" i="6"/>
  <c r="G856" i="6"/>
  <c r="F856" i="6"/>
  <c r="B856" i="6"/>
  <c r="C856" i="6" s="1"/>
  <c r="M855" i="6"/>
  <c r="J855" i="6"/>
  <c r="F855" i="6"/>
  <c r="C855" i="6"/>
  <c r="B855" i="6"/>
  <c r="G855" i="6" s="1"/>
  <c r="M854" i="6"/>
  <c r="J854" i="6"/>
  <c r="G854" i="6"/>
  <c r="F854" i="6"/>
  <c r="B854" i="6"/>
  <c r="C854" i="6" s="1"/>
  <c r="M853" i="6"/>
  <c r="J853" i="6"/>
  <c r="F853" i="6"/>
  <c r="C853" i="6"/>
  <c r="B853" i="6"/>
  <c r="G853" i="6" s="1"/>
  <c r="M852" i="6"/>
  <c r="J852" i="6"/>
  <c r="G852" i="6"/>
  <c r="F852" i="6"/>
  <c r="B852" i="6"/>
  <c r="C852" i="6" s="1"/>
  <c r="M851" i="6"/>
  <c r="J851" i="6"/>
  <c r="F851" i="6"/>
  <c r="C851" i="6"/>
  <c r="B851" i="6"/>
  <c r="G851" i="6" s="1"/>
  <c r="M850" i="6"/>
  <c r="J850" i="6"/>
  <c r="G850" i="6"/>
  <c r="F850" i="6"/>
  <c r="B850" i="6"/>
  <c r="C850" i="6" s="1"/>
  <c r="M849" i="6"/>
  <c r="J849" i="6"/>
  <c r="F849" i="6"/>
  <c r="C849" i="6"/>
  <c r="B849" i="6"/>
  <c r="G849" i="6" s="1"/>
  <c r="M848" i="6"/>
  <c r="J848" i="6"/>
  <c r="G848" i="6"/>
  <c r="F848" i="6"/>
  <c r="B848" i="6"/>
  <c r="C848" i="6" s="1"/>
  <c r="M847" i="6"/>
  <c r="J847" i="6"/>
  <c r="F847" i="6"/>
  <c r="B847" i="6"/>
  <c r="G847" i="6" s="1"/>
  <c r="M846" i="6"/>
  <c r="J846" i="6"/>
  <c r="G846" i="6"/>
  <c r="F846" i="6"/>
  <c r="B846" i="6"/>
  <c r="C846" i="6" s="1"/>
  <c r="M845" i="6"/>
  <c r="J845" i="6"/>
  <c r="F845" i="6"/>
  <c r="C845" i="6"/>
  <c r="B845" i="6"/>
  <c r="G845" i="6" s="1"/>
  <c r="M844" i="6"/>
  <c r="J844" i="6"/>
  <c r="G844" i="6"/>
  <c r="F844" i="6"/>
  <c r="B844" i="6"/>
  <c r="C844" i="6" s="1"/>
  <c r="M843" i="6"/>
  <c r="J843" i="6"/>
  <c r="F843" i="6"/>
  <c r="B843" i="6"/>
  <c r="G843" i="6" s="1"/>
  <c r="M842" i="6"/>
  <c r="J842" i="6"/>
  <c r="F842" i="6"/>
  <c r="B842" i="6"/>
  <c r="C842" i="6" s="1"/>
  <c r="M841" i="6"/>
  <c r="J841" i="6"/>
  <c r="F841" i="6"/>
  <c r="C841" i="6"/>
  <c r="B841" i="6"/>
  <c r="G841" i="6" s="1"/>
  <c r="M840" i="6"/>
  <c r="J840" i="6"/>
  <c r="G840" i="6"/>
  <c r="F840" i="6"/>
  <c r="B840" i="6"/>
  <c r="C840" i="6" s="1"/>
  <c r="M839" i="6"/>
  <c r="J839" i="6"/>
  <c r="F839" i="6"/>
  <c r="B839" i="6"/>
  <c r="G839" i="6" s="1"/>
  <c r="M838" i="6"/>
  <c r="J838" i="6"/>
  <c r="F838" i="6"/>
  <c r="B838" i="6"/>
  <c r="C838" i="6" s="1"/>
  <c r="M837" i="6"/>
  <c r="J837" i="6"/>
  <c r="F837" i="6"/>
  <c r="C837" i="6"/>
  <c r="B837" i="6"/>
  <c r="G837" i="6" s="1"/>
  <c r="M836" i="6"/>
  <c r="J836" i="6"/>
  <c r="G836" i="6"/>
  <c r="F836" i="6"/>
  <c r="B836" i="6"/>
  <c r="C836" i="6" s="1"/>
  <c r="M835" i="6"/>
  <c r="J835" i="6"/>
  <c r="F835" i="6"/>
  <c r="B835" i="6"/>
  <c r="G835" i="6" s="1"/>
  <c r="M834" i="6"/>
  <c r="J834" i="6"/>
  <c r="F834" i="6"/>
  <c r="B834" i="6"/>
  <c r="C834" i="6" s="1"/>
  <c r="M833" i="6"/>
  <c r="J833" i="6"/>
  <c r="F833" i="6"/>
  <c r="C833" i="6"/>
  <c r="B833" i="6"/>
  <c r="G833" i="6" s="1"/>
  <c r="M832" i="6"/>
  <c r="J832" i="6"/>
  <c r="G832" i="6"/>
  <c r="F832" i="6"/>
  <c r="B832" i="6"/>
  <c r="C832" i="6" s="1"/>
  <c r="M831" i="6"/>
  <c r="J831" i="6"/>
  <c r="F831" i="6"/>
  <c r="B831" i="6"/>
  <c r="G831" i="6" s="1"/>
  <c r="M830" i="6"/>
  <c r="J830" i="6"/>
  <c r="F830" i="6"/>
  <c r="B830" i="6"/>
  <c r="C830" i="6" s="1"/>
  <c r="M829" i="6"/>
  <c r="J829" i="6"/>
  <c r="F829" i="6"/>
  <c r="C829" i="6"/>
  <c r="B829" i="6"/>
  <c r="G829" i="6" s="1"/>
  <c r="M828" i="6"/>
  <c r="J828" i="6"/>
  <c r="G828" i="6"/>
  <c r="F828" i="6"/>
  <c r="B828" i="6"/>
  <c r="C828" i="6" s="1"/>
  <c r="M827" i="6"/>
  <c r="J827" i="6"/>
  <c r="F827" i="6"/>
  <c r="B827" i="6"/>
  <c r="G827" i="6" s="1"/>
  <c r="M826" i="6"/>
  <c r="J826" i="6"/>
  <c r="F826" i="6"/>
  <c r="B826" i="6"/>
  <c r="C826" i="6" s="1"/>
  <c r="M825" i="6"/>
  <c r="J825" i="6"/>
  <c r="F825" i="6"/>
  <c r="C825" i="6"/>
  <c r="B825" i="6"/>
  <c r="G825" i="6" s="1"/>
  <c r="M824" i="6"/>
  <c r="J824" i="6"/>
  <c r="F824" i="6"/>
  <c r="B824" i="6"/>
  <c r="C824" i="6" s="1"/>
  <c r="M823" i="6"/>
  <c r="J823" i="6"/>
  <c r="F823" i="6"/>
  <c r="C823" i="6"/>
  <c r="B823" i="6"/>
  <c r="G823" i="6" s="1"/>
  <c r="M822" i="6"/>
  <c r="J822" i="6"/>
  <c r="F822" i="6"/>
  <c r="B822" i="6"/>
  <c r="C822" i="6" s="1"/>
  <c r="M821" i="6"/>
  <c r="J821" i="6"/>
  <c r="F821" i="6"/>
  <c r="C821" i="6"/>
  <c r="B821" i="6"/>
  <c r="G821" i="6" s="1"/>
  <c r="M820" i="6"/>
  <c r="J820" i="6"/>
  <c r="F820" i="6"/>
  <c r="B820" i="6"/>
  <c r="C820" i="6" s="1"/>
  <c r="M819" i="6"/>
  <c r="J819" i="6"/>
  <c r="F819" i="6"/>
  <c r="C819" i="6"/>
  <c r="B819" i="6"/>
  <c r="G819" i="6" s="1"/>
  <c r="M818" i="6"/>
  <c r="J818" i="6"/>
  <c r="F818" i="6"/>
  <c r="B818" i="6"/>
  <c r="C818" i="6" s="1"/>
  <c r="M817" i="6"/>
  <c r="J817" i="6"/>
  <c r="F817" i="6"/>
  <c r="C817" i="6"/>
  <c r="B817" i="6"/>
  <c r="G817" i="6" s="1"/>
  <c r="M816" i="6"/>
  <c r="J816" i="6"/>
  <c r="F816" i="6"/>
  <c r="B816" i="6"/>
  <c r="C816" i="6" s="1"/>
  <c r="M815" i="6"/>
  <c r="J815" i="6"/>
  <c r="F815" i="6"/>
  <c r="C815" i="6"/>
  <c r="B815" i="6"/>
  <c r="G815" i="6" s="1"/>
  <c r="M814" i="6"/>
  <c r="J814" i="6"/>
  <c r="F814" i="6"/>
  <c r="B814" i="6"/>
  <c r="C814" i="6" s="1"/>
  <c r="M813" i="6"/>
  <c r="J813" i="6"/>
  <c r="F813" i="6"/>
  <c r="C813" i="6"/>
  <c r="B813" i="6"/>
  <c r="G813" i="6" s="1"/>
  <c r="M812" i="6"/>
  <c r="J812" i="6"/>
  <c r="F812" i="6"/>
  <c r="B812" i="6"/>
  <c r="C812" i="6" s="1"/>
  <c r="M811" i="6"/>
  <c r="J811" i="6"/>
  <c r="F811" i="6"/>
  <c r="C811" i="6"/>
  <c r="B811" i="6"/>
  <c r="G811" i="6" s="1"/>
  <c r="M810" i="6"/>
  <c r="J810" i="6"/>
  <c r="F810" i="6"/>
  <c r="B810" i="6"/>
  <c r="C810" i="6" s="1"/>
  <c r="M809" i="6"/>
  <c r="J809" i="6"/>
  <c r="F809" i="6"/>
  <c r="C809" i="6"/>
  <c r="B809" i="6"/>
  <c r="G809" i="6" s="1"/>
  <c r="M808" i="6"/>
  <c r="J808" i="6"/>
  <c r="F808" i="6"/>
  <c r="B808" i="6"/>
  <c r="C808" i="6" s="1"/>
  <c r="M807" i="6"/>
  <c r="J807" i="6"/>
  <c r="F807" i="6"/>
  <c r="C807" i="6"/>
  <c r="B807" i="6"/>
  <c r="G807" i="6" s="1"/>
  <c r="M806" i="6"/>
  <c r="J806" i="6"/>
  <c r="F806" i="6"/>
  <c r="B806" i="6"/>
  <c r="C806" i="6" s="1"/>
  <c r="M805" i="6"/>
  <c r="J805" i="6"/>
  <c r="F805" i="6"/>
  <c r="C805" i="6"/>
  <c r="B805" i="6"/>
  <c r="G805" i="6" s="1"/>
  <c r="M804" i="6"/>
  <c r="J804" i="6"/>
  <c r="F804" i="6"/>
  <c r="B804" i="6"/>
  <c r="C804" i="6" s="1"/>
  <c r="M803" i="6"/>
  <c r="J803" i="6"/>
  <c r="F803" i="6"/>
  <c r="C803" i="6"/>
  <c r="B803" i="6"/>
  <c r="G803" i="6" s="1"/>
  <c r="M802" i="6"/>
  <c r="J802" i="6"/>
  <c r="F802" i="6"/>
  <c r="B802" i="6"/>
  <c r="C802" i="6" s="1"/>
  <c r="M801" i="6"/>
  <c r="J801" i="6"/>
  <c r="F801" i="6"/>
  <c r="C801" i="6"/>
  <c r="B801" i="6"/>
  <c r="G801" i="6" s="1"/>
  <c r="M800" i="6"/>
  <c r="J800" i="6"/>
  <c r="F800" i="6"/>
  <c r="B800" i="6"/>
  <c r="C800" i="6" s="1"/>
  <c r="M799" i="6"/>
  <c r="J799" i="6"/>
  <c r="F799" i="6"/>
  <c r="C799" i="6"/>
  <c r="B799" i="6"/>
  <c r="G799" i="6" s="1"/>
  <c r="M798" i="6"/>
  <c r="J798" i="6"/>
  <c r="F798" i="6"/>
  <c r="B798" i="6"/>
  <c r="C798" i="6" s="1"/>
  <c r="M797" i="6"/>
  <c r="J797" i="6"/>
  <c r="F797" i="6"/>
  <c r="C797" i="6"/>
  <c r="B797" i="6"/>
  <c r="G797" i="6" s="1"/>
  <c r="M796" i="6"/>
  <c r="J796" i="6"/>
  <c r="F796" i="6"/>
  <c r="B796" i="6"/>
  <c r="C796" i="6" s="1"/>
  <c r="M795" i="6"/>
  <c r="J795" i="6"/>
  <c r="F795" i="6"/>
  <c r="C795" i="6"/>
  <c r="B795" i="6"/>
  <c r="G795" i="6" s="1"/>
  <c r="M794" i="6"/>
  <c r="J794" i="6"/>
  <c r="F794" i="6"/>
  <c r="B794" i="6"/>
  <c r="C794" i="6" s="1"/>
  <c r="M793" i="6"/>
  <c r="J793" i="6"/>
  <c r="F793" i="6"/>
  <c r="C793" i="6"/>
  <c r="B793" i="6"/>
  <c r="G793" i="6" s="1"/>
  <c r="M792" i="6"/>
  <c r="J792" i="6"/>
  <c r="F792" i="6"/>
  <c r="B792" i="6"/>
  <c r="C792" i="6" s="1"/>
  <c r="M791" i="6"/>
  <c r="J791" i="6"/>
  <c r="F791" i="6"/>
  <c r="C791" i="6"/>
  <c r="B791" i="6"/>
  <c r="G791" i="6" s="1"/>
  <c r="M790" i="6"/>
  <c r="J790" i="6"/>
  <c r="F790" i="6"/>
  <c r="B790" i="6"/>
  <c r="C790" i="6" s="1"/>
  <c r="M789" i="6"/>
  <c r="J789" i="6"/>
  <c r="F789" i="6"/>
  <c r="C789" i="6"/>
  <c r="B789" i="6"/>
  <c r="G789" i="6" s="1"/>
  <c r="M788" i="6"/>
  <c r="J788" i="6"/>
  <c r="F788" i="6"/>
  <c r="B788" i="6"/>
  <c r="C788" i="6" s="1"/>
  <c r="M787" i="6"/>
  <c r="J787" i="6"/>
  <c r="F787" i="6"/>
  <c r="C787" i="6"/>
  <c r="B787" i="6"/>
  <c r="G787" i="6" s="1"/>
  <c r="M786" i="6"/>
  <c r="J786" i="6"/>
  <c r="F786" i="6"/>
  <c r="B786" i="6"/>
  <c r="C786" i="6" s="1"/>
  <c r="M785" i="6"/>
  <c r="J785" i="6"/>
  <c r="F785" i="6"/>
  <c r="C785" i="6"/>
  <c r="B785" i="6"/>
  <c r="G785" i="6" s="1"/>
  <c r="M784" i="6"/>
  <c r="J784" i="6"/>
  <c r="F784" i="6"/>
  <c r="B784" i="6"/>
  <c r="C784" i="6" s="1"/>
  <c r="M783" i="6"/>
  <c r="J783" i="6"/>
  <c r="F783" i="6"/>
  <c r="C783" i="6"/>
  <c r="B783" i="6"/>
  <c r="G783" i="6" s="1"/>
  <c r="M782" i="6"/>
  <c r="J782" i="6"/>
  <c r="F782" i="6"/>
  <c r="B782" i="6"/>
  <c r="C782" i="6" s="1"/>
  <c r="M781" i="6"/>
  <c r="J781" i="6"/>
  <c r="F781" i="6"/>
  <c r="C781" i="6"/>
  <c r="B781" i="6"/>
  <c r="G781" i="6" s="1"/>
  <c r="M780" i="6"/>
  <c r="J780" i="6"/>
  <c r="F780" i="6"/>
  <c r="B780" i="6"/>
  <c r="C780" i="6" s="1"/>
  <c r="M779" i="6"/>
  <c r="J779" i="6"/>
  <c r="F779" i="6"/>
  <c r="C779" i="6"/>
  <c r="B779" i="6"/>
  <c r="G779" i="6" s="1"/>
  <c r="M778" i="6"/>
  <c r="J778" i="6"/>
  <c r="F778" i="6"/>
  <c r="B778" i="6"/>
  <c r="C778" i="6" s="1"/>
  <c r="M777" i="6"/>
  <c r="J777" i="6"/>
  <c r="F777" i="6"/>
  <c r="C777" i="6"/>
  <c r="B777" i="6"/>
  <c r="G777" i="6" s="1"/>
  <c r="M776" i="6"/>
  <c r="J776" i="6"/>
  <c r="F776" i="6"/>
  <c r="B776" i="6"/>
  <c r="C776" i="6" s="1"/>
  <c r="M775" i="6"/>
  <c r="J775" i="6"/>
  <c r="F775" i="6"/>
  <c r="C775" i="6"/>
  <c r="B775" i="6"/>
  <c r="G775" i="6" s="1"/>
  <c r="M774" i="6"/>
  <c r="J774" i="6"/>
  <c r="F774" i="6"/>
  <c r="B774" i="6"/>
  <c r="C774" i="6" s="1"/>
  <c r="M773" i="6"/>
  <c r="J773" i="6"/>
  <c r="F773" i="6"/>
  <c r="C773" i="6"/>
  <c r="B773" i="6"/>
  <c r="G773" i="6" s="1"/>
  <c r="M772" i="6"/>
  <c r="J772" i="6"/>
  <c r="F772" i="6"/>
  <c r="B772" i="6"/>
  <c r="C772" i="6" s="1"/>
  <c r="M771" i="6"/>
  <c r="J771" i="6"/>
  <c r="F771" i="6"/>
  <c r="C771" i="6"/>
  <c r="B771" i="6"/>
  <c r="G771" i="6" s="1"/>
  <c r="M770" i="6"/>
  <c r="J770" i="6"/>
  <c r="F770" i="6"/>
  <c r="B770" i="6"/>
  <c r="C770" i="6" s="1"/>
  <c r="M769" i="6"/>
  <c r="J769" i="6"/>
  <c r="F769" i="6"/>
  <c r="C769" i="6"/>
  <c r="B769" i="6"/>
  <c r="G769" i="6" s="1"/>
  <c r="M768" i="6"/>
  <c r="J768" i="6"/>
  <c r="F768" i="6"/>
  <c r="B768" i="6"/>
  <c r="C768" i="6" s="1"/>
  <c r="M767" i="6"/>
  <c r="J767" i="6"/>
  <c r="F767" i="6"/>
  <c r="C767" i="6"/>
  <c r="B767" i="6"/>
  <c r="G767" i="6" s="1"/>
  <c r="M766" i="6"/>
  <c r="J766" i="6"/>
  <c r="F766" i="6"/>
  <c r="B766" i="6"/>
  <c r="C766" i="6" s="1"/>
  <c r="M765" i="6"/>
  <c r="J765" i="6"/>
  <c r="F765" i="6"/>
  <c r="C765" i="6"/>
  <c r="B765" i="6"/>
  <c r="G765" i="6" s="1"/>
  <c r="M764" i="6"/>
  <c r="J764" i="6"/>
  <c r="F764" i="6"/>
  <c r="B764" i="6"/>
  <c r="C764" i="6" s="1"/>
  <c r="M763" i="6"/>
  <c r="J763" i="6"/>
  <c r="F763" i="6"/>
  <c r="C763" i="6"/>
  <c r="B763" i="6"/>
  <c r="G763" i="6" s="1"/>
  <c r="M762" i="6"/>
  <c r="J762" i="6"/>
  <c r="F762" i="6"/>
  <c r="B762" i="6"/>
  <c r="C762" i="6" s="1"/>
  <c r="M761" i="6"/>
  <c r="J761" i="6"/>
  <c r="F761" i="6"/>
  <c r="C761" i="6"/>
  <c r="B761" i="6"/>
  <c r="G761" i="6" s="1"/>
  <c r="M760" i="6"/>
  <c r="J760" i="6"/>
  <c r="F760" i="6"/>
  <c r="B760" i="6"/>
  <c r="M759" i="6"/>
  <c r="J759" i="6"/>
  <c r="F759" i="6"/>
  <c r="C759" i="6"/>
  <c r="B759" i="6"/>
  <c r="G759" i="6" s="1"/>
  <c r="M758" i="6"/>
  <c r="J758" i="6"/>
  <c r="F758" i="6"/>
  <c r="B758" i="6"/>
  <c r="M757" i="6"/>
  <c r="J757" i="6"/>
  <c r="F757" i="6"/>
  <c r="C757" i="6"/>
  <c r="B757" i="6"/>
  <c r="G757" i="6" s="1"/>
  <c r="M756" i="6"/>
  <c r="J756" i="6"/>
  <c r="F756" i="6"/>
  <c r="B756" i="6"/>
  <c r="M755" i="6"/>
  <c r="J755" i="6"/>
  <c r="F755" i="6"/>
  <c r="C755" i="6"/>
  <c r="B755" i="6"/>
  <c r="G755" i="6" s="1"/>
  <c r="M754" i="6"/>
  <c r="J754" i="6"/>
  <c r="F754" i="6"/>
  <c r="B754" i="6"/>
  <c r="M753" i="6"/>
  <c r="J753" i="6"/>
  <c r="F753" i="6"/>
  <c r="C753" i="6"/>
  <c r="B753" i="6"/>
  <c r="G753" i="6" s="1"/>
  <c r="M752" i="6"/>
  <c r="J752" i="6"/>
  <c r="F752" i="6"/>
  <c r="B752" i="6"/>
  <c r="M751" i="6"/>
  <c r="J751" i="6"/>
  <c r="F751" i="6"/>
  <c r="C751" i="6"/>
  <c r="B751" i="6"/>
  <c r="G751" i="6" s="1"/>
  <c r="M750" i="6"/>
  <c r="J750" i="6"/>
  <c r="F750" i="6"/>
  <c r="B750" i="6"/>
  <c r="M749" i="6"/>
  <c r="J749" i="6"/>
  <c r="F749" i="6"/>
  <c r="C749" i="6"/>
  <c r="B749" i="6"/>
  <c r="G749" i="6" s="1"/>
  <c r="M748" i="6"/>
  <c r="J748" i="6"/>
  <c r="F748" i="6"/>
  <c r="B748" i="6"/>
  <c r="M747" i="6"/>
  <c r="J747" i="6"/>
  <c r="F747" i="6"/>
  <c r="C747" i="6"/>
  <c r="B747" i="6"/>
  <c r="G747" i="6" s="1"/>
  <c r="M746" i="6"/>
  <c r="J746" i="6"/>
  <c r="F746" i="6"/>
  <c r="B746" i="6"/>
  <c r="M745" i="6"/>
  <c r="J745" i="6"/>
  <c r="F745" i="6"/>
  <c r="B745" i="6"/>
  <c r="G745" i="6" s="1"/>
  <c r="M744" i="6"/>
  <c r="J744" i="6"/>
  <c r="F744" i="6"/>
  <c r="B744" i="6"/>
  <c r="M743" i="6"/>
  <c r="J743" i="6"/>
  <c r="F743" i="6"/>
  <c r="B743" i="6"/>
  <c r="G743" i="6" s="1"/>
  <c r="M742" i="6"/>
  <c r="J742" i="6"/>
  <c r="F742" i="6"/>
  <c r="B742" i="6"/>
  <c r="M741" i="6"/>
  <c r="J741" i="6"/>
  <c r="F741" i="6"/>
  <c r="B741" i="6"/>
  <c r="G741" i="6" s="1"/>
  <c r="M740" i="6"/>
  <c r="J740" i="6"/>
  <c r="F740" i="6"/>
  <c r="B740" i="6"/>
  <c r="M739" i="6"/>
  <c r="J739" i="6"/>
  <c r="F739" i="6"/>
  <c r="B739" i="6"/>
  <c r="G739" i="6" s="1"/>
  <c r="M738" i="6"/>
  <c r="J738" i="6"/>
  <c r="F738" i="6"/>
  <c r="B738" i="6"/>
  <c r="M737" i="6"/>
  <c r="J737" i="6"/>
  <c r="F737" i="6"/>
  <c r="B737" i="6"/>
  <c r="G737" i="6" s="1"/>
  <c r="M736" i="6"/>
  <c r="J736" i="6"/>
  <c r="F736" i="6"/>
  <c r="B736" i="6"/>
  <c r="M735" i="6"/>
  <c r="J735" i="6"/>
  <c r="F735" i="6"/>
  <c r="B735" i="6"/>
  <c r="G735" i="6" s="1"/>
  <c r="M734" i="6"/>
  <c r="J734" i="6"/>
  <c r="F734" i="6"/>
  <c r="B734" i="6"/>
  <c r="M733" i="6"/>
  <c r="J733" i="6"/>
  <c r="F733" i="6"/>
  <c r="B733" i="6"/>
  <c r="G733" i="6" s="1"/>
  <c r="M732" i="6"/>
  <c r="J732" i="6"/>
  <c r="F732" i="6"/>
  <c r="B732" i="6"/>
  <c r="M731" i="6"/>
  <c r="J731" i="6"/>
  <c r="F731" i="6"/>
  <c r="B731" i="6"/>
  <c r="G731" i="6" s="1"/>
  <c r="M730" i="6"/>
  <c r="J730" i="6"/>
  <c r="F730" i="6"/>
  <c r="B730" i="6"/>
  <c r="M729" i="6"/>
  <c r="J729" i="6"/>
  <c r="F729" i="6"/>
  <c r="B729" i="6"/>
  <c r="G729" i="6" s="1"/>
  <c r="M728" i="6"/>
  <c r="J728" i="6"/>
  <c r="F728" i="6"/>
  <c r="B728" i="6"/>
  <c r="M727" i="6"/>
  <c r="J727" i="6"/>
  <c r="F727" i="6"/>
  <c r="B727" i="6"/>
  <c r="G727" i="6" s="1"/>
  <c r="M726" i="6"/>
  <c r="J726" i="6"/>
  <c r="F726" i="6"/>
  <c r="B726" i="6"/>
  <c r="M725" i="6"/>
  <c r="J725" i="6"/>
  <c r="F725" i="6"/>
  <c r="B725" i="6"/>
  <c r="G725" i="6" s="1"/>
  <c r="M724" i="6"/>
  <c r="J724" i="6"/>
  <c r="F724" i="6"/>
  <c r="B724" i="6"/>
  <c r="M723" i="6"/>
  <c r="J723" i="6"/>
  <c r="F723" i="6"/>
  <c r="B723" i="6"/>
  <c r="G723" i="6" s="1"/>
  <c r="M722" i="6"/>
  <c r="J722" i="6"/>
  <c r="F722" i="6"/>
  <c r="B722" i="6"/>
  <c r="M721" i="6"/>
  <c r="J721" i="6"/>
  <c r="F721" i="6"/>
  <c r="B721" i="6"/>
  <c r="G721" i="6" s="1"/>
  <c r="M720" i="6"/>
  <c r="J720" i="6"/>
  <c r="F720" i="6"/>
  <c r="B720" i="6"/>
  <c r="M719" i="6"/>
  <c r="J719" i="6"/>
  <c r="F719" i="6"/>
  <c r="B719" i="6"/>
  <c r="G719" i="6" s="1"/>
  <c r="M718" i="6"/>
  <c r="J718" i="6"/>
  <c r="F718" i="6"/>
  <c r="B718" i="6"/>
  <c r="M717" i="6"/>
  <c r="J717" i="6"/>
  <c r="F717" i="6"/>
  <c r="B717" i="6"/>
  <c r="G717" i="6" s="1"/>
  <c r="M716" i="6"/>
  <c r="J716" i="6"/>
  <c r="F716" i="6"/>
  <c r="B716" i="6"/>
  <c r="M715" i="6"/>
  <c r="J715" i="6"/>
  <c r="F715" i="6"/>
  <c r="B715" i="6"/>
  <c r="G715" i="6" s="1"/>
  <c r="M714" i="6"/>
  <c r="J714" i="6"/>
  <c r="F714" i="6"/>
  <c r="B714" i="6"/>
  <c r="M713" i="6"/>
  <c r="J713" i="6"/>
  <c r="F713" i="6"/>
  <c r="B713" i="6"/>
  <c r="M712" i="6"/>
  <c r="J712" i="6"/>
  <c r="F712" i="6"/>
  <c r="B712" i="6"/>
  <c r="M711" i="6"/>
  <c r="J711" i="6"/>
  <c r="F711" i="6"/>
  <c r="B711" i="6"/>
  <c r="M710" i="6"/>
  <c r="J710" i="6"/>
  <c r="F710" i="6"/>
  <c r="B710" i="6"/>
  <c r="M709" i="6"/>
  <c r="J709" i="6"/>
  <c r="F709" i="6"/>
  <c r="B709" i="6"/>
  <c r="M708" i="6"/>
  <c r="J708" i="6"/>
  <c r="F708" i="6"/>
  <c r="B708" i="6"/>
  <c r="M707" i="6"/>
  <c r="J707" i="6"/>
  <c r="F707" i="6"/>
  <c r="B707" i="6"/>
  <c r="M706" i="6"/>
  <c r="J706" i="6"/>
  <c r="F706" i="6"/>
  <c r="B706" i="6"/>
  <c r="M705" i="6"/>
  <c r="J705" i="6"/>
  <c r="F705" i="6"/>
  <c r="B705" i="6"/>
  <c r="M704" i="6"/>
  <c r="J704" i="6"/>
  <c r="F704" i="6"/>
  <c r="B704" i="6"/>
  <c r="M703" i="6"/>
  <c r="J703" i="6"/>
  <c r="F703" i="6"/>
  <c r="B703" i="6"/>
  <c r="M702" i="6"/>
  <c r="J702" i="6"/>
  <c r="F702" i="6"/>
  <c r="B702" i="6"/>
  <c r="M701" i="6"/>
  <c r="J701" i="6"/>
  <c r="F701" i="6"/>
  <c r="B701" i="6"/>
  <c r="M700" i="6"/>
  <c r="J700" i="6"/>
  <c r="G700" i="6"/>
  <c r="F700" i="6"/>
  <c r="B700" i="6"/>
  <c r="C700" i="6" s="1"/>
  <c r="M699" i="6"/>
  <c r="J699" i="6"/>
  <c r="F699" i="6"/>
  <c r="B699" i="6"/>
  <c r="G699" i="6" s="1"/>
  <c r="M698" i="6"/>
  <c r="J698" i="6"/>
  <c r="F698" i="6"/>
  <c r="B698" i="6"/>
  <c r="M697" i="6"/>
  <c r="J697" i="6"/>
  <c r="F697" i="6"/>
  <c r="C697" i="6"/>
  <c r="B697" i="6"/>
  <c r="G697" i="6" s="1"/>
  <c r="M696" i="6"/>
  <c r="J696" i="6"/>
  <c r="G696" i="6"/>
  <c r="F696" i="6"/>
  <c r="B696" i="6"/>
  <c r="C696" i="6" s="1"/>
  <c r="M695" i="6"/>
  <c r="J695" i="6"/>
  <c r="F695" i="6"/>
  <c r="B695" i="6"/>
  <c r="G695" i="6" s="1"/>
  <c r="M694" i="6"/>
  <c r="J694" i="6"/>
  <c r="F694" i="6"/>
  <c r="B694" i="6"/>
  <c r="M693" i="6"/>
  <c r="J693" i="6"/>
  <c r="F693" i="6"/>
  <c r="C693" i="6"/>
  <c r="B693" i="6"/>
  <c r="G693" i="6" s="1"/>
  <c r="M692" i="6"/>
  <c r="J692" i="6"/>
  <c r="G692" i="6"/>
  <c r="F692" i="6"/>
  <c r="B692" i="6"/>
  <c r="C692" i="6" s="1"/>
  <c r="M691" i="6"/>
  <c r="J691" i="6"/>
  <c r="F691" i="6"/>
  <c r="B691" i="6"/>
  <c r="G691" i="6" s="1"/>
  <c r="M690" i="6"/>
  <c r="J690" i="6"/>
  <c r="F690" i="6"/>
  <c r="B690" i="6"/>
  <c r="M689" i="6"/>
  <c r="J689" i="6"/>
  <c r="F689" i="6"/>
  <c r="C689" i="6"/>
  <c r="B689" i="6"/>
  <c r="G689" i="6" s="1"/>
  <c r="M688" i="6"/>
  <c r="J688" i="6"/>
  <c r="G688" i="6"/>
  <c r="F688" i="6"/>
  <c r="B688" i="6"/>
  <c r="C688" i="6" s="1"/>
  <c r="M687" i="6"/>
  <c r="J687" i="6"/>
  <c r="F687" i="6"/>
  <c r="B687" i="6"/>
  <c r="G687" i="6" s="1"/>
  <c r="M686" i="6"/>
  <c r="J686" i="6"/>
  <c r="F686" i="6"/>
  <c r="B686" i="6"/>
  <c r="M685" i="6"/>
  <c r="J685" i="6"/>
  <c r="F685" i="6"/>
  <c r="C685" i="6"/>
  <c r="B685" i="6"/>
  <c r="G685" i="6" s="1"/>
  <c r="M684" i="6"/>
  <c r="J684" i="6"/>
  <c r="G684" i="6"/>
  <c r="F684" i="6"/>
  <c r="B684" i="6"/>
  <c r="C684" i="6" s="1"/>
  <c r="M683" i="6"/>
  <c r="J683" i="6"/>
  <c r="F683" i="6"/>
  <c r="B683" i="6"/>
  <c r="G683" i="6" s="1"/>
  <c r="M682" i="6"/>
  <c r="J682" i="6"/>
  <c r="F682" i="6"/>
  <c r="B682" i="6"/>
  <c r="M681" i="6"/>
  <c r="J681" i="6"/>
  <c r="F681" i="6"/>
  <c r="C681" i="6"/>
  <c r="B681" i="6"/>
  <c r="G681" i="6" s="1"/>
  <c r="M680" i="6"/>
  <c r="J680" i="6"/>
  <c r="G680" i="6"/>
  <c r="F680" i="6"/>
  <c r="B680" i="6"/>
  <c r="C680" i="6" s="1"/>
  <c r="M679" i="6"/>
  <c r="J679" i="6"/>
  <c r="F679" i="6"/>
  <c r="B679" i="6"/>
  <c r="G679" i="6" s="1"/>
  <c r="M678" i="6"/>
  <c r="J678" i="6"/>
  <c r="F678" i="6"/>
  <c r="B678" i="6"/>
  <c r="M677" i="6"/>
  <c r="J677" i="6"/>
  <c r="F677" i="6"/>
  <c r="C677" i="6"/>
  <c r="B677" i="6"/>
  <c r="G677" i="6" s="1"/>
  <c r="M676" i="6"/>
  <c r="J676" i="6"/>
  <c r="G676" i="6"/>
  <c r="F676" i="6"/>
  <c r="B676" i="6"/>
  <c r="C676" i="6" s="1"/>
  <c r="M675" i="6"/>
  <c r="J675" i="6"/>
  <c r="F675" i="6"/>
  <c r="B675" i="6"/>
  <c r="G675" i="6" s="1"/>
  <c r="M674" i="6"/>
  <c r="J674" i="6"/>
  <c r="F674" i="6"/>
  <c r="B674" i="6"/>
  <c r="M673" i="6"/>
  <c r="J673" i="6"/>
  <c r="F673" i="6"/>
  <c r="C673" i="6"/>
  <c r="B673" i="6"/>
  <c r="G673" i="6" s="1"/>
  <c r="M672" i="6"/>
  <c r="J672" i="6"/>
  <c r="G672" i="6"/>
  <c r="F672" i="6"/>
  <c r="B672" i="6"/>
  <c r="C672" i="6" s="1"/>
  <c r="M671" i="6"/>
  <c r="J671" i="6"/>
  <c r="F671" i="6"/>
  <c r="B671" i="6"/>
  <c r="G671" i="6" s="1"/>
  <c r="M670" i="6"/>
  <c r="J670" i="6"/>
  <c r="F670" i="6"/>
  <c r="B670" i="6"/>
  <c r="M669" i="6"/>
  <c r="J669" i="6"/>
  <c r="F669" i="6"/>
  <c r="C669" i="6"/>
  <c r="B669" i="6"/>
  <c r="G669" i="6" s="1"/>
  <c r="M668" i="6"/>
  <c r="J668" i="6"/>
  <c r="G668" i="6"/>
  <c r="F668" i="6"/>
  <c r="B668" i="6"/>
  <c r="C668" i="6" s="1"/>
  <c r="M667" i="6"/>
  <c r="J667" i="6"/>
  <c r="F667" i="6"/>
  <c r="B667" i="6"/>
  <c r="G667" i="6" s="1"/>
  <c r="M666" i="6"/>
  <c r="J666" i="6"/>
  <c r="G666" i="6"/>
  <c r="F666" i="6"/>
  <c r="C666" i="6"/>
  <c r="B666" i="6"/>
  <c r="M665" i="6"/>
  <c r="J665" i="6"/>
  <c r="G665" i="6"/>
  <c r="F665" i="6"/>
  <c r="B665" i="6"/>
  <c r="C665" i="6" s="1"/>
  <c r="M664" i="6"/>
  <c r="J664" i="6"/>
  <c r="G664" i="6"/>
  <c r="F664" i="6"/>
  <c r="C664" i="6"/>
  <c r="B664" i="6"/>
  <c r="M663" i="6"/>
  <c r="J663" i="6"/>
  <c r="G663" i="6"/>
  <c r="F663" i="6"/>
  <c r="B663" i="6"/>
  <c r="C663" i="6" s="1"/>
  <c r="M662" i="6"/>
  <c r="J662" i="6"/>
  <c r="G662" i="6"/>
  <c r="F662" i="6"/>
  <c r="C662" i="6"/>
  <c r="B662" i="6"/>
  <c r="M661" i="6"/>
  <c r="J661" i="6"/>
  <c r="G661" i="6"/>
  <c r="F661" i="6"/>
  <c r="B661" i="6"/>
  <c r="C661" i="6" s="1"/>
  <c r="M660" i="6"/>
  <c r="J660" i="6"/>
  <c r="G660" i="6"/>
  <c r="F660" i="6"/>
  <c r="C660" i="6"/>
  <c r="B660" i="6"/>
  <c r="M659" i="6"/>
  <c r="J659" i="6"/>
  <c r="G659" i="6"/>
  <c r="F659" i="6"/>
  <c r="B659" i="6"/>
  <c r="C659" i="6" s="1"/>
  <c r="M658" i="6"/>
  <c r="J658" i="6"/>
  <c r="G658" i="6"/>
  <c r="F658" i="6"/>
  <c r="C658" i="6"/>
  <c r="B658" i="6"/>
  <c r="M657" i="6"/>
  <c r="J657" i="6"/>
  <c r="G657" i="6"/>
  <c r="F657" i="6"/>
  <c r="B657" i="6"/>
  <c r="C657" i="6" s="1"/>
  <c r="M656" i="6"/>
  <c r="J656" i="6"/>
  <c r="G656" i="6"/>
  <c r="F656" i="6"/>
  <c r="C656" i="6"/>
  <c r="B656" i="6"/>
  <c r="M655" i="6"/>
  <c r="J655" i="6"/>
  <c r="G655" i="6"/>
  <c r="F655" i="6"/>
  <c r="B655" i="6"/>
  <c r="C655" i="6" s="1"/>
  <c r="M654" i="6"/>
  <c r="J654" i="6"/>
  <c r="G654" i="6"/>
  <c r="F654" i="6"/>
  <c r="C654" i="6"/>
  <c r="B654" i="6"/>
  <c r="M653" i="6"/>
  <c r="J653" i="6"/>
  <c r="G653" i="6"/>
  <c r="F653" i="6"/>
  <c r="B653" i="6"/>
  <c r="C653" i="6" s="1"/>
  <c r="M652" i="6"/>
  <c r="J652" i="6"/>
  <c r="G652" i="6"/>
  <c r="F652" i="6"/>
  <c r="C652" i="6"/>
  <c r="B652" i="6"/>
  <c r="M651" i="6"/>
  <c r="J651" i="6"/>
  <c r="G651" i="6"/>
  <c r="F651" i="6"/>
  <c r="B651" i="6"/>
  <c r="C651" i="6" s="1"/>
  <c r="M650" i="6"/>
  <c r="J650" i="6"/>
  <c r="G650" i="6"/>
  <c r="F650" i="6"/>
  <c r="C650" i="6"/>
  <c r="B650" i="6"/>
  <c r="M649" i="6"/>
  <c r="J649" i="6"/>
  <c r="G649" i="6"/>
  <c r="F649" i="6"/>
  <c r="B649" i="6"/>
  <c r="C649" i="6" s="1"/>
  <c r="M648" i="6"/>
  <c r="J648" i="6"/>
  <c r="G648" i="6"/>
  <c r="F648" i="6"/>
  <c r="C648" i="6"/>
  <c r="B648" i="6"/>
  <c r="M647" i="6"/>
  <c r="J647" i="6"/>
  <c r="G647" i="6"/>
  <c r="F647" i="6"/>
  <c r="B647" i="6"/>
  <c r="C647" i="6" s="1"/>
  <c r="M646" i="6"/>
  <c r="J646" i="6"/>
  <c r="G646" i="6"/>
  <c r="F646" i="6"/>
  <c r="C646" i="6"/>
  <c r="B646" i="6"/>
  <c r="M645" i="6"/>
  <c r="J645" i="6"/>
  <c r="G645" i="6"/>
  <c r="F645" i="6"/>
  <c r="B645" i="6"/>
  <c r="C645" i="6" s="1"/>
  <c r="M644" i="6"/>
  <c r="J644" i="6"/>
  <c r="G644" i="6"/>
  <c r="F644" i="6"/>
  <c r="C644" i="6"/>
  <c r="B644" i="6"/>
  <c r="M643" i="6"/>
  <c r="J643" i="6"/>
  <c r="G643" i="6"/>
  <c r="F643" i="6"/>
  <c r="B643" i="6"/>
  <c r="C643" i="6" s="1"/>
  <c r="M642" i="6"/>
  <c r="J642" i="6"/>
  <c r="G642" i="6"/>
  <c r="F642" i="6"/>
  <c r="C642" i="6"/>
  <c r="B642" i="6"/>
  <c r="M641" i="6"/>
  <c r="J641" i="6"/>
  <c r="G641" i="6"/>
  <c r="F641" i="6"/>
  <c r="B641" i="6"/>
  <c r="C641" i="6" s="1"/>
  <c r="M640" i="6"/>
  <c r="J640" i="6"/>
  <c r="G640" i="6"/>
  <c r="F640" i="6"/>
  <c r="C640" i="6"/>
  <c r="B640" i="6"/>
  <c r="M639" i="6"/>
  <c r="J639" i="6"/>
  <c r="G639" i="6"/>
  <c r="F639" i="6"/>
  <c r="B639" i="6"/>
  <c r="C639" i="6" s="1"/>
  <c r="M638" i="6"/>
  <c r="J638" i="6"/>
  <c r="G638" i="6"/>
  <c r="F638" i="6"/>
  <c r="C638" i="6"/>
  <c r="B638" i="6"/>
  <c r="M637" i="6"/>
  <c r="J637" i="6"/>
  <c r="G637" i="6"/>
  <c r="F637" i="6"/>
  <c r="B637" i="6"/>
  <c r="C637" i="6" s="1"/>
  <c r="M636" i="6"/>
  <c r="J636" i="6"/>
  <c r="G636" i="6"/>
  <c r="F636" i="6"/>
  <c r="C636" i="6"/>
  <c r="B636" i="6"/>
  <c r="M635" i="6"/>
  <c r="J635" i="6"/>
  <c r="G635" i="6"/>
  <c r="F635" i="6"/>
  <c r="B635" i="6"/>
  <c r="C635" i="6" s="1"/>
  <c r="M634" i="6"/>
  <c r="J634" i="6"/>
  <c r="G634" i="6"/>
  <c r="F634" i="6"/>
  <c r="C634" i="6"/>
  <c r="B634" i="6"/>
  <c r="M633" i="6"/>
  <c r="J633" i="6"/>
  <c r="G633" i="6"/>
  <c r="F633" i="6"/>
  <c r="B633" i="6"/>
  <c r="C633" i="6" s="1"/>
  <c r="M632" i="6"/>
  <c r="J632" i="6"/>
  <c r="G632" i="6"/>
  <c r="F632" i="6"/>
  <c r="C632" i="6"/>
  <c r="B632" i="6"/>
  <c r="M631" i="6"/>
  <c r="J631" i="6"/>
  <c r="G631" i="6"/>
  <c r="F631" i="6"/>
  <c r="B631" i="6"/>
  <c r="C631" i="6" s="1"/>
  <c r="M630" i="6"/>
  <c r="J630" i="6"/>
  <c r="G630" i="6"/>
  <c r="F630" i="6"/>
  <c r="C630" i="6"/>
  <c r="B630" i="6"/>
  <c r="M629" i="6"/>
  <c r="J629" i="6"/>
  <c r="G629" i="6"/>
  <c r="F629" i="6"/>
  <c r="B629" i="6"/>
  <c r="C629" i="6" s="1"/>
  <c r="M628" i="6"/>
  <c r="J628" i="6"/>
  <c r="G628" i="6"/>
  <c r="F628" i="6"/>
  <c r="C628" i="6"/>
  <c r="B628" i="6"/>
  <c r="M627" i="6"/>
  <c r="J627" i="6"/>
  <c r="G627" i="6"/>
  <c r="F627" i="6"/>
  <c r="B627" i="6"/>
  <c r="C627" i="6" s="1"/>
  <c r="M626" i="6"/>
  <c r="J626" i="6"/>
  <c r="G626" i="6"/>
  <c r="F626" i="6"/>
  <c r="C626" i="6"/>
  <c r="B626" i="6"/>
  <c r="M625" i="6"/>
  <c r="J625" i="6"/>
  <c r="G625" i="6"/>
  <c r="F625" i="6"/>
  <c r="B625" i="6"/>
  <c r="C625" i="6" s="1"/>
  <c r="M624" i="6"/>
  <c r="J624" i="6"/>
  <c r="G624" i="6"/>
  <c r="F624" i="6"/>
  <c r="C624" i="6"/>
  <c r="B624" i="6"/>
  <c r="M623" i="6"/>
  <c r="J623" i="6"/>
  <c r="G623" i="6"/>
  <c r="F623" i="6"/>
  <c r="B623" i="6"/>
  <c r="C623" i="6" s="1"/>
  <c r="M622" i="6"/>
  <c r="J622" i="6"/>
  <c r="G622" i="6"/>
  <c r="F622" i="6"/>
  <c r="C622" i="6"/>
  <c r="B622" i="6"/>
  <c r="M621" i="6"/>
  <c r="J621" i="6"/>
  <c r="G621" i="6"/>
  <c r="F621" i="6"/>
  <c r="B621" i="6"/>
  <c r="C621" i="6" s="1"/>
  <c r="M620" i="6"/>
  <c r="J620" i="6"/>
  <c r="G620" i="6"/>
  <c r="F620" i="6"/>
  <c r="C620" i="6"/>
  <c r="B620" i="6"/>
  <c r="M619" i="6"/>
  <c r="J619" i="6"/>
  <c r="G619" i="6"/>
  <c r="F619" i="6"/>
  <c r="B619" i="6"/>
  <c r="C619" i="6" s="1"/>
  <c r="M618" i="6"/>
  <c r="J618" i="6"/>
  <c r="G618" i="6"/>
  <c r="F618" i="6"/>
  <c r="C618" i="6"/>
  <c r="B618" i="6"/>
  <c r="M617" i="6"/>
  <c r="J617" i="6"/>
  <c r="G617" i="6"/>
  <c r="F617" i="6"/>
  <c r="B617" i="6"/>
  <c r="C617" i="6" s="1"/>
  <c r="M616" i="6"/>
  <c r="J616" i="6"/>
  <c r="G616" i="6"/>
  <c r="F616" i="6"/>
  <c r="C616" i="6"/>
  <c r="B616" i="6"/>
  <c r="M615" i="6"/>
  <c r="J615" i="6"/>
  <c r="G615" i="6"/>
  <c r="F615" i="6"/>
  <c r="B615" i="6"/>
  <c r="C615" i="6" s="1"/>
  <c r="M614" i="6"/>
  <c r="J614" i="6"/>
  <c r="G614" i="6"/>
  <c r="F614" i="6"/>
  <c r="C614" i="6"/>
  <c r="B614" i="6"/>
  <c r="M613" i="6"/>
  <c r="J613" i="6"/>
  <c r="G613" i="6"/>
  <c r="F613" i="6"/>
  <c r="B613" i="6"/>
  <c r="C613" i="6" s="1"/>
  <c r="M612" i="6"/>
  <c r="J612" i="6"/>
  <c r="G612" i="6"/>
  <c r="F612" i="6"/>
  <c r="C612" i="6"/>
  <c r="B612" i="6"/>
  <c r="M611" i="6"/>
  <c r="J611" i="6"/>
  <c r="G611" i="6"/>
  <c r="F611" i="6"/>
  <c r="B611" i="6"/>
  <c r="C611" i="6" s="1"/>
  <c r="M610" i="6"/>
  <c r="J610" i="6"/>
  <c r="G610" i="6"/>
  <c r="F610" i="6"/>
  <c r="C610" i="6"/>
  <c r="B610" i="6"/>
  <c r="M609" i="6"/>
  <c r="J609" i="6"/>
  <c r="G609" i="6"/>
  <c r="F609" i="6"/>
  <c r="B609" i="6"/>
  <c r="C609" i="6" s="1"/>
  <c r="M608" i="6"/>
  <c r="J608" i="6"/>
  <c r="G608" i="6"/>
  <c r="F608" i="6"/>
  <c r="C608" i="6"/>
  <c r="B608" i="6"/>
  <c r="M607" i="6"/>
  <c r="J607" i="6"/>
  <c r="G607" i="6"/>
  <c r="F607" i="6"/>
  <c r="B607" i="6"/>
  <c r="C607" i="6" s="1"/>
  <c r="M606" i="6"/>
  <c r="J606" i="6"/>
  <c r="G606" i="6"/>
  <c r="F606" i="6"/>
  <c r="C606" i="6"/>
  <c r="B606" i="6"/>
  <c r="M605" i="6"/>
  <c r="J605" i="6"/>
  <c r="G605" i="6"/>
  <c r="F605" i="6"/>
  <c r="B605" i="6"/>
  <c r="C605" i="6" s="1"/>
  <c r="M604" i="6"/>
  <c r="J604" i="6"/>
  <c r="G604" i="6"/>
  <c r="F604" i="6"/>
  <c r="C604" i="6"/>
  <c r="B604" i="6"/>
  <c r="M603" i="6"/>
  <c r="J603" i="6"/>
  <c r="G603" i="6"/>
  <c r="F603" i="6"/>
  <c r="B603" i="6"/>
  <c r="C603" i="6" s="1"/>
  <c r="M602" i="6"/>
  <c r="J602" i="6"/>
  <c r="G602" i="6"/>
  <c r="F602" i="6"/>
  <c r="C602" i="6"/>
  <c r="B602" i="6"/>
  <c r="M601" i="6"/>
  <c r="J601" i="6"/>
  <c r="G601" i="6"/>
  <c r="F601" i="6"/>
  <c r="B601" i="6"/>
  <c r="C601" i="6" s="1"/>
  <c r="M600" i="6"/>
  <c r="J600" i="6"/>
  <c r="G600" i="6"/>
  <c r="F600" i="6"/>
  <c r="C600" i="6"/>
  <c r="B600" i="6"/>
  <c r="M599" i="6"/>
  <c r="J599" i="6"/>
  <c r="G599" i="6"/>
  <c r="F599" i="6"/>
  <c r="B599" i="6"/>
  <c r="C599" i="6" s="1"/>
  <c r="M598" i="6"/>
  <c r="J598" i="6"/>
  <c r="G598" i="6"/>
  <c r="F598" i="6"/>
  <c r="C598" i="6"/>
  <c r="B598" i="6"/>
  <c r="M597" i="6"/>
  <c r="J597" i="6"/>
  <c r="G597" i="6"/>
  <c r="F597" i="6"/>
  <c r="B597" i="6"/>
  <c r="C597" i="6" s="1"/>
  <c r="M596" i="6"/>
  <c r="J596" i="6"/>
  <c r="G596" i="6"/>
  <c r="F596" i="6"/>
  <c r="C596" i="6"/>
  <c r="B596" i="6"/>
  <c r="M595" i="6"/>
  <c r="J595" i="6"/>
  <c r="G595" i="6"/>
  <c r="F595" i="6"/>
  <c r="B595" i="6"/>
  <c r="C595" i="6" s="1"/>
  <c r="M594" i="6"/>
  <c r="J594" i="6"/>
  <c r="G594" i="6"/>
  <c r="F594" i="6"/>
  <c r="C594" i="6"/>
  <c r="B594" i="6"/>
  <c r="M593" i="6"/>
  <c r="J593" i="6"/>
  <c r="G593" i="6"/>
  <c r="F593" i="6"/>
  <c r="B593" i="6"/>
  <c r="C593" i="6" s="1"/>
  <c r="M592" i="6"/>
  <c r="J592" i="6"/>
  <c r="G592" i="6"/>
  <c r="F592" i="6"/>
  <c r="C592" i="6"/>
  <c r="B592" i="6"/>
  <c r="M591" i="6"/>
  <c r="J591" i="6"/>
  <c r="G591" i="6"/>
  <c r="F591" i="6"/>
  <c r="B591" i="6"/>
  <c r="C591" i="6" s="1"/>
  <c r="M590" i="6"/>
  <c r="J590" i="6"/>
  <c r="G590" i="6"/>
  <c r="F590" i="6"/>
  <c r="C590" i="6"/>
  <c r="B590" i="6"/>
  <c r="M589" i="6"/>
  <c r="J589" i="6"/>
  <c r="G589" i="6"/>
  <c r="F589" i="6"/>
  <c r="B589" i="6"/>
  <c r="C589" i="6" s="1"/>
  <c r="M588" i="6"/>
  <c r="J588" i="6"/>
  <c r="G588" i="6"/>
  <c r="F588" i="6"/>
  <c r="C588" i="6"/>
  <c r="B588" i="6"/>
  <c r="M587" i="6"/>
  <c r="J587" i="6"/>
  <c r="G587" i="6"/>
  <c r="F587" i="6"/>
  <c r="B587" i="6"/>
  <c r="C587" i="6" s="1"/>
  <c r="M586" i="6"/>
  <c r="J586" i="6"/>
  <c r="G586" i="6"/>
  <c r="F586" i="6"/>
  <c r="C586" i="6"/>
  <c r="B586" i="6"/>
  <c r="M585" i="6"/>
  <c r="J585" i="6"/>
  <c r="G585" i="6"/>
  <c r="F585" i="6"/>
  <c r="B585" i="6"/>
  <c r="C585" i="6" s="1"/>
  <c r="M584" i="6"/>
  <c r="J584" i="6"/>
  <c r="G584" i="6"/>
  <c r="F584" i="6"/>
  <c r="C584" i="6"/>
  <c r="B584" i="6"/>
  <c r="M583" i="6"/>
  <c r="J583" i="6"/>
  <c r="G583" i="6"/>
  <c r="F583" i="6"/>
  <c r="B583" i="6"/>
  <c r="C583" i="6" s="1"/>
  <c r="M582" i="6"/>
  <c r="J582" i="6"/>
  <c r="G582" i="6"/>
  <c r="F582" i="6"/>
  <c r="C582" i="6"/>
  <c r="B582" i="6"/>
  <c r="M581" i="6"/>
  <c r="J581" i="6"/>
  <c r="G581" i="6"/>
  <c r="F581" i="6"/>
  <c r="B581" i="6"/>
  <c r="C581" i="6" s="1"/>
  <c r="M580" i="6"/>
  <c r="J580" i="6"/>
  <c r="G580" i="6"/>
  <c r="F580" i="6"/>
  <c r="C580" i="6"/>
  <c r="B580" i="6"/>
  <c r="M579" i="6"/>
  <c r="J579" i="6"/>
  <c r="G579" i="6"/>
  <c r="F579" i="6"/>
  <c r="B579" i="6"/>
  <c r="C579" i="6" s="1"/>
  <c r="M578" i="6"/>
  <c r="J578" i="6"/>
  <c r="G578" i="6"/>
  <c r="F578" i="6"/>
  <c r="C578" i="6"/>
  <c r="B578" i="6"/>
  <c r="M577" i="6"/>
  <c r="J577" i="6"/>
  <c r="G577" i="6"/>
  <c r="F577" i="6"/>
  <c r="B577" i="6"/>
  <c r="C577" i="6" s="1"/>
  <c r="M576" i="6"/>
  <c r="J576" i="6"/>
  <c r="G576" i="6"/>
  <c r="F576" i="6"/>
  <c r="C576" i="6"/>
  <c r="B576" i="6"/>
  <c r="M575" i="6"/>
  <c r="J575" i="6"/>
  <c r="G575" i="6"/>
  <c r="F575" i="6"/>
  <c r="B575" i="6"/>
  <c r="C575" i="6" s="1"/>
  <c r="M574" i="6"/>
  <c r="J574" i="6"/>
  <c r="G574" i="6"/>
  <c r="F574" i="6"/>
  <c r="C574" i="6"/>
  <c r="B574" i="6"/>
  <c r="M573" i="6"/>
  <c r="J573" i="6"/>
  <c r="G573" i="6"/>
  <c r="F573" i="6"/>
  <c r="B573" i="6"/>
  <c r="C573" i="6" s="1"/>
  <c r="M572" i="6"/>
  <c r="J572" i="6"/>
  <c r="G572" i="6"/>
  <c r="F572" i="6"/>
  <c r="C572" i="6"/>
  <c r="B572" i="6"/>
  <c r="M571" i="6"/>
  <c r="J571" i="6"/>
  <c r="G571" i="6"/>
  <c r="F571" i="6"/>
  <c r="B571" i="6"/>
  <c r="C571" i="6" s="1"/>
  <c r="M570" i="6"/>
  <c r="J570" i="6"/>
  <c r="G570" i="6"/>
  <c r="F570" i="6"/>
  <c r="C570" i="6"/>
  <c r="B570" i="6"/>
  <c r="M569" i="6"/>
  <c r="J569" i="6"/>
  <c r="G569" i="6"/>
  <c r="F569" i="6"/>
  <c r="B569" i="6"/>
  <c r="C569" i="6" s="1"/>
  <c r="M568" i="6"/>
  <c r="J568" i="6"/>
  <c r="G568" i="6"/>
  <c r="F568" i="6"/>
  <c r="C568" i="6"/>
  <c r="B568" i="6"/>
  <c r="M567" i="6"/>
  <c r="J567" i="6"/>
  <c r="G567" i="6"/>
  <c r="F567" i="6"/>
  <c r="B567" i="6"/>
  <c r="C567" i="6" s="1"/>
  <c r="M566" i="6"/>
  <c r="J566" i="6"/>
  <c r="G566" i="6"/>
  <c r="F566" i="6"/>
  <c r="C566" i="6"/>
  <c r="B566" i="6"/>
  <c r="M565" i="6"/>
  <c r="J565" i="6"/>
  <c r="G565" i="6"/>
  <c r="F565" i="6"/>
  <c r="B565" i="6"/>
  <c r="C565" i="6" s="1"/>
  <c r="M564" i="6"/>
  <c r="J564" i="6"/>
  <c r="G564" i="6"/>
  <c r="F564" i="6"/>
  <c r="C564" i="6"/>
  <c r="B564" i="6"/>
  <c r="M563" i="6"/>
  <c r="J563" i="6"/>
  <c r="G563" i="6"/>
  <c r="F563" i="6"/>
  <c r="B563" i="6"/>
  <c r="C563" i="6" s="1"/>
  <c r="M562" i="6"/>
  <c r="J562" i="6"/>
  <c r="G562" i="6"/>
  <c r="F562" i="6"/>
  <c r="C562" i="6"/>
  <c r="B562" i="6"/>
  <c r="M561" i="6"/>
  <c r="J561" i="6"/>
  <c r="G561" i="6"/>
  <c r="F561" i="6"/>
  <c r="B561" i="6"/>
  <c r="C561" i="6" s="1"/>
  <c r="M560" i="6"/>
  <c r="J560" i="6"/>
  <c r="G560" i="6"/>
  <c r="F560" i="6"/>
  <c r="C560" i="6"/>
  <c r="B560" i="6"/>
  <c r="M559" i="6"/>
  <c r="J559" i="6"/>
  <c r="G559" i="6"/>
  <c r="F559" i="6"/>
  <c r="B559" i="6"/>
  <c r="C559" i="6" s="1"/>
  <c r="M558" i="6"/>
  <c r="J558" i="6"/>
  <c r="G558" i="6"/>
  <c r="F558" i="6"/>
  <c r="C558" i="6"/>
  <c r="B558" i="6"/>
  <c r="M557" i="6"/>
  <c r="J557" i="6"/>
  <c r="G557" i="6"/>
  <c r="F557" i="6"/>
  <c r="B557" i="6"/>
  <c r="C557" i="6" s="1"/>
  <c r="M556" i="6"/>
  <c r="J556" i="6"/>
  <c r="G556" i="6"/>
  <c r="F556" i="6"/>
  <c r="C556" i="6"/>
  <c r="B556" i="6"/>
  <c r="M555" i="6"/>
  <c r="J555" i="6"/>
  <c r="G555" i="6"/>
  <c r="F555" i="6"/>
  <c r="B555" i="6"/>
  <c r="C555" i="6" s="1"/>
  <c r="M554" i="6"/>
  <c r="J554" i="6"/>
  <c r="G554" i="6"/>
  <c r="F554" i="6"/>
  <c r="C554" i="6"/>
  <c r="B554" i="6"/>
  <c r="M553" i="6"/>
  <c r="J553" i="6"/>
  <c r="G553" i="6"/>
  <c r="F553" i="6"/>
  <c r="B553" i="6"/>
  <c r="C553" i="6" s="1"/>
  <c r="M552" i="6"/>
  <c r="J552" i="6"/>
  <c r="G552" i="6"/>
  <c r="F552" i="6"/>
  <c r="C552" i="6"/>
  <c r="B552" i="6"/>
  <c r="M551" i="6"/>
  <c r="J551" i="6"/>
  <c r="G551" i="6"/>
  <c r="F551" i="6"/>
  <c r="B551" i="6"/>
  <c r="C551" i="6" s="1"/>
  <c r="M550" i="6"/>
  <c r="J550" i="6"/>
  <c r="G550" i="6"/>
  <c r="F550" i="6"/>
  <c r="C550" i="6"/>
  <c r="B550" i="6"/>
  <c r="M549" i="6"/>
  <c r="J549" i="6"/>
  <c r="G549" i="6"/>
  <c r="F549" i="6"/>
  <c r="B549" i="6"/>
  <c r="C549" i="6" s="1"/>
  <c r="M548" i="6"/>
  <c r="J548" i="6"/>
  <c r="G548" i="6"/>
  <c r="F548" i="6"/>
  <c r="C548" i="6"/>
  <c r="B548" i="6"/>
  <c r="M547" i="6"/>
  <c r="J547" i="6"/>
  <c r="G547" i="6"/>
  <c r="F547" i="6"/>
  <c r="B547" i="6"/>
  <c r="C547" i="6" s="1"/>
  <c r="M546" i="6"/>
  <c r="J546" i="6"/>
  <c r="G546" i="6"/>
  <c r="F546" i="6"/>
  <c r="C546" i="6"/>
  <c r="B546" i="6"/>
  <c r="M545" i="6"/>
  <c r="J545" i="6"/>
  <c r="G545" i="6"/>
  <c r="F545" i="6"/>
  <c r="B545" i="6"/>
  <c r="C545" i="6" s="1"/>
  <c r="M544" i="6"/>
  <c r="J544" i="6"/>
  <c r="G544" i="6"/>
  <c r="F544" i="6"/>
  <c r="C544" i="6"/>
  <c r="B544" i="6"/>
  <c r="M543" i="6"/>
  <c r="J543" i="6"/>
  <c r="G543" i="6"/>
  <c r="F543" i="6"/>
  <c r="B543" i="6"/>
  <c r="C543" i="6" s="1"/>
  <c r="M542" i="6"/>
  <c r="J542" i="6"/>
  <c r="G542" i="6"/>
  <c r="F542" i="6"/>
  <c r="C542" i="6"/>
  <c r="B542" i="6"/>
  <c r="M541" i="6"/>
  <c r="J541" i="6"/>
  <c r="G541" i="6"/>
  <c r="F541" i="6"/>
  <c r="B541" i="6"/>
  <c r="C541" i="6" s="1"/>
  <c r="M540" i="6"/>
  <c r="J540" i="6"/>
  <c r="G540" i="6"/>
  <c r="F540" i="6"/>
  <c r="C540" i="6"/>
  <c r="B540" i="6"/>
  <c r="M539" i="6"/>
  <c r="J539" i="6"/>
  <c r="G539" i="6"/>
  <c r="F539" i="6"/>
  <c r="B539" i="6"/>
  <c r="C539" i="6" s="1"/>
  <c r="M538" i="6"/>
  <c r="J538" i="6"/>
  <c r="G538" i="6"/>
  <c r="F538" i="6"/>
  <c r="C538" i="6"/>
  <c r="B538" i="6"/>
  <c r="M537" i="6"/>
  <c r="J537" i="6"/>
  <c r="G537" i="6"/>
  <c r="F537" i="6"/>
  <c r="B537" i="6"/>
  <c r="C537" i="6" s="1"/>
  <c r="M536" i="6"/>
  <c r="J536" i="6"/>
  <c r="G536" i="6"/>
  <c r="F536" i="6"/>
  <c r="C536" i="6"/>
  <c r="B536" i="6"/>
  <c r="M535" i="6"/>
  <c r="J535" i="6"/>
  <c r="G535" i="6"/>
  <c r="F535" i="6"/>
  <c r="B535" i="6"/>
  <c r="C535" i="6" s="1"/>
  <c r="M534" i="6"/>
  <c r="J534" i="6"/>
  <c r="G534" i="6"/>
  <c r="F534" i="6"/>
  <c r="C534" i="6"/>
  <c r="B534" i="6"/>
  <c r="M533" i="6"/>
  <c r="J533" i="6"/>
  <c r="G533" i="6"/>
  <c r="F533" i="6"/>
  <c r="B533" i="6"/>
  <c r="C533" i="6" s="1"/>
  <c r="M532" i="6"/>
  <c r="J532" i="6"/>
  <c r="G532" i="6"/>
  <c r="F532" i="6"/>
  <c r="C532" i="6"/>
  <c r="B532" i="6"/>
  <c r="M531" i="6"/>
  <c r="J531" i="6"/>
  <c r="G531" i="6"/>
  <c r="F531" i="6"/>
  <c r="B531" i="6"/>
  <c r="C531" i="6" s="1"/>
  <c r="M530" i="6"/>
  <c r="J530" i="6"/>
  <c r="G530" i="6"/>
  <c r="F530" i="6"/>
  <c r="C530" i="6"/>
  <c r="B530" i="6"/>
  <c r="M529" i="6"/>
  <c r="J529" i="6"/>
  <c r="G529" i="6"/>
  <c r="F529" i="6"/>
  <c r="B529" i="6"/>
  <c r="C529" i="6" s="1"/>
  <c r="M528" i="6"/>
  <c r="J528" i="6"/>
  <c r="G528" i="6"/>
  <c r="F528" i="6"/>
  <c r="C528" i="6"/>
  <c r="B528" i="6"/>
  <c r="M527" i="6"/>
  <c r="J527" i="6"/>
  <c r="G527" i="6"/>
  <c r="F527" i="6"/>
  <c r="B527" i="6"/>
  <c r="C527" i="6" s="1"/>
  <c r="M526" i="6"/>
  <c r="J526" i="6"/>
  <c r="G526" i="6"/>
  <c r="F526" i="6"/>
  <c r="C526" i="6"/>
  <c r="B526" i="6"/>
  <c r="M525" i="6"/>
  <c r="J525" i="6"/>
  <c r="G525" i="6"/>
  <c r="F525" i="6"/>
  <c r="B525" i="6"/>
  <c r="C525" i="6" s="1"/>
  <c r="M524" i="6"/>
  <c r="J524" i="6"/>
  <c r="G524" i="6"/>
  <c r="F524" i="6"/>
  <c r="C524" i="6"/>
  <c r="B524" i="6"/>
  <c r="M523" i="6"/>
  <c r="J523" i="6"/>
  <c r="G523" i="6"/>
  <c r="F523" i="6"/>
  <c r="B523" i="6"/>
  <c r="C523" i="6" s="1"/>
  <c r="M522" i="6"/>
  <c r="J522" i="6"/>
  <c r="G522" i="6"/>
  <c r="F522" i="6"/>
  <c r="C522" i="6"/>
  <c r="B522" i="6"/>
  <c r="M521" i="6"/>
  <c r="J521" i="6"/>
  <c r="G521" i="6"/>
  <c r="F521" i="6"/>
  <c r="B521" i="6"/>
  <c r="C521" i="6" s="1"/>
  <c r="M520" i="6"/>
  <c r="J520" i="6"/>
  <c r="G520" i="6"/>
  <c r="F520" i="6"/>
  <c r="C520" i="6"/>
  <c r="B520" i="6"/>
  <c r="M519" i="6"/>
  <c r="J519" i="6"/>
  <c r="G519" i="6"/>
  <c r="F519" i="6"/>
  <c r="B519" i="6"/>
  <c r="C519" i="6" s="1"/>
  <c r="M518" i="6"/>
  <c r="J518" i="6"/>
  <c r="G518" i="6"/>
  <c r="F518" i="6"/>
  <c r="C518" i="6"/>
  <c r="B518" i="6"/>
  <c r="M517" i="6"/>
  <c r="J517" i="6"/>
  <c r="G517" i="6"/>
  <c r="F517" i="6"/>
  <c r="B517" i="6"/>
  <c r="C517" i="6" s="1"/>
  <c r="M516" i="6"/>
  <c r="J516" i="6"/>
  <c r="G516" i="6"/>
  <c r="F516" i="6"/>
  <c r="C516" i="6"/>
  <c r="B516" i="6"/>
  <c r="M515" i="6"/>
  <c r="J515" i="6"/>
  <c r="G515" i="6"/>
  <c r="F515" i="6"/>
  <c r="B515" i="6"/>
  <c r="C515" i="6" s="1"/>
  <c r="M514" i="6"/>
  <c r="J514" i="6"/>
  <c r="G514" i="6"/>
  <c r="F514" i="6"/>
  <c r="C514" i="6"/>
  <c r="B514" i="6"/>
  <c r="M513" i="6"/>
  <c r="J513" i="6"/>
  <c r="G513" i="6"/>
  <c r="F513" i="6"/>
  <c r="B513" i="6"/>
  <c r="C513" i="6" s="1"/>
  <c r="M512" i="6"/>
  <c r="J512" i="6"/>
  <c r="G512" i="6"/>
  <c r="F512" i="6"/>
  <c r="C512" i="6"/>
  <c r="B512" i="6"/>
  <c r="M511" i="6"/>
  <c r="J511" i="6"/>
  <c r="G511" i="6"/>
  <c r="F511" i="6"/>
  <c r="B511" i="6"/>
  <c r="C511" i="6" s="1"/>
  <c r="M510" i="6"/>
  <c r="J510" i="6"/>
  <c r="G510" i="6"/>
  <c r="F510" i="6"/>
  <c r="C510" i="6"/>
  <c r="B510" i="6"/>
  <c r="M509" i="6"/>
  <c r="J509" i="6"/>
  <c r="G509" i="6"/>
  <c r="F509" i="6"/>
  <c r="B509" i="6"/>
  <c r="C509" i="6" s="1"/>
  <c r="M508" i="6"/>
  <c r="J508" i="6"/>
  <c r="G508" i="6"/>
  <c r="F508" i="6"/>
  <c r="C508" i="6"/>
  <c r="B508" i="6"/>
  <c r="M507" i="6"/>
  <c r="J507" i="6"/>
  <c r="G507" i="6"/>
  <c r="F507" i="6"/>
  <c r="B507" i="6"/>
  <c r="C507" i="6" s="1"/>
  <c r="M506" i="6"/>
  <c r="J506" i="6"/>
  <c r="G506" i="6"/>
  <c r="F506" i="6"/>
  <c r="C506" i="6"/>
  <c r="B506" i="6"/>
  <c r="M505" i="6"/>
  <c r="J505" i="6"/>
  <c r="G505" i="6"/>
  <c r="F505" i="6"/>
  <c r="B505" i="6"/>
  <c r="C505" i="6" s="1"/>
  <c r="M504" i="6"/>
  <c r="J504" i="6"/>
  <c r="G504" i="6"/>
  <c r="F504" i="6"/>
  <c r="C504" i="6"/>
  <c r="B504" i="6"/>
  <c r="M503" i="6"/>
  <c r="J503" i="6"/>
  <c r="F503" i="6"/>
  <c r="B503" i="6"/>
  <c r="C503" i="6" s="1"/>
  <c r="M502" i="6"/>
  <c r="J502" i="6"/>
  <c r="G502" i="6"/>
  <c r="F502" i="6"/>
  <c r="C502" i="6"/>
  <c r="B502" i="6"/>
  <c r="M501" i="6"/>
  <c r="J501" i="6"/>
  <c r="F501" i="6"/>
  <c r="B501" i="6"/>
  <c r="C501" i="6" s="1"/>
  <c r="M500" i="6"/>
  <c r="J500" i="6"/>
  <c r="G500" i="6"/>
  <c r="F500" i="6"/>
  <c r="C500" i="6"/>
  <c r="B500" i="6"/>
  <c r="M499" i="6"/>
  <c r="J499" i="6"/>
  <c r="G499" i="6"/>
  <c r="F499" i="6"/>
  <c r="B499" i="6"/>
  <c r="C499" i="6" s="1"/>
  <c r="M498" i="6"/>
  <c r="J498" i="6"/>
  <c r="G498" i="6"/>
  <c r="F498" i="6"/>
  <c r="C498" i="6"/>
  <c r="B498" i="6"/>
  <c r="M497" i="6"/>
  <c r="J497" i="6"/>
  <c r="G497" i="6"/>
  <c r="F497" i="6"/>
  <c r="B497" i="6"/>
  <c r="C497" i="6" s="1"/>
  <c r="M496" i="6"/>
  <c r="J496" i="6"/>
  <c r="G496" i="6"/>
  <c r="F496" i="6"/>
  <c r="C496" i="6"/>
  <c r="B496" i="6"/>
  <c r="M495" i="6"/>
  <c r="J495" i="6"/>
  <c r="F495" i="6"/>
  <c r="B495" i="6"/>
  <c r="C495" i="6" s="1"/>
  <c r="M494" i="6"/>
  <c r="J494" i="6"/>
  <c r="G494" i="6"/>
  <c r="F494" i="6"/>
  <c r="C494" i="6"/>
  <c r="B494" i="6"/>
  <c r="M493" i="6"/>
  <c r="J493" i="6"/>
  <c r="F493" i="6"/>
  <c r="B493" i="6"/>
  <c r="C493" i="6" s="1"/>
  <c r="M492" i="6"/>
  <c r="J492" i="6"/>
  <c r="G492" i="6"/>
  <c r="F492" i="6"/>
  <c r="C492" i="6"/>
  <c r="B492" i="6"/>
  <c r="M491" i="6"/>
  <c r="J491" i="6"/>
  <c r="G491" i="6"/>
  <c r="F491" i="6"/>
  <c r="B491" i="6"/>
  <c r="C491" i="6" s="1"/>
  <c r="M490" i="6"/>
  <c r="J490" i="6"/>
  <c r="G490" i="6"/>
  <c r="F490" i="6"/>
  <c r="C490" i="6"/>
  <c r="B490" i="6"/>
  <c r="M489" i="6"/>
  <c r="J489" i="6"/>
  <c r="G489" i="6"/>
  <c r="F489" i="6"/>
  <c r="B489" i="6"/>
  <c r="C489" i="6" s="1"/>
  <c r="M488" i="6"/>
  <c r="J488" i="6"/>
  <c r="G488" i="6"/>
  <c r="F488" i="6"/>
  <c r="C488" i="6"/>
  <c r="B488" i="6"/>
  <c r="M487" i="6"/>
  <c r="J487" i="6"/>
  <c r="F487" i="6"/>
  <c r="B487" i="6"/>
  <c r="C487" i="6" s="1"/>
  <c r="M486" i="6"/>
  <c r="J486" i="6"/>
  <c r="G486" i="6"/>
  <c r="F486" i="6"/>
  <c r="C486" i="6"/>
  <c r="B486" i="6"/>
  <c r="M485" i="6"/>
  <c r="J485" i="6"/>
  <c r="F485" i="6"/>
  <c r="B485" i="6"/>
  <c r="C485" i="6" s="1"/>
  <c r="M484" i="6"/>
  <c r="J484" i="6"/>
  <c r="G484" i="6"/>
  <c r="F484" i="6"/>
  <c r="C484" i="6"/>
  <c r="B484" i="6"/>
  <c r="M483" i="6"/>
  <c r="J483" i="6"/>
  <c r="G483" i="6"/>
  <c r="F483" i="6"/>
  <c r="B483" i="6"/>
  <c r="C483" i="6" s="1"/>
  <c r="M482" i="6"/>
  <c r="J482" i="6"/>
  <c r="G482" i="6"/>
  <c r="F482" i="6"/>
  <c r="C482" i="6"/>
  <c r="B482" i="6"/>
  <c r="M481" i="6"/>
  <c r="J481" i="6"/>
  <c r="G481" i="6"/>
  <c r="F481" i="6"/>
  <c r="B481" i="6"/>
  <c r="C481" i="6" s="1"/>
  <c r="M480" i="6"/>
  <c r="J480" i="6"/>
  <c r="G480" i="6"/>
  <c r="F480" i="6"/>
  <c r="C480" i="6"/>
  <c r="B480" i="6"/>
  <c r="M479" i="6"/>
  <c r="J479" i="6"/>
  <c r="F479" i="6"/>
  <c r="B479" i="6"/>
  <c r="C479" i="6" s="1"/>
  <c r="M478" i="6"/>
  <c r="J478" i="6"/>
  <c r="G478" i="6"/>
  <c r="F478" i="6"/>
  <c r="C478" i="6"/>
  <c r="B478" i="6"/>
  <c r="M477" i="6"/>
  <c r="J477" i="6"/>
  <c r="F477" i="6"/>
  <c r="B477" i="6"/>
  <c r="C477" i="6" s="1"/>
  <c r="M476" i="6"/>
  <c r="J476" i="6"/>
  <c r="G476" i="6"/>
  <c r="F476" i="6"/>
  <c r="C476" i="6"/>
  <c r="B476" i="6"/>
  <c r="M475" i="6"/>
  <c r="J475" i="6"/>
  <c r="G475" i="6"/>
  <c r="F475" i="6"/>
  <c r="B475" i="6"/>
  <c r="C475" i="6" s="1"/>
  <c r="M474" i="6"/>
  <c r="J474" i="6"/>
  <c r="G474" i="6"/>
  <c r="F474" i="6"/>
  <c r="C474" i="6"/>
  <c r="B474" i="6"/>
  <c r="M473" i="6"/>
  <c r="J473" i="6"/>
  <c r="G473" i="6"/>
  <c r="F473" i="6"/>
  <c r="B473" i="6"/>
  <c r="C473" i="6" s="1"/>
  <c r="M472" i="6"/>
  <c r="J472" i="6"/>
  <c r="G472" i="6"/>
  <c r="F472" i="6"/>
  <c r="C472" i="6"/>
  <c r="B472" i="6"/>
  <c r="M471" i="6"/>
  <c r="J471" i="6"/>
  <c r="F471" i="6"/>
  <c r="B471" i="6"/>
  <c r="C471" i="6" s="1"/>
  <c r="M470" i="6"/>
  <c r="J470" i="6"/>
  <c r="G470" i="6"/>
  <c r="F470" i="6"/>
  <c r="C470" i="6"/>
  <c r="B470" i="6"/>
  <c r="M469" i="6"/>
  <c r="J469" i="6"/>
  <c r="F469" i="6"/>
  <c r="B469" i="6"/>
  <c r="C469" i="6" s="1"/>
  <c r="M468" i="6"/>
  <c r="J468" i="6"/>
  <c r="G468" i="6"/>
  <c r="F468" i="6"/>
  <c r="C468" i="6"/>
  <c r="B468" i="6"/>
  <c r="M467" i="6"/>
  <c r="J467" i="6"/>
  <c r="G467" i="6"/>
  <c r="F467" i="6"/>
  <c r="B467" i="6"/>
  <c r="C467" i="6" s="1"/>
  <c r="M466" i="6"/>
  <c r="J466" i="6"/>
  <c r="G466" i="6"/>
  <c r="F466" i="6"/>
  <c r="C466" i="6"/>
  <c r="B466" i="6"/>
  <c r="M465" i="6"/>
  <c r="J465" i="6"/>
  <c r="G465" i="6"/>
  <c r="F465" i="6"/>
  <c r="B465" i="6"/>
  <c r="C465" i="6" s="1"/>
  <c r="M464" i="6"/>
  <c r="J464" i="6"/>
  <c r="G464" i="6"/>
  <c r="F464" i="6"/>
  <c r="C464" i="6"/>
  <c r="B464" i="6"/>
  <c r="M463" i="6"/>
  <c r="J463" i="6"/>
  <c r="F463" i="6"/>
  <c r="B463" i="6"/>
  <c r="C463" i="6" s="1"/>
  <c r="M462" i="6"/>
  <c r="J462" i="6"/>
  <c r="G462" i="6"/>
  <c r="F462" i="6"/>
  <c r="C462" i="6"/>
  <c r="B462" i="6"/>
  <c r="M461" i="6"/>
  <c r="J461" i="6"/>
  <c r="F461" i="6"/>
  <c r="B461" i="6"/>
  <c r="C461" i="6" s="1"/>
  <c r="M460" i="6"/>
  <c r="J460" i="6"/>
  <c r="G460" i="6"/>
  <c r="F460" i="6"/>
  <c r="C460" i="6"/>
  <c r="B460" i="6"/>
  <c r="M459" i="6"/>
  <c r="J459" i="6"/>
  <c r="G459" i="6"/>
  <c r="F459" i="6"/>
  <c r="B459" i="6"/>
  <c r="C459" i="6" s="1"/>
  <c r="M458" i="6"/>
  <c r="J458" i="6"/>
  <c r="G458" i="6"/>
  <c r="F458" i="6"/>
  <c r="C458" i="6"/>
  <c r="B458" i="6"/>
  <c r="M457" i="6"/>
  <c r="J457" i="6"/>
  <c r="G457" i="6"/>
  <c r="F457" i="6"/>
  <c r="B457" i="6"/>
  <c r="C457" i="6" s="1"/>
  <c r="M456" i="6"/>
  <c r="J456" i="6"/>
  <c r="G456" i="6"/>
  <c r="F456" i="6"/>
  <c r="C456" i="6"/>
  <c r="B456" i="6"/>
  <c r="M455" i="6"/>
  <c r="J455" i="6"/>
  <c r="F455" i="6"/>
  <c r="B455" i="6"/>
  <c r="C455" i="6" s="1"/>
  <c r="M454" i="6"/>
  <c r="J454" i="6"/>
  <c r="G454" i="6"/>
  <c r="F454" i="6"/>
  <c r="C454" i="6"/>
  <c r="B454" i="6"/>
  <c r="M453" i="6"/>
  <c r="J453" i="6"/>
  <c r="F453" i="6"/>
  <c r="B453" i="6"/>
  <c r="C453" i="6" s="1"/>
  <c r="M452" i="6"/>
  <c r="J452" i="6"/>
  <c r="G452" i="6"/>
  <c r="F452" i="6"/>
  <c r="C452" i="6"/>
  <c r="B452" i="6"/>
  <c r="M451" i="6"/>
  <c r="J451" i="6"/>
  <c r="G451" i="6"/>
  <c r="F451" i="6"/>
  <c r="B451" i="6"/>
  <c r="C451" i="6" s="1"/>
  <c r="M450" i="6"/>
  <c r="J450" i="6"/>
  <c r="G450" i="6"/>
  <c r="F450" i="6"/>
  <c r="C450" i="6"/>
  <c r="B450" i="6"/>
  <c r="M449" i="6"/>
  <c r="J449" i="6"/>
  <c r="G449" i="6"/>
  <c r="F449" i="6"/>
  <c r="B449" i="6"/>
  <c r="C449" i="6" s="1"/>
  <c r="M448" i="6"/>
  <c r="J448" i="6"/>
  <c r="G448" i="6"/>
  <c r="F448" i="6"/>
  <c r="C448" i="6"/>
  <c r="B448" i="6"/>
  <c r="M447" i="6"/>
  <c r="J447" i="6"/>
  <c r="F447" i="6"/>
  <c r="B447" i="6"/>
  <c r="C447" i="6" s="1"/>
  <c r="M446" i="6"/>
  <c r="J446" i="6"/>
  <c r="G446" i="6"/>
  <c r="F446" i="6"/>
  <c r="C446" i="6"/>
  <c r="B446" i="6"/>
  <c r="M445" i="6"/>
  <c r="J445" i="6"/>
  <c r="F445" i="6"/>
  <c r="B445" i="6"/>
  <c r="C445" i="6" s="1"/>
  <c r="M444" i="6"/>
  <c r="J444" i="6"/>
  <c r="G444" i="6"/>
  <c r="F444" i="6"/>
  <c r="C444" i="6"/>
  <c r="B444" i="6"/>
  <c r="M443" i="6"/>
  <c r="J443" i="6"/>
  <c r="G443" i="6"/>
  <c r="F443" i="6"/>
  <c r="B443" i="6"/>
  <c r="C443" i="6" s="1"/>
  <c r="M442" i="6"/>
  <c r="J442" i="6"/>
  <c r="G442" i="6"/>
  <c r="F442" i="6"/>
  <c r="C442" i="6"/>
  <c r="B442" i="6"/>
  <c r="M441" i="6"/>
  <c r="J441" i="6"/>
  <c r="G441" i="6"/>
  <c r="F441" i="6"/>
  <c r="B441" i="6"/>
  <c r="C441" i="6" s="1"/>
  <c r="M440" i="6"/>
  <c r="J440" i="6"/>
  <c r="G440" i="6"/>
  <c r="F440" i="6"/>
  <c r="C440" i="6"/>
  <c r="B440" i="6"/>
  <c r="M439" i="6"/>
  <c r="J439" i="6"/>
  <c r="F439" i="6"/>
  <c r="B439" i="6"/>
  <c r="C439" i="6" s="1"/>
  <c r="M438" i="6"/>
  <c r="J438" i="6"/>
  <c r="G438" i="6"/>
  <c r="F438" i="6"/>
  <c r="C438" i="6"/>
  <c r="B438" i="6"/>
  <c r="M437" i="6"/>
  <c r="J437" i="6"/>
  <c r="F437" i="6"/>
  <c r="B437" i="6"/>
  <c r="C437" i="6" s="1"/>
  <c r="M436" i="6"/>
  <c r="J436" i="6"/>
  <c r="G436" i="6"/>
  <c r="F436" i="6"/>
  <c r="C436" i="6"/>
  <c r="B436" i="6"/>
  <c r="M435" i="6"/>
  <c r="J435" i="6"/>
  <c r="G435" i="6"/>
  <c r="F435" i="6"/>
  <c r="B435" i="6"/>
  <c r="C435" i="6" s="1"/>
  <c r="M434" i="6"/>
  <c r="J434" i="6"/>
  <c r="G434" i="6"/>
  <c r="F434" i="6"/>
  <c r="C434" i="6"/>
  <c r="B434" i="6"/>
  <c r="M433" i="6"/>
  <c r="J433" i="6"/>
  <c r="G433" i="6"/>
  <c r="F433" i="6"/>
  <c r="B433" i="6"/>
  <c r="C433" i="6" s="1"/>
  <c r="M432" i="6"/>
  <c r="J432" i="6"/>
  <c r="G432" i="6"/>
  <c r="F432" i="6"/>
  <c r="C432" i="6"/>
  <c r="B432" i="6"/>
  <c r="M431" i="6"/>
  <c r="J431" i="6"/>
  <c r="F431" i="6"/>
  <c r="B431" i="6"/>
  <c r="C431" i="6" s="1"/>
  <c r="M430" i="6"/>
  <c r="J430" i="6"/>
  <c r="G430" i="6"/>
  <c r="F430" i="6"/>
  <c r="C430" i="6"/>
  <c r="B430" i="6"/>
  <c r="M429" i="6"/>
  <c r="J429" i="6"/>
  <c r="F429" i="6"/>
  <c r="B429" i="6"/>
  <c r="C429" i="6" s="1"/>
  <c r="M428" i="6"/>
  <c r="J428" i="6"/>
  <c r="G428" i="6"/>
  <c r="F428" i="6"/>
  <c r="C428" i="6"/>
  <c r="B428" i="6"/>
  <c r="M427" i="6"/>
  <c r="J427" i="6"/>
  <c r="G427" i="6"/>
  <c r="F427" i="6"/>
  <c r="B427" i="6"/>
  <c r="C427" i="6" s="1"/>
  <c r="M426" i="6"/>
  <c r="J426" i="6"/>
  <c r="G426" i="6"/>
  <c r="F426" i="6"/>
  <c r="C426" i="6"/>
  <c r="B426" i="6"/>
  <c r="M425" i="6"/>
  <c r="J425" i="6"/>
  <c r="G425" i="6"/>
  <c r="F425" i="6"/>
  <c r="B425" i="6"/>
  <c r="C425" i="6" s="1"/>
  <c r="M424" i="6"/>
  <c r="J424" i="6"/>
  <c r="G424" i="6"/>
  <c r="F424" i="6"/>
  <c r="C424" i="6"/>
  <c r="B424" i="6"/>
  <c r="M423" i="6"/>
  <c r="J423" i="6"/>
  <c r="F423" i="6"/>
  <c r="B423" i="6"/>
  <c r="C423" i="6" s="1"/>
  <c r="M422" i="6"/>
  <c r="J422" i="6"/>
  <c r="G422" i="6"/>
  <c r="F422" i="6"/>
  <c r="C422" i="6"/>
  <c r="B422" i="6"/>
  <c r="M421" i="6"/>
  <c r="J421" i="6"/>
  <c r="F421" i="6"/>
  <c r="B421" i="6"/>
  <c r="C421" i="6" s="1"/>
  <c r="M420" i="6"/>
  <c r="J420" i="6"/>
  <c r="G420" i="6"/>
  <c r="F420" i="6"/>
  <c r="C420" i="6"/>
  <c r="B420" i="6"/>
  <c r="M419" i="6"/>
  <c r="J419" i="6"/>
  <c r="G419" i="6"/>
  <c r="F419" i="6"/>
  <c r="B419" i="6"/>
  <c r="C419" i="6" s="1"/>
  <c r="M418" i="6"/>
  <c r="J418" i="6"/>
  <c r="G418" i="6"/>
  <c r="F418" i="6"/>
  <c r="C418" i="6"/>
  <c r="B418" i="6"/>
  <c r="M417" i="6"/>
  <c r="J417" i="6"/>
  <c r="G417" i="6"/>
  <c r="F417" i="6"/>
  <c r="B417" i="6"/>
  <c r="C417" i="6" s="1"/>
  <c r="M416" i="6"/>
  <c r="J416" i="6"/>
  <c r="G416" i="6"/>
  <c r="F416" i="6"/>
  <c r="C416" i="6"/>
  <c r="B416" i="6"/>
  <c r="M415" i="6"/>
  <c r="J415" i="6"/>
  <c r="F415" i="6"/>
  <c r="B415" i="6"/>
  <c r="C415" i="6" s="1"/>
  <c r="M414" i="6"/>
  <c r="J414" i="6"/>
  <c r="G414" i="6"/>
  <c r="F414" i="6"/>
  <c r="C414" i="6"/>
  <c r="B414" i="6"/>
  <c r="M413" i="6"/>
  <c r="J413" i="6"/>
  <c r="F413" i="6"/>
  <c r="B413" i="6"/>
  <c r="C413" i="6" s="1"/>
  <c r="M412" i="6"/>
  <c r="J412" i="6"/>
  <c r="G412" i="6"/>
  <c r="F412" i="6"/>
  <c r="C412" i="6"/>
  <c r="B412" i="6"/>
  <c r="M411" i="6"/>
  <c r="J411" i="6"/>
  <c r="G411" i="6"/>
  <c r="F411" i="6"/>
  <c r="B411" i="6"/>
  <c r="C411" i="6" s="1"/>
  <c r="M410" i="6"/>
  <c r="J410" i="6"/>
  <c r="G410" i="6"/>
  <c r="F410" i="6"/>
  <c r="C410" i="6"/>
  <c r="B410" i="6"/>
  <c r="M409" i="6"/>
  <c r="J409" i="6"/>
  <c r="G409" i="6"/>
  <c r="F409" i="6"/>
  <c r="B409" i="6"/>
  <c r="C409" i="6" s="1"/>
  <c r="M408" i="6"/>
  <c r="J408" i="6"/>
  <c r="G408" i="6"/>
  <c r="F408" i="6"/>
  <c r="C408" i="6"/>
  <c r="B408" i="6"/>
  <c r="M407" i="6"/>
  <c r="J407" i="6"/>
  <c r="F407" i="6"/>
  <c r="B407" i="6"/>
  <c r="C407" i="6" s="1"/>
  <c r="M406" i="6"/>
  <c r="J406" i="6"/>
  <c r="G406" i="6"/>
  <c r="F406" i="6"/>
  <c r="C406" i="6"/>
  <c r="B406" i="6"/>
  <c r="M405" i="6"/>
  <c r="J405" i="6"/>
  <c r="F405" i="6"/>
  <c r="B405" i="6"/>
  <c r="C405" i="6" s="1"/>
  <c r="M404" i="6"/>
  <c r="J404" i="6"/>
  <c r="G404" i="6"/>
  <c r="F404" i="6"/>
  <c r="C404" i="6"/>
  <c r="B404" i="6"/>
  <c r="M403" i="6"/>
  <c r="J403" i="6"/>
  <c r="G403" i="6"/>
  <c r="F403" i="6"/>
  <c r="B403" i="6"/>
  <c r="C403" i="6" s="1"/>
  <c r="M402" i="6"/>
  <c r="J402" i="6"/>
  <c r="G402" i="6"/>
  <c r="F402" i="6"/>
  <c r="C402" i="6"/>
  <c r="B402" i="6"/>
  <c r="M401" i="6"/>
  <c r="J401" i="6"/>
  <c r="G401" i="6"/>
  <c r="F401" i="6"/>
  <c r="B401" i="6"/>
  <c r="C401" i="6" s="1"/>
  <c r="M400" i="6"/>
  <c r="J400" i="6"/>
  <c r="G400" i="6"/>
  <c r="F400" i="6"/>
  <c r="C400" i="6"/>
  <c r="B400" i="6"/>
  <c r="M399" i="6"/>
  <c r="J399" i="6"/>
  <c r="F399" i="6"/>
  <c r="B399" i="6"/>
  <c r="C399" i="6" s="1"/>
  <c r="M398" i="6"/>
  <c r="J398" i="6"/>
  <c r="G398" i="6"/>
  <c r="F398" i="6"/>
  <c r="C398" i="6"/>
  <c r="B398" i="6"/>
  <c r="M397" i="6"/>
  <c r="J397" i="6"/>
  <c r="F397" i="6"/>
  <c r="B397" i="6"/>
  <c r="C397" i="6" s="1"/>
  <c r="M396" i="6"/>
  <c r="J396" i="6"/>
  <c r="G396" i="6"/>
  <c r="F396" i="6"/>
  <c r="C396" i="6"/>
  <c r="B396" i="6"/>
  <c r="M395" i="6"/>
  <c r="J395" i="6"/>
  <c r="G395" i="6"/>
  <c r="F395" i="6"/>
  <c r="B395" i="6"/>
  <c r="C395" i="6" s="1"/>
  <c r="M394" i="6"/>
  <c r="J394" i="6"/>
  <c r="G394" i="6"/>
  <c r="F394" i="6"/>
  <c r="C394" i="6"/>
  <c r="B394" i="6"/>
  <c r="M393" i="6"/>
  <c r="J393" i="6"/>
  <c r="G393" i="6"/>
  <c r="F393" i="6"/>
  <c r="B393" i="6"/>
  <c r="C393" i="6" s="1"/>
  <c r="M392" i="6"/>
  <c r="J392" i="6"/>
  <c r="G392" i="6"/>
  <c r="F392" i="6"/>
  <c r="C392" i="6"/>
  <c r="B392" i="6"/>
  <c r="M391" i="6"/>
  <c r="J391" i="6"/>
  <c r="F391" i="6"/>
  <c r="B391" i="6"/>
  <c r="C391" i="6" s="1"/>
  <c r="M390" i="6"/>
  <c r="J390" i="6"/>
  <c r="G390" i="6"/>
  <c r="F390" i="6"/>
  <c r="C390" i="6"/>
  <c r="B390" i="6"/>
  <c r="M389" i="6"/>
  <c r="J389" i="6"/>
  <c r="F389" i="6"/>
  <c r="B389" i="6"/>
  <c r="C389" i="6" s="1"/>
  <c r="M388" i="6"/>
  <c r="J388" i="6"/>
  <c r="G388" i="6"/>
  <c r="F388" i="6"/>
  <c r="C388" i="6"/>
  <c r="B388" i="6"/>
  <c r="M387" i="6"/>
  <c r="J387" i="6"/>
  <c r="G387" i="6"/>
  <c r="F387" i="6"/>
  <c r="B387" i="6"/>
  <c r="C387" i="6" s="1"/>
  <c r="M386" i="6"/>
  <c r="J386" i="6"/>
  <c r="G386" i="6"/>
  <c r="F386" i="6"/>
  <c r="C386" i="6"/>
  <c r="B386" i="6"/>
  <c r="M385" i="6"/>
  <c r="J385" i="6"/>
  <c r="G385" i="6"/>
  <c r="F385" i="6"/>
  <c r="B385" i="6"/>
  <c r="C385" i="6" s="1"/>
  <c r="M384" i="6"/>
  <c r="J384" i="6"/>
  <c r="G384" i="6"/>
  <c r="F384" i="6"/>
  <c r="C384" i="6"/>
  <c r="B384" i="6"/>
  <c r="M383" i="6"/>
  <c r="J383" i="6"/>
  <c r="F383" i="6"/>
  <c r="B383" i="6"/>
  <c r="C383" i="6" s="1"/>
  <c r="M382" i="6"/>
  <c r="J382" i="6"/>
  <c r="G382" i="6"/>
  <c r="F382" i="6"/>
  <c r="C382" i="6"/>
  <c r="B382" i="6"/>
  <c r="M381" i="6"/>
  <c r="J381" i="6"/>
  <c r="F381" i="6"/>
  <c r="B381" i="6"/>
  <c r="C381" i="6" s="1"/>
  <c r="M380" i="6"/>
  <c r="J380" i="6"/>
  <c r="G380" i="6"/>
  <c r="F380" i="6"/>
  <c r="C380" i="6"/>
  <c r="B380" i="6"/>
  <c r="M379" i="6"/>
  <c r="J379" i="6"/>
  <c r="G379" i="6"/>
  <c r="F379" i="6"/>
  <c r="B379" i="6"/>
  <c r="C379" i="6" s="1"/>
  <c r="M378" i="6"/>
  <c r="J378" i="6"/>
  <c r="G378" i="6"/>
  <c r="F378" i="6"/>
  <c r="C378" i="6"/>
  <c r="B378" i="6"/>
  <c r="M377" i="6"/>
  <c r="J377" i="6"/>
  <c r="G377" i="6"/>
  <c r="F377" i="6"/>
  <c r="B377" i="6"/>
  <c r="C377" i="6" s="1"/>
  <c r="M376" i="6"/>
  <c r="J376" i="6"/>
  <c r="G376" i="6"/>
  <c r="F376" i="6"/>
  <c r="C376" i="6"/>
  <c r="B376" i="6"/>
  <c r="M375" i="6"/>
  <c r="J375" i="6"/>
  <c r="F375" i="6"/>
  <c r="B375" i="6"/>
  <c r="C375" i="6" s="1"/>
  <c r="M374" i="6"/>
  <c r="J374" i="6"/>
  <c r="G374" i="6"/>
  <c r="F374" i="6"/>
  <c r="C374" i="6"/>
  <c r="B374" i="6"/>
  <c r="M373" i="6"/>
  <c r="J373" i="6"/>
  <c r="F373" i="6"/>
  <c r="B373" i="6"/>
  <c r="C373" i="6" s="1"/>
  <c r="M372" i="6"/>
  <c r="J372" i="6"/>
  <c r="G372" i="6"/>
  <c r="F372" i="6"/>
  <c r="C372" i="6"/>
  <c r="B372" i="6"/>
  <c r="M371" i="6"/>
  <c r="J371" i="6"/>
  <c r="G371" i="6"/>
  <c r="F371" i="6"/>
  <c r="B371" i="6"/>
  <c r="C371" i="6" s="1"/>
  <c r="M370" i="6"/>
  <c r="J370" i="6"/>
  <c r="G370" i="6"/>
  <c r="F370" i="6"/>
  <c r="C370" i="6"/>
  <c r="B370" i="6"/>
  <c r="M369" i="6"/>
  <c r="J369" i="6"/>
  <c r="G369" i="6"/>
  <c r="F369" i="6"/>
  <c r="B369" i="6"/>
  <c r="C369" i="6" s="1"/>
  <c r="M368" i="6"/>
  <c r="J368" i="6"/>
  <c r="G368" i="6"/>
  <c r="F368" i="6"/>
  <c r="C368" i="6"/>
  <c r="B368" i="6"/>
  <c r="M367" i="6"/>
  <c r="J367" i="6"/>
  <c r="F367" i="6"/>
  <c r="B367" i="6"/>
  <c r="C367" i="6" s="1"/>
  <c r="M366" i="6"/>
  <c r="J366" i="6"/>
  <c r="G366" i="6"/>
  <c r="F366" i="6"/>
  <c r="C366" i="6"/>
  <c r="B366" i="6"/>
  <c r="M365" i="6"/>
  <c r="J365" i="6"/>
  <c r="F365" i="6"/>
  <c r="B365" i="6"/>
  <c r="C365" i="6" s="1"/>
  <c r="M364" i="6"/>
  <c r="J364" i="6"/>
  <c r="G364" i="6"/>
  <c r="F364" i="6"/>
  <c r="C364" i="6"/>
  <c r="B364" i="6"/>
  <c r="M363" i="6"/>
  <c r="J363" i="6"/>
  <c r="G363" i="6"/>
  <c r="F363" i="6"/>
  <c r="B363" i="6"/>
  <c r="C363" i="6" s="1"/>
  <c r="M362" i="6"/>
  <c r="J362" i="6"/>
  <c r="G362" i="6"/>
  <c r="F362" i="6"/>
  <c r="C362" i="6"/>
  <c r="B362" i="6"/>
  <c r="M361" i="6"/>
  <c r="J361" i="6"/>
  <c r="G361" i="6"/>
  <c r="F361" i="6"/>
  <c r="B361" i="6"/>
  <c r="C361" i="6" s="1"/>
  <c r="M360" i="6"/>
  <c r="J360" i="6"/>
  <c r="G360" i="6"/>
  <c r="F360" i="6"/>
  <c r="C360" i="6"/>
  <c r="B360" i="6"/>
  <c r="M359" i="6"/>
  <c r="J359" i="6"/>
  <c r="F359" i="6"/>
  <c r="C359" i="6"/>
  <c r="B359" i="6"/>
  <c r="G359" i="6" s="1"/>
  <c r="M358" i="6"/>
  <c r="J358" i="6"/>
  <c r="G358" i="6"/>
  <c r="F358" i="6"/>
  <c r="C358" i="6"/>
  <c r="B358" i="6"/>
  <c r="M357" i="6"/>
  <c r="J357" i="6"/>
  <c r="F357" i="6"/>
  <c r="C357" i="6"/>
  <c r="B357" i="6"/>
  <c r="G357" i="6" s="1"/>
  <c r="M356" i="6"/>
  <c r="J356" i="6"/>
  <c r="G356" i="6"/>
  <c r="F356" i="6"/>
  <c r="C356" i="6"/>
  <c r="B356" i="6"/>
  <c r="M355" i="6"/>
  <c r="J355" i="6"/>
  <c r="F355" i="6"/>
  <c r="C355" i="6"/>
  <c r="B355" i="6"/>
  <c r="G355" i="6" s="1"/>
  <c r="M354" i="6"/>
  <c r="J354" i="6"/>
  <c r="G354" i="6"/>
  <c r="F354" i="6"/>
  <c r="C354" i="6"/>
  <c r="B354" i="6"/>
  <c r="M353" i="6"/>
  <c r="J353" i="6"/>
  <c r="F353" i="6"/>
  <c r="C353" i="6"/>
  <c r="B353" i="6"/>
  <c r="G353" i="6" s="1"/>
  <c r="M352" i="6"/>
  <c r="J352" i="6"/>
  <c r="G352" i="6"/>
  <c r="F352" i="6"/>
  <c r="C352" i="6"/>
  <c r="B352" i="6"/>
  <c r="M351" i="6"/>
  <c r="J351" i="6"/>
  <c r="F351" i="6"/>
  <c r="C351" i="6"/>
  <c r="B351" i="6"/>
  <c r="G351" i="6" s="1"/>
  <c r="M350" i="6"/>
  <c r="J350" i="6"/>
  <c r="G350" i="6"/>
  <c r="F350" i="6"/>
  <c r="C350" i="6"/>
  <c r="B350" i="6"/>
  <c r="M349" i="6"/>
  <c r="J349" i="6"/>
  <c r="F349" i="6"/>
  <c r="C349" i="6"/>
  <c r="B349" i="6"/>
  <c r="G349" i="6" s="1"/>
  <c r="M348" i="6"/>
  <c r="J348" i="6"/>
  <c r="G348" i="6"/>
  <c r="F348" i="6"/>
  <c r="C348" i="6"/>
  <c r="B348" i="6"/>
  <c r="M347" i="6"/>
  <c r="J347" i="6"/>
  <c r="F347" i="6"/>
  <c r="C347" i="6"/>
  <c r="B347" i="6"/>
  <c r="G347" i="6" s="1"/>
  <c r="M346" i="6"/>
  <c r="J346" i="6"/>
  <c r="G346" i="6"/>
  <c r="F346" i="6"/>
  <c r="C346" i="6"/>
  <c r="B346" i="6"/>
  <c r="M345" i="6"/>
  <c r="J345" i="6"/>
  <c r="F345" i="6"/>
  <c r="C345" i="6"/>
  <c r="B345" i="6"/>
  <c r="G345" i="6" s="1"/>
  <c r="M344" i="6"/>
  <c r="J344" i="6"/>
  <c r="G344" i="6"/>
  <c r="F344" i="6"/>
  <c r="C344" i="6"/>
  <c r="B344" i="6"/>
  <c r="M343" i="6"/>
  <c r="J343" i="6"/>
  <c r="F343" i="6"/>
  <c r="C343" i="6"/>
  <c r="B343" i="6"/>
  <c r="G343" i="6" s="1"/>
  <c r="M342" i="6"/>
  <c r="J342" i="6"/>
  <c r="G342" i="6"/>
  <c r="F342" i="6"/>
  <c r="C342" i="6"/>
  <c r="B342" i="6"/>
  <c r="M341" i="6"/>
  <c r="J341" i="6"/>
  <c r="F341" i="6"/>
  <c r="C341" i="6"/>
  <c r="B341" i="6"/>
  <c r="G341" i="6" s="1"/>
  <c r="M340" i="6"/>
  <c r="J340" i="6"/>
  <c r="G340" i="6"/>
  <c r="F340" i="6"/>
  <c r="C340" i="6"/>
  <c r="B340" i="6"/>
  <c r="M339" i="6"/>
  <c r="J339" i="6"/>
  <c r="F339" i="6"/>
  <c r="C339" i="6"/>
  <c r="B339" i="6"/>
  <c r="G339" i="6" s="1"/>
  <c r="M338" i="6"/>
  <c r="J338" i="6"/>
  <c r="G338" i="6"/>
  <c r="F338" i="6"/>
  <c r="C338" i="6"/>
  <c r="B338" i="6"/>
  <c r="M337" i="6"/>
  <c r="J337" i="6"/>
  <c r="F337" i="6"/>
  <c r="C337" i="6"/>
  <c r="B337" i="6"/>
  <c r="G337" i="6" s="1"/>
  <c r="M336" i="6"/>
  <c r="J336" i="6"/>
  <c r="G336" i="6"/>
  <c r="F336" i="6"/>
  <c r="C336" i="6"/>
  <c r="B336" i="6"/>
  <c r="M335" i="6"/>
  <c r="J335" i="6"/>
  <c r="F335" i="6"/>
  <c r="C335" i="6"/>
  <c r="B335" i="6"/>
  <c r="G335" i="6" s="1"/>
  <c r="M334" i="6"/>
  <c r="J334" i="6"/>
  <c r="G334" i="6"/>
  <c r="F334" i="6"/>
  <c r="C334" i="6"/>
  <c r="B334" i="6"/>
  <c r="M333" i="6"/>
  <c r="J333" i="6"/>
  <c r="F333" i="6"/>
  <c r="C333" i="6"/>
  <c r="B333" i="6"/>
  <c r="G333" i="6" s="1"/>
  <c r="M332" i="6"/>
  <c r="J332" i="6"/>
  <c r="G332" i="6"/>
  <c r="F332" i="6"/>
  <c r="C332" i="6"/>
  <c r="B332" i="6"/>
  <c r="M331" i="6"/>
  <c r="J331" i="6"/>
  <c r="F331" i="6"/>
  <c r="C331" i="6"/>
  <c r="B331" i="6"/>
  <c r="G331" i="6" s="1"/>
  <c r="M330" i="6"/>
  <c r="J330" i="6"/>
  <c r="G330" i="6"/>
  <c r="F330" i="6"/>
  <c r="C330" i="6"/>
  <c r="B330" i="6"/>
  <c r="M329" i="6"/>
  <c r="J329" i="6"/>
  <c r="F329" i="6"/>
  <c r="C329" i="6"/>
  <c r="B329" i="6"/>
  <c r="G329" i="6" s="1"/>
  <c r="M328" i="6"/>
  <c r="J328" i="6"/>
  <c r="G328" i="6"/>
  <c r="F328" i="6"/>
  <c r="C328" i="6"/>
  <c r="B328" i="6"/>
  <c r="M327" i="6"/>
  <c r="J327" i="6"/>
  <c r="F327" i="6"/>
  <c r="C327" i="6"/>
  <c r="B327" i="6"/>
  <c r="G327" i="6" s="1"/>
  <c r="M326" i="6"/>
  <c r="J326" i="6"/>
  <c r="G326" i="6"/>
  <c r="F326" i="6"/>
  <c r="C326" i="6"/>
  <c r="B326" i="6"/>
  <c r="M325" i="6"/>
  <c r="J325" i="6"/>
  <c r="F325" i="6"/>
  <c r="C325" i="6"/>
  <c r="B325" i="6"/>
  <c r="G325" i="6" s="1"/>
  <c r="M324" i="6"/>
  <c r="J324" i="6"/>
  <c r="G324" i="6"/>
  <c r="F324" i="6"/>
  <c r="C324" i="6"/>
  <c r="B324" i="6"/>
  <c r="M323" i="6"/>
  <c r="J323" i="6"/>
  <c r="F323" i="6"/>
  <c r="C323" i="6"/>
  <c r="B323" i="6"/>
  <c r="G323" i="6" s="1"/>
  <c r="M322" i="6"/>
  <c r="J322" i="6"/>
  <c r="G322" i="6"/>
  <c r="F322" i="6"/>
  <c r="C322" i="6"/>
  <c r="B322" i="6"/>
  <c r="M321" i="6"/>
  <c r="J321" i="6"/>
  <c r="F321" i="6"/>
  <c r="C321" i="6"/>
  <c r="B321" i="6"/>
  <c r="G321" i="6" s="1"/>
  <c r="M320" i="6"/>
  <c r="J320" i="6"/>
  <c r="G320" i="6"/>
  <c r="F320" i="6"/>
  <c r="C320" i="6"/>
  <c r="B320" i="6"/>
  <c r="M319" i="6"/>
  <c r="J319" i="6"/>
  <c r="F319" i="6"/>
  <c r="C319" i="6"/>
  <c r="B319" i="6"/>
  <c r="G319" i="6" s="1"/>
  <c r="M318" i="6"/>
  <c r="J318" i="6"/>
  <c r="G318" i="6"/>
  <c r="F318" i="6"/>
  <c r="C318" i="6"/>
  <c r="B318" i="6"/>
  <c r="M317" i="6"/>
  <c r="J317" i="6"/>
  <c r="F317" i="6"/>
  <c r="C317" i="6"/>
  <c r="B317" i="6"/>
  <c r="G317" i="6" s="1"/>
  <c r="M316" i="6"/>
  <c r="J316" i="6"/>
  <c r="G316" i="6"/>
  <c r="F316" i="6"/>
  <c r="C316" i="6"/>
  <c r="B316" i="6"/>
  <c r="M315" i="6"/>
  <c r="J315" i="6"/>
  <c r="F315" i="6"/>
  <c r="C315" i="6"/>
  <c r="B315" i="6"/>
  <c r="G315" i="6" s="1"/>
  <c r="M314" i="6"/>
  <c r="J314" i="6"/>
  <c r="G314" i="6"/>
  <c r="F314" i="6"/>
  <c r="C314" i="6"/>
  <c r="B314" i="6"/>
  <c r="M313" i="6"/>
  <c r="J313" i="6"/>
  <c r="F313" i="6"/>
  <c r="C313" i="6"/>
  <c r="B313" i="6"/>
  <c r="G313" i="6" s="1"/>
  <c r="M312" i="6"/>
  <c r="J312" i="6"/>
  <c r="G312" i="6"/>
  <c r="F312" i="6"/>
  <c r="C312" i="6"/>
  <c r="B312" i="6"/>
  <c r="M311" i="6"/>
  <c r="J311" i="6"/>
  <c r="F311" i="6"/>
  <c r="C311" i="6"/>
  <c r="B311" i="6"/>
  <c r="G311" i="6" s="1"/>
  <c r="M310" i="6"/>
  <c r="J310" i="6"/>
  <c r="G310" i="6"/>
  <c r="F310" i="6"/>
  <c r="C310" i="6"/>
  <c r="B310" i="6"/>
  <c r="M309" i="6"/>
  <c r="J309" i="6"/>
  <c r="F309" i="6"/>
  <c r="C309" i="6"/>
  <c r="B309" i="6"/>
  <c r="G309" i="6" s="1"/>
  <c r="M308" i="6"/>
  <c r="J308" i="6"/>
  <c r="G308" i="6"/>
  <c r="F308" i="6"/>
  <c r="C308" i="6"/>
  <c r="B308" i="6"/>
  <c r="M307" i="6"/>
  <c r="J307" i="6"/>
  <c r="F307" i="6"/>
  <c r="C307" i="6"/>
  <c r="B307" i="6"/>
  <c r="G307" i="6" s="1"/>
  <c r="M306" i="6"/>
  <c r="J306" i="6"/>
  <c r="G306" i="6"/>
  <c r="F306" i="6"/>
  <c r="C306" i="6"/>
  <c r="B306" i="6"/>
  <c r="M305" i="6"/>
  <c r="J305" i="6"/>
  <c r="F305" i="6"/>
  <c r="C305" i="6"/>
  <c r="B305" i="6"/>
  <c r="G305" i="6" s="1"/>
  <c r="M304" i="6"/>
  <c r="J304" i="6"/>
  <c r="G304" i="6"/>
  <c r="F304" i="6"/>
  <c r="C304" i="6"/>
  <c r="B304" i="6"/>
  <c r="M303" i="6"/>
  <c r="J303" i="6"/>
  <c r="F303" i="6"/>
  <c r="C303" i="6"/>
  <c r="B303" i="6"/>
  <c r="G303" i="6" s="1"/>
  <c r="M302" i="6"/>
  <c r="J302" i="6"/>
  <c r="G302" i="6"/>
  <c r="F302" i="6"/>
  <c r="C302" i="6"/>
  <c r="B302" i="6"/>
  <c r="M301" i="6"/>
  <c r="J301" i="6"/>
  <c r="F301" i="6"/>
  <c r="C301" i="6"/>
  <c r="B301" i="6"/>
  <c r="G301" i="6" s="1"/>
  <c r="M300" i="6"/>
  <c r="J300" i="6"/>
  <c r="G300" i="6"/>
  <c r="F300" i="6"/>
  <c r="C300" i="6"/>
  <c r="B300" i="6"/>
  <c r="M299" i="6"/>
  <c r="J299" i="6"/>
  <c r="F299" i="6"/>
  <c r="C299" i="6"/>
  <c r="B299" i="6"/>
  <c r="G299" i="6" s="1"/>
  <c r="M298" i="6"/>
  <c r="J298" i="6"/>
  <c r="G298" i="6"/>
  <c r="F298" i="6"/>
  <c r="C298" i="6"/>
  <c r="B298" i="6"/>
  <c r="M297" i="6"/>
  <c r="J297" i="6"/>
  <c r="F297" i="6"/>
  <c r="C297" i="6"/>
  <c r="B297" i="6"/>
  <c r="G297" i="6" s="1"/>
  <c r="M296" i="6"/>
  <c r="J296" i="6"/>
  <c r="G296" i="6"/>
  <c r="F296" i="6"/>
  <c r="C296" i="6"/>
  <c r="B296" i="6"/>
  <c r="M295" i="6"/>
  <c r="J295" i="6"/>
  <c r="F295" i="6"/>
  <c r="C295" i="6"/>
  <c r="B295" i="6"/>
  <c r="G295" i="6" s="1"/>
  <c r="M294" i="6"/>
  <c r="J294" i="6"/>
  <c r="G294" i="6"/>
  <c r="F294" i="6"/>
  <c r="C294" i="6"/>
  <c r="B294" i="6"/>
  <c r="M293" i="6"/>
  <c r="J293" i="6"/>
  <c r="F293" i="6"/>
  <c r="C293" i="6"/>
  <c r="B293" i="6"/>
  <c r="G293" i="6" s="1"/>
  <c r="M292" i="6"/>
  <c r="J292" i="6"/>
  <c r="G292" i="6"/>
  <c r="F292" i="6"/>
  <c r="B292" i="6"/>
  <c r="C292" i="6" s="1"/>
  <c r="M291" i="6"/>
  <c r="J291" i="6"/>
  <c r="F291" i="6"/>
  <c r="C291" i="6"/>
  <c r="B291" i="6"/>
  <c r="G291" i="6" s="1"/>
  <c r="M290" i="6"/>
  <c r="J290" i="6"/>
  <c r="G290" i="6"/>
  <c r="F290" i="6"/>
  <c r="B290" i="6"/>
  <c r="C290" i="6" s="1"/>
  <c r="M289" i="6"/>
  <c r="J289" i="6"/>
  <c r="F289" i="6"/>
  <c r="C289" i="6"/>
  <c r="B289" i="6"/>
  <c r="G289" i="6" s="1"/>
  <c r="M288" i="6"/>
  <c r="J288" i="6"/>
  <c r="G288" i="6"/>
  <c r="F288" i="6"/>
  <c r="B288" i="6"/>
  <c r="C288" i="6" s="1"/>
  <c r="M287" i="6"/>
  <c r="J287" i="6"/>
  <c r="F287" i="6"/>
  <c r="C287" i="6"/>
  <c r="B287" i="6"/>
  <c r="G287" i="6" s="1"/>
  <c r="M286" i="6"/>
  <c r="J286" i="6"/>
  <c r="G286" i="6"/>
  <c r="F286" i="6"/>
  <c r="B286" i="6"/>
  <c r="C286" i="6" s="1"/>
  <c r="M285" i="6"/>
  <c r="J285" i="6"/>
  <c r="F285" i="6"/>
  <c r="C285" i="6"/>
  <c r="B285" i="6"/>
  <c r="G285" i="6" s="1"/>
  <c r="M284" i="6"/>
  <c r="J284" i="6"/>
  <c r="G284" i="6"/>
  <c r="F284" i="6"/>
  <c r="B284" i="6"/>
  <c r="C284" i="6" s="1"/>
  <c r="M283" i="6"/>
  <c r="J283" i="6"/>
  <c r="F283" i="6"/>
  <c r="C283" i="6"/>
  <c r="B283" i="6"/>
  <c r="G283" i="6" s="1"/>
  <c r="M282" i="6"/>
  <c r="J282" i="6"/>
  <c r="G282" i="6"/>
  <c r="F282" i="6"/>
  <c r="B282" i="6"/>
  <c r="C282" i="6" s="1"/>
  <c r="M281" i="6"/>
  <c r="J281" i="6"/>
  <c r="F281" i="6"/>
  <c r="C281" i="6"/>
  <c r="B281" i="6"/>
  <c r="G281" i="6" s="1"/>
  <c r="M280" i="6"/>
  <c r="J280" i="6"/>
  <c r="G280" i="6"/>
  <c r="F280" i="6"/>
  <c r="B280" i="6"/>
  <c r="C280" i="6" s="1"/>
  <c r="M279" i="6"/>
  <c r="J279" i="6"/>
  <c r="F279" i="6"/>
  <c r="C279" i="6"/>
  <c r="B279" i="6"/>
  <c r="G279" i="6" s="1"/>
  <c r="M278" i="6"/>
  <c r="J278" i="6"/>
  <c r="G278" i="6"/>
  <c r="F278" i="6"/>
  <c r="B278" i="6"/>
  <c r="C278" i="6" s="1"/>
  <c r="M277" i="6"/>
  <c r="J277" i="6"/>
  <c r="F277" i="6"/>
  <c r="C277" i="6"/>
  <c r="B277" i="6"/>
  <c r="G277" i="6" s="1"/>
  <c r="M276" i="6"/>
  <c r="J276" i="6"/>
  <c r="G276" i="6"/>
  <c r="F276" i="6"/>
  <c r="B276" i="6"/>
  <c r="C276" i="6" s="1"/>
  <c r="M275" i="6"/>
  <c r="J275" i="6"/>
  <c r="F275" i="6"/>
  <c r="C275" i="6"/>
  <c r="B275" i="6"/>
  <c r="G275" i="6" s="1"/>
  <c r="M274" i="6"/>
  <c r="J274" i="6"/>
  <c r="G274" i="6"/>
  <c r="F274" i="6"/>
  <c r="B274" i="6"/>
  <c r="C274" i="6" s="1"/>
  <c r="M273" i="6"/>
  <c r="J273" i="6"/>
  <c r="F273" i="6"/>
  <c r="C273" i="6"/>
  <c r="B273" i="6"/>
  <c r="G273" i="6" s="1"/>
  <c r="M272" i="6"/>
  <c r="J272" i="6"/>
  <c r="G272" i="6"/>
  <c r="F272" i="6"/>
  <c r="B272" i="6"/>
  <c r="C272" i="6" s="1"/>
  <c r="M271" i="6"/>
  <c r="J271" i="6"/>
  <c r="F271" i="6"/>
  <c r="C271" i="6"/>
  <c r="B271" i="6"/>
  <c r="G271" i="6" s="1"/>
  <c r="M270" i="6"/>
  <c r="J270" i="6"/>
  <c r="G270" i="6"/>
  <c r="F270" i="6"/>
  <c r="B270" i="6"/>
  <c r="C270" i="6" s="1"/>
  <c r="M269" i="6"/>
  <c r="J269" i="6"/>
  <c r="F269" i="6"/>
  <c r="C269" i="6"/>
  <c r="B269" i="6"/>
  <c r="G269" i="6" s="1"/>
  <c r="M268" i="6"/>
  <c r="J268" i="6"/>
  <c r="G268" i="6"/>
  <c r="F268" i="6"/>
  <c r="B268" i="6"/>
  <c r="C268" i="6" s="1"/>
  <c r="M267" i="6"/>
  <c r="J267" i="6"/>
  <c r="F267" i="6"/>
  <c r="C267" i="6"/>
  <c r="B267" i="6"/>
  <c r="G267" i="6" s="1"/>
  <c r="M266" i="6"/>
  <c r="J266" i="6"/>
  <c r="G266" i="6"/>
  <c r="F266" i="6"/>
  <c r="B266" i="6"/>
  <c r="C266" i="6" s="1"/>
  <c r="M265" i="6"/>
  <c r="J265" i="6"/>
  <c r="F265" i="6"/>
  <c r="C265" i="6"/>
  <c r="B265" i="6"/>
  <c r="G265" i="6" s="1"/>
  <c r="M264" i="6"/>
  <c r="J264" i="6"/>
  <c r="G264" i="6"/>
  <c r="F264" i="6"/>
  <c r="B264" i="6"/>
  <c r="C264" i="6" s="1"/>
  <c r="M263" i="6"/>
  <c r="J263" i="6"/>
  <c r="F263" i="6"/>
  <c r="C263" i="6"/>
  <c r="B263" i="6"/>
  <c r="G263" i="6" s="1"/>
  <c r="M262" i="6"/>
  <c r="J262" i="6"/>
  <c r="G262" i="6"/>
  <c r="F262" i="6"/>
  <c r="B262" i="6"/>
  <c r="C262" i="6" s="1"/>
  <c r="M261" i="6"/>
  <c r="J261" i="6"/>
  <c r="F261" i="6"/>
  <c r="C261" i="6"/>
  <c r="B261" i="6"/>
  <c r="G261" i="6" s="1"/>
  <c r="M260" i="6"/>
  <c r="J260" i="6"/>
  <c r="G260" i="6"/>
  <c r="F260" i="6"/>
  <c r="B260" i="6"/>
  <c r="C260" i="6" s="1"/>
  <c r="M259" i="6"/>
  <c r="J259" i="6"/>
  <c r="F259" i="6"/>
  <c r="C259" i="6"/>
  <c r="B259" i="6"/>
  <c r="G259" i="6" s="1"/>
  <c r="M258" i="6"/>
  <c r="J258" i="6"/>
  <c r="G258" i="6"/>
  <c r="F258" i="6"/>
  <c r="B258" i="6"/>
  <c r="C258" i="6" s="1"/>
  <c r="M257" i="6"/>
  <c r="J257" i="6"/>
  <c r="F257" i="6"/>
  <c r="C257" i="6"/>
  <c r="B257" i="6"/>
  <c r="G257" i="6" s="1"/>
  <c r="M256" i="6"/>
  <c r="J256" i="6"/>
  <c r="G256" i="6"/>
  <c r="F256" i="6"/>
  <c r="B256" i="6"/>
  <c r="C256" i="6" s="1"/>
  <c r="M255" i="6"/>
  <c r="J255" i="6"/>
  <c r="F255" i="6"/>
  <c r="C255" i="6"/>
  <c r="B255" i="6"/>
  <c r="G255" i="6" s="1"/>
  <c r="M254" i="6"/>
  <c r="J254" i="6"/>
  <c r="G254" i="6"/>
  <c r="F254" i="6"/>
  <c r="B254" i="6"/>
  <c r="C254" i="6" s="1"/>
  <c r="M253" i="6"/>
  <c r="J253" i="6"/>
  <c r="F253" i="6"/>
  <c r="C253" i="6"/>
  <c r="B253" i="6"/>
  <c r="G253" i="6" s="1"/>
  <c r="M252" i="6"/>
  <c r="J252" i="6"/>
  <c r="G252" i="6"/>
  <c r="F252" i="6"/>
  <c r="B252" i="6"/>
  <c r="C252" i="6" s="1"/>
  <c r="M251" i="6"/>
  <c r="J251" i="6"/>
  <c r="F251" i="6"/>
  <c r="C251" i="6"/>
  <c r="B251" i="6"/>
  <c r="G251" i="6" s="1"/>
  <c r="M250" i="6"/>
  <c r="J250" i="6"/>
  <c r="G250" i="6"/>
  <c r="F250" i="6"/>
  <c r="B250" i="6"/>
  <c r="C250" i="6" s="1"/>
  <c r="M249" i="6"/>
  <c r="J249" i="6"/>
  <c r="F249" i="6"/>
  <c r="C249" i="6"/>
  <c r="B249" i="6"/>
  <c r="G249" i="6" s="1"/>
  <c r="M248" i="6"/>
  <c r="J248" i="6"/>
  <c r="G248" i="6"/>
  <c r="F248" i="6"/>
  <c r="B248" i="6"/>
  <c r="C248" i="6" s="1"/>
  <c r="M247" i="6"/>
  <c r="J247" i="6"/>
  <c r="F247" i="6"/>
  <c r="B247" i="6"/>
  <c r="G247" i="6" s="1"/>
  <c r="M246" i="6"/>
  <c r="J246" i="6"/>
  <c r="G246" i="6"/>
  <c r="F246" i="6"/>
  <c r="B246" i="6"/>
  <c r="C246" i="6" s="1"/>
  <c r="M245" i="6"/>
  <c r="J245" i="6"/>
  <c r="F245" i="6"/>
  <c r="B245" i="6"/>
  <c r="G245" i="6" s="1"/>
  <c r="M244" i="6"/>
  <c r="J244" i="6"/>
  <c r="G244" i="6"/>
  <c r="F244" i="6"/>
  <c r="B244" i="6"/>
  <c r="C244" i="6" s="1"/>
  <c r="M243" i="6"/>
  <c r="J243" i="6"/>
  <c r="F243" i="6"/>
  <c r="B243" i="6"/>
  <c r="G243" i="6" s="1"/>
  <c r="M242" i="6"/>
  <c r="J242" i="6"/>
  <c r="G242" i="6"/>
  <c r="F242" i="6"/>
  <c r="B242" i="6"/>
  <c r="C242" i="6" s="1"/>
  <c r="M241" i="6"/>
  <c r="J241" i="6"/>
  <c r="F241" i="6"/>
  <c r="B241" i="6"/>
  <c r="G241" i="6" s="1"/>
  <c r="M240" i="6"/>
  <c r="J240" i="6"/>
  <c r="G240" i="6"/>
  <c r="F240" i="6"/>
  <c r="B240" i="6"/>
  <c r="C240" i="6" s="1"/>
  <c r="M239" i="6"/>
  <c r="J239" i="6"/>
  <c r="F239" i="6"/>
  <c r="B239" i="6"/>
  <c r="G239" i="6" s="1"/>
  <c r="M238" i="6"/>
  <c r="J238" i="6"/>
  <c r="G238" i="6"/>
  <c r="F238" i="6"/>
  <c r="B238" i="6"/>
  <c r="C238" i="6" s="1"/>
  <c r="M237" i="6"/>
  <c r="J237" i="6"/>
  <c r="F237" i="6"/>
  <c r="B237" i="6"/>
  <c r="G237" i="6" s="1"/>
  <c r="M236" i="6"/>
  <c r="J236" i="6"/>
  <c r="G236" i="6"/>
  <c r="F236" i="6"/>
  <c r="B236" i="6"/>
  <c r="C236" i="6" s="1"/>
  <c r="M235" i="6"/>
  <c r="J235" i="6"/>
  <c r="F235" i="6"/>
  <c r="B235" i="6"/>
  <c r="G235" i="6" s="1"/>
  <c r="M234" i="6"/>
  <c r="J234" i="6"/>
  <c r="G234" i="6"/>
  <c r="F234" i="6"/>
  <c r="B234" i="6"/>
  <c r="C234" i="6" s="1"/>
  <c r="M233" i="6"/>
  <c r="J233" i="6"/>
  <c r="F233" i="6"/>
  <c r="B233" i="6"/>
  <c r="G233" i="6" s="1"/>
  <c r="M232" i="6"/>
  <c r="J232" i="6"/>
  <c r="G232" i="6"/>
  <c r="F232" i="6"/>
  <c r="B232" i="6"/>
  <c r="C232" i="6" s="1"/>
  <c r="M231" i="6"/>
  <c r="J231" i="6"/>
  <c r="F231" i="6"/>
  <c r="B231" i="6"/>
  <c r="G231" i="6" s="1"/>
  <c r="M230" i="6"/>
  <c r="J230" i="6"/>
  <c r="G230" i="6"/>
  <c r="F230" i="6"/>
  <c r="B230" i="6"/>
  <c r="C230" i="6" s="1"/>
  <c r="M229" i="6"/>
  <c r="J229" i="6"/>
  <c r="F229" i="6"/>
  <c r="B229" i="6"/>
  <c r="G229" i="6" s="1"/>
  <c r="M228" i="6"/>
  <c r="J228" i="6"/>
  <c r="G228" i="6"/>
  <c r="F228" i="6"/>
  <c r="B228" i="6"/>
  <c r="C228" i="6" s="1"/>
  <c r="M227" i="6"/>
  <c r="J227" i="6"/>
  <c r="F227" i="6"/>
  <c r="B227" i="6"/>
  <c r="G227" i="6" s="1"/>
  <c r="M226" i="6"/>
  <c r="J226" i="6"/>
  <c r="G226" i="6"/>
  <c r="F226" i="6"/>
  <c r="B226" i="6"/>
  <c r="C226" i="6" s="1"/>
  <c r="M225" i="6"/>
  <c r="J225" i="6"/>
  <c r="F225" i="6"/>
  <c r="B225" i="6"/>
  <c r="G225" i="6" s="1"/>
  <c r="M224" i="6"/>
  <c r="J224" i="6"/>
  <c r="G224" i="6"/>
  <c r="F224" i="6"/>
  <c r="B224" i="6"/>
  <c r="C224" i="6" s="1"/>
  <c r="M223" i="6"/>
  <c r="J223" i="6"/>
  <c r="F223" i="6"/>
  <c r="B223" i="6"/>
  <c r="G223" i="6" s="1"/>
  <c r="M222" i="6"/>
  <c r="J222" i="6"/>
  <c r="G222" i="6"/>
  <c r="F222" i="6"/>
  <c r="B222" i="6"/>
  <c r="C222" i="6" s="1"/>
  <c r="M221" i="6"/>
  <c r="J221" i="6"/>
  <c r="F221" i="6"/>
  <c r="B221" i="6"/>
  <c r="G221" i="6" s="1"/>
  <c r="M220" i="6"/>
  <c r="J220" i="6"/>
  <c r="G220" i="6"/>
  <c r="F220" i="6"/>
  <c r="B220" i="6"/>
  <c r="C220" i="6" s="1"/>
  <c r="M219" i="6"/>
  <c r="J219" i="6"/>
  <c r="F219" i="6"/>
  <c r="B219" i="6"/>
  <c r="G219" i="6" s="1"/>
  <c r="M218" i="6"/>
  <c r="J218" i="6"/>
  <c r="G218" i="6"/>
  <c r="F218" i="6"/>
  <c r="B218" i="6"/>
  <c r="C218" i="6" s="1"/>
  <c r="M217" i="6"/>
  <c r="J217" i="6"/>
  <c r="F217" i="6"/>
  <c r="B217" i="6"/>
  <c r="G217" i="6" s="1"/>
  <c r="M216" i="6"/>
  <c r="J216" i="6"/>
  <c r="G216" i="6"/>
  <c r="F216" i="6"/>
  <c r="B216" i="6"/>
  <c r="C216" i="6" s="1"/>
  <c r="M215" i="6"/>
  <c r="J215" i="6"/>
  <c r="B215" i="6"/>
  <c r="G215" i="6" s="1"/>
  <c r="M214" i="6"/>
  <c r="J214" i="6"/>
  <c r="G214" i="6"/>
  <c r="B214" i="6"/>
  <c r="C214" i="6" s="1"/>
  <c r="F214" i="6" s="1"/>
  <c r="M213" i="6"/>
  <c r="J213" i="6"/>
  <c r="B213" i="6"/>
  <c r="G213" i="6" s="1"/>
  <c r="M212" i="6"/>
  <c r="J212" i="6"/>
  <c r="G212" i="6"/>
  <c r="F212" i="6"/>
  <c r="B212" i="6"/>
  <c r="C212" i="6" s="1"/>
  <c r="M211" i="6"/>
  <c r="J211" i="6"/>
  <c r="F211" i="6"/>
  <c r="B211" i="6"/>
  <c r="G211" i="6" s="1"/>
  <c r="M210" i="6"/>
  <c r="J210" i="6"/>
  <c r="G210" i="6"/>
  <c r="F210" i="6"/>
  <c r="B210" i="6"/>
  <c r="C210" i="6" s="1"/>
  <c r="M209" i="6"/>
  <c r="J209" i="6"/>
  <c r="F209" i="6"/>
  <c r="B209" i="6"/>
  <c r="G209" i="6" s="1"/>
  <c r="M208" i="6"/>
  <c r="J208" i="6"/>
  <c r="G208" i="6"/>
  <c r="F208" i="6"/>
  <c r="B208" i="6"/>
  <c r="C208" i="6" s="1"/>
  <c r="M207" i="6"/>
  <c r="J207" i="6"/>
  <c r="F207" i="6"/>
  <c r="B207" i="6"/>
  <c r="G207" i="6" s="1"/>
  <c r="M206" i="6"/>
  <c r="J206" i="6"/>
  <c r="G206" i="6"/>
  <c r="F206" i="6"/>
  <c r="B206" i="6"/>
  <c r="C206" i="6" s="1"/>
  <c r="M205" i="6"/>
  <c r="J205" i="6"/>
  <c r="F205" i="6"/>
  <c r="B205" i="6"/>
  <c r="G205" i="6" s="1"/>
  <c r="M204" i="6"/>
  <c r="J204" i="6"/>
  <c r="G204" i="6"/>
  <c r="F204" i="6"/>
  <c r="B204" i="6"/>
  <c r="C204" i="6" s="1"/>
  <c r="M203" i="6"/>
  <c r="J203" i="6"/>
  <c r="F203" i="6"/>
  <c r="B203" i="6"/>
  <c r="G203" i="6" s="1"/>
  <c r="M202" i="6"/>
  <c r="J202" i="6"/>
  <c r="G202" i="6"/>
  <c r="F202" i="6"/>
  <c r="B202" i="6"/>
  <c r="C202" i="6" s="1"/>
  <c r="M201" i="6"/>
  <c r="J201" i="6"/>
  <c r="F201" i="6"/>
  <c r="B201" i="6"/>
  <c r="G201" i="6" s="1"/>
  <c r="M200" i="6"/>
  <c r="J200" i="6"/>
  <c r="G200" i="6"/>
  <c r="F200" i="6"/>
  <c r="B200" i="6"/>
  <c r="C200" i="6" s="1"/>
  <c r="M199" i="6"/>
  <c r="J199" i="6"/>
  <c r="F199" i="6"/>
  <c r="B199" i="6"/>
  <c r="G199" i="6" s="1"/>
  <c r="M198" i="6"/>
  <c r="J198" i="6"/>
  <c r="F198" i="6"/>
  <c r="B198" i="6"/>
  <c r="C198" i="6" s="1"/>
  <c r="M197" i="6"/>
  <c r="J197" i="6"/>
  <c r="F197" i="6"/>
  <c r="B197" i="6"/>
  <c r="G197" i="6" s="1"/>
  <c r="M196" i="6"/>
  <c r="J196" i="6"/>
  <c r="F196" i="6"/>
  <c r="B196" i="6"/>
  <c r="C196" i="6" s="1"/>
  <c r="M195" i="6"/>
  <c r="J195" i="6"/>
  <c r="F195" i="6"/>
  <c r="B195" i="6"/>
  <c r="G195" i="6" s="1"/>
  <c r="M194" i="6"/>
  <c r="J194" i="6"/>
  <c r="F194" i="6"/>
  <c r="B194" i="6"/>
  <c r="C194" i="6" s="1"/>
  <c r="M193" i="6"/>
  <c r="J193" i="6"/>
  <c r="F193" i="6"/>
  <c r="B193" i="6"/>
  <c r="G193" i="6" s="1"/>
  <c r="M192" i="6"/>
  <c r="J192" i="6"/>
  <c r="F192" i="6"/>
  <c r="B192" i="6"/>
  <c r="C192" i="6" s="1"/>
  <c r="M191" i="6"/>
  <c r="J191" i="6"/>
  <c r="F191" i="6"/>
  <c r="B191" i="6"/>
  <c r="G191" i="6" s="1"/>
  <c r="M190" i="6"/>
  <c r="J190" i="6"/>
  <c r="F190" i="6"/>
  <c r="B190" i="6"/>
  <c r="C190" i="6" s="1"/>
  <c r="M189" i="6"/>
  <c r="J189" i="6"/>
  <c r="F189" i="6"/>
  <c r="B189" i="6"/>
  <c r="G189" i="6" s="1"/>
  <c r="M188" i="6"/>
  <c r="J188" i="6"/>
  <c r="F188" i="6"/>
  <c r="B188" i="6"/>
  <c r="C188" i="6" s="1"/>
  <c r="M187" i="6"/>
  <c r="J187" i="6"/>
  <c r="F187" i="6"/>
  <c r="B187" i="6"/>
  <c r="G187" i="6" s="1"/>
  <c r="M186" i="6"/>
  <c r="J186" i="6"/>
  <c r="F186" i="6"/>
  <c r="B186" i="6"/>
  <c r="C186" i="6" s="1"/>
  <c r="M185" i="6"/>
  <c r="J185" i="6"/>
  <c r="F185" i="6"/>
  <c r="B185" i="6"/>
  <c r="G185" i="6" s="1"/>
  <c r="M184" i="6"/>
  <c r="J184" i="6"/>
  <c r="F184" i="6"/>
  <c r="B184" i="6"/>
  <c r="C184" i="6" s="1"/>
  <c r="M183" i="6"/>
  <c r="J183" i="6"/>
  <c r="F183" i="6"/>
  <c r="B183" i="6"/>
  <c r="G183" i="6" s="1"/>
  <c r="M182" i="6"/>
  <c r="J182" i="6"/>
  <c r="F182" i="6"/>
  <c r="B182" i="6"/>
  <c r="C182" i="6" s="1"/>
  <c r="M181" i="6"/>
  <c r="J181" i="6"/>
  <c r="F181" i="6"/>
  <c r="B181" i="6"/>
  <c r="G181" i="6" s="1"/>
  <c r="M180" i="6"/>
  <c r="J180" i="6"/>
  <c r="F180" i="6"/>
  <c r="B180" i="6"/>
  <c r="C180" i="6" s="1"/>
  <c r="M179" i="6"/>
  <c r="J179" i="6"/>
  <c r="F179" i="6"/>
  <c r="B179" i="6"/>
  <c r="G179" i="6" s="1"/>
  <c r="M178" i="6"/>
  <c r="J178" i="6"/>
  <c r="F178" i="6"/>
  <c r="B178" i="6"/>
  <c r="C178" i="6" s="1"/>
  <c r="M177" i="6"/>
  <c r="J177" i="6"/>
  <c r="F177" i="6"/>
  <c r="B177" i="6"/>
  <c r="G177" i="6" s="1"/>
  <c r="M176" i="6"/>
  <c r="J176" i="6"/>
  <c r="F176" i="6"/>
  <c r="B176" i="6"/>
  <c r="C176" i="6" s="1"/>
  <c r="M175" i="6"/>
  <c r="J175" i="6"/>
  <c r="F175" i="6"/>
  <c r="B175" i="6"/>
  <c r="G175" i="6" s="1"/>
  <c r="M174" i="6"/>
  <c r="J174" i="6"/>
  <c r="F174" i="6"/>
  <c r="B174" i="6"/>
  <c r="C174" i="6" s="1"/>
  <c r="M173" i="6"/>
  <c r="J173" i="6"/>
  <c r="F173" i="6"/>
  <c r="B173" i="6"/>
  <c r="G173" i="6" s="1"/>
  <c r="M172" i="6"/>
  <c r="J172" i="6"/>
  <c r="F172" i="6"/>
  <c r="B172" i="6"/>
  <c r="C172" i="6" s="1"/>
  <c r="M171" i="6"/>
  <c r="J171" i="6"/>
  <c r="F171" i="6"/>
  <c r="B171" i="6"/>
  <c r="G171" i="6" s="1"/>
  <c r="M170" i="6"/>
  <c r="J170" i="6"/>
  <c r="F170" i="6"/>
  <c r="B170" i="6"/>
  <c r="C170" i="6" s="1"/>
  <c r="M169" i="6"/>
  <c r="J169" i="6"/>
  <c r="F169" i="6"/>
  <c r="B169" i="6"/>
  <c r="G169" i="6" s="1"/>
  <c r="M168" i="6"/>
  <c r="J168" i="6"/>
  <c r="F168" i="6"/>
  <c r="B168" i="6"/>
  <c r="C168" i="6" s="1"/>
  <c r="M167" i="6"/>
  <c r="J167" i="6"/>
  <c r="F167" i="6"/>
  <c r="B167" i="6"/>
  <c r="G167" i="6" s="1"/>
  <c r="M166" i="6"/>
  <c r="J166" i="6"/>
  <c r="F166" i="6"/>
  <c r="B166" i="6"/>
  <c r="C166" i="6" s="1"/>
  <c r="M165" i="6"/>
  <c r="J165" i="6"/>
  <c r="F165" i="6"/>
  <c r="B165" i="6"/>
  <c r="G165" i="6" s="1"/>
  <c r="M164" i="6"/>
  <c r="J164" i="6"/>
  <c r="F164" i="6"/>
  <c r="B164" i="6"/>
  <c r="C164" i="6" s="1"/>
  <c r="M163" i="6"/>
  <c r="J163" i="6"/>
  <c r="F163" i="6"/>
  <c r="B163" i="6"/>
  <c r="G163" i="6" s="1"/>
  <c r="M162" i="6"/>
  <c r="J162" i="6"/>
  <c r="F162" i="6"/>
  <c r="B162" i="6"/>
  <c r="C162" i="6" s="1"/>
  <c r="M161" i="6"/>
  <c r="J161" i="6"/>
  <c r="F161" i="6"/>
  <c r="B161" i="6"/>
  <c r="G161" i="6" s="1"/>
  <c r="M160" i="6"/>
  <c r="J160" i="6"/>
  <c r="F160" i="6"/>
  <c r="B160" i="6"/>
  <c r="C160" i="6" s="1"/>
  <c r="M159" i="6"/>
  <c r="J159" i="6"/>
  <c r="F159" i="6"/>
  <c r="B159" i="6"/>
  <c r="G159" i="6" s="1"/>
  <c r="M158" i="6"/>
  <c r="J158" i="6"/>
  <c r="F158" i="6"/>
  <c r="B158" i="6"/>
  <c r="C158" i="6" s="1"/>
  <c r="M157" i="6"/>
  <c r="J157" i="6"/>
  <c r="F157" i="6"/>
  <c r="B157" i="6"/>
  <c r="G157" i="6" s="1"/>
  <c r="M156" i="6"/>
  <c r="J156" i="6"/>
  <c r="F156" i="6"/>
  <c r="B156" i="6"/>
  <c r="C156" i="6" s="1"/>
  <c r="M155" i="6"/>
  <c r="J155" i="6"/>
  <c r="F155" i="6"/>
  <c r="B155" i="6"/>
  <c r="G155" i="6" s="1"/>
  <c r="M154" i="6"/>
  <c r="J154" i="6"/>
  <c r="F154" i="6"/>
  <c r="B154" i="6"/>
  <c r="C154" i="6" s="1"/>
  <c r="M153" i="6"/>
  <c r="J153" i="6"/>
  <c r="F153" i="6"/>
  <c r="B153" i="6"/>
  <c r="G153" i="6" s="1"/>
  <c r="M152" i="6"/>
  <c r="J152" i="6"/>
  <c r="F152" i="6"/>
  <c r="B152" i="6"/>
  <c r="C152" i="6" s="1"/>
  <c r="M151" i="6"/>
  <c r="J151" i="6"/>
  <c r="F151" i="6"/>
  <c r="B151" i="6"/>
  <c r="G151" i="6" s="1"/>
  <c r="M150" i="6"/>
  <c r="J150" i="6"/>
  <c r="F150" i="6"/>
  <c r="B150" i="6"/>
  <c r="C150" i="6" s="1"/>
  <c r="M149" i="6"/>
  <c r="J149" i="6"/>
  <c r="F149" i="6"/>
  <c r="B149" i="6"/>
  <c r="G149" i="6" s="1"/>
  <c r="M148" i="6"/>
  <c r="J148" i="6"/>
  <c r="F148" i="6"/>
  <c r="B148" i="6"/>
  <c r="C148" i="6" s="1"/>
  <c r="M147" i="6"/>
  <c r="J147" i="6"/>
  <c r="F147" i="6"/>
  <c r="B147" i="6"/>
  <c r="G147" i="6" s="1"/>
  <c r="M146" i="6"/>
  <c r="J146" i="6"/>
  <c r="F146" i="6"/>
  <c r="B146" i="6"/>
  <c r="C146" i="6" s="1"/>
  <c r="M145" i="6"/>
  <c r="J145" i="6"/>
  <c r="F145" i="6"/>
  <c r="B145" i="6"/>
  <c r="G145" i="6" s="1"/>
  <c r="M144" i="6"/>
  <c r="J144" i="6"/>
  <c r="F144" i="6"/>
  <c r="B144" i="6"/>
  <c r="C144" i="6" s="1"/>
  <c r="M143" i="6"/>
  <c r="J143" i="6"/>
  <c r="F143" i="6"/>
  <c r="B143" i="6"/>
  <c r="G143" i="6" s="1"/>
  <c r="M142" i="6"/>
  <c r="J142" i="6"/>
  <c r="F142" i="6"/>
  <c r="B142" i="6"/>
  <c r="C142" i="6" s="1"/>
  <c r="M141" i="6"/>
  <c r="J141" i="6"/>
  <c r="F141" i="6"/>
  <c r="B141" i="6"/>
  <c r="G141" i="6" s="1"/>
  <c r="M140" i="6"/>
  <c r="J140" i="6"/>
  <c r="F140" i="6"/>
  <c r="B140" i="6"/>
  <c r="C140" i="6" s="1"/>
  <c r="M139" i="6"/>
  <c r="J139" i="6"/>
  <c r="F139" i="6"/>
  <c r="B139" i="6"/>
  <c r="M138" i="6"/>
  <c r="J138" i="6"/>
  <c r="F138" i="6"/>
  <c r="B138" i="6"/>
  <c r="C138" i="6" s="1"/>
  <c r="M137" i="6"/>
  <c r="J137" i="6"/>
  <c r="F137" i="6"/>
  <c r="B137" i="6"/>
  <c r="M136" i="6"/>
  <c r="J136" i="6"/>
  <c r="F136" i="6"/>
  <c r="B136" i="6"/>
  <c r="C136" i="6" s="1"/>
  <c r="M135" i="6"/>
  <c r="J135" i="6"/>
  <c r="F135" i="6"/>
  <c r="B135" i="6"/>
  <c r="M134" i="6"/>
  <c r="J134" i="6"/>
  <c r="F134" i="6"/>
  <c r="B134" i="6"/>
  <c r="C134" i="6" s="1"/>
  <c r="M133" i="6"/>
  <c r="J133" i="6"/>
  <c r="F133" i="6"/>
  <c r="B133" i="6"/>
  <c r="M132" i="6"/>
  <c r="J132" i="6"/>
  <c r="F132" i="6"/>
  <c r="B132" i="6"/>
  <c r="C132" i="6" s="1"/>
  <c r="M131" i="6"/>
  <c r="J131" i="6"/>
  <c r="F131" i="6"/>
  <c r="B131" i="6"/>
  <c r="M130" i="6"/>
  <c r="J130" i="6"/>
  <c r="F130" i="6"/>
  <c r="B130" i="6"/>
  <c r="C130" i="6" s="1"/>
  <c r="M129" i="6"/>
  <c r="J129" i="6"/>
  <c r="F129" i="6"/>
  <c r="B129" i="6"/>
  <c r="M128" i="6"/>
  <c r="J128" i="6"/>
  <c r="F128" i="6"/>
  <c r="B128" i="6"/>
  <c r="C128" i="6" s="1"/>
  <c r="M127" i="6"/>
  <c r="J127" i="6"/>
  <c r="F127" i="6"/>
  <c r="B127" i="6"/>
  <c r="M126" i="6"/>
  <c r="J126" i="6"/>
  <c r="F126" i="6"/>
  <c r="B126" i="6"/>
  <c r="C126" i="6" s="1"/>
  <c r="M125" i="6"/>
  <c r="J125" i="6"/>
  <c r="F125" i="6"/>
  <c r="B125" i="6"/>
  <c r="M124" i="6"/>
  <c r="J124" i="6"/>
  <c r="F124" i="6"/>
  <c r="B124" i="6"/>
  <c r="C124" i="6" s="1"/>
  <c r="M123" i="6"/>
  <c r="J123" i="6"/>
  <c r="F123" i="6"/>
  <c r="B123" i="6"/>
  <c r="M122" i="6"/>
  <c r="J122" i="6"/>
  <c r="F122" i="6"/>
  <c r="B122" i="6"/>
  <c r="C122" i="6" s="1"/>
  <c r="M121" i="6"/>
  <c r="J121" i="6"/>
  <c r="F121" i="6"/>
  <c r="B121" i="6"/>
  <c r="M120" i="6"/>
  <c r="J120" i="6"/>
  <c r="F120" i="6"/>
  <c r="B120" i="6"/>
  <c r="C120" i="6" s="1"/>
  <c r="M119" i="6"/>
  <c r="J119" i="6"/>
  <c r="F119" i="6"/>
  <c r="B119" i="6"/>
  <c r="M118" i="6"/>
  <c r="J118" i="6"/>
  <c r="F118" i="6"/>
  <c r="B118" i="6"/>
  <c r="C118" i="6" s="1"/>
  <c r="M117" i="6"/>
  <c r="J117" i="6"/>
  <c r="F117" i="6"/>
  <c r="B117" i="6"/>
  <c r="M116" i="6"/>
  <c r="J116" i="6"/>
  <c r="F116" i="6"/>
  <c r="B116" i="6"/>
  <c r="C116" i="6" s="1"/>
  <c r="M115" i="6"/>
  <c r="J115" i="6"/>
  <c r="F115" i="6"/>
  <c r="B115" i="6"/>
  <c r="M114" i="6"/>
  <c r="J114" i="6"/>
  <c r="F114" i="6"/>
  <c r="B114" i="6"/>
  <c r="C114" i="6" s="1"/>
  <c r="M113" i="6"/>
  <c r="J113" i="6"/>
  <c r="F113" i="6"/>
  <c r="B113" i="6"/>
  <c r="M112" i="6"/>
  <c r="J112" i="6"/>
  <c r="F112" i="6"/>
  <c r="B112" i="6"/>
  <c r="C112" i="6" s="1"/>
  <c r="M111" i="6"/>
  <c r="J111" i="6"/>
  <c r="F111" i="6"/>
  <c r="B111" i="6"/>
  <c r="M110" i="6"/>
  <c r="J110" i="6"/>
  <c r="F110" i="6"/>
  <c r="B110" i="6"/>
  <c r="C110" i="6" s="1"/>
  <c r="M109" i="6"/>
  <c r="J109" i="6"/>
  <c r="F109" i="6"/>
  <c r="B109" i="6"/>
  <c r="M108" i="6"/>
  <c r="J108" i="6"/>
  <c r="F108" i="6"/>
  <c r="B108" i="6"/>
  <c r="M107" i="6"/>
  <c r="J107" i="6"/>
  <c r="F107" i="6"/>
  <c r="B107" i="6"/>
  <c r="M106" i="6"/>
  <c r="J106" i="6"/>
  <c r="F106" i="6"/>
  <c r="B106" i="6"/>
  <c r="M105" i="6"/>
  <c r="J105" i="6"/>
  <c r="F105" i="6"/>
  <c r="B105" i="6"/>
  <c r="M104" i="6"/>
  <c r="J104" i="6"/>
  <c r="F104" i="6"/>
  <c r="B104" i="6"/>
  <c r="M103" i="6"/>
  <c r="J103" i="6"/>
  <c r="F103" i="6"/>
  <c r="B103" i="6"/>
  <c r="M102" i="6"/>
  <c r="J102" i="6"/>
  <c r="F102" i="6"/>
  <c r="B102" i="6"/>
  <c r="M101" i="6"/>
  <c r="J101" i="6"/>
  <c r="F101" i="6"/>
  <c r="B101" i="6"/>
  <c r="M100" i="6"/>
  <c r="J100" i="6"/>
  <c r="F100" i="6"/>
  <c r="B100" i="6"/>
  <c r="M99" i="6"/>
  <c r="J99" i="6"/>
  <c r="F99" i="6"/>
  <c r="B99" i="6"/>
  <c r="M98" i="6"/>
  <c r="J98" i="6"/>
  <c r="F98" i="6"/>
  <c r="B98" i="6"/>
  <c r="M97" i="6"/>
  <c r="J97" i="6"/>
  <c r="F97" i="6"/>
  <c r="B97" i="6"/>
  <c r="M96" i="6"/>
  <c r="J96" i="6"/>
  <c r="F96" i="6"/>
  <c r="B96" i="6"/>
  <c r="M95" i="6"/>
  <c r="J95" i="6"/>
  <c r="F95" i="6"/>
  <c r="B95" i="6"/>
  <c r="M94" i="6"/>
  <c r="J94" i="6"/>
  <c r="F94" i="6"/>
  <c r="B94" i="6"/>
  <c r="M93" i="6"/>
  <c r="J93" i="6"/>
  <c r="F93" i="6"/>
  <c r="B93" i="6"/>
  <c r="M92" i="6"/>
  <c r="J92" i="6"/>
  <c r="F92" i="6"/>
  <c r="B92" i="6"/>
  <c r="M91" i="6"/>
  <c r="J91" i="6"/>
  <c r="F91" i="6"/>
  <c r="B91" i="6"/>
  <c r="M90" i="6"/>
  <c r="J90" i="6"/>
  <c r="F90" i="6"/>
  <c r="B90" i="6"/>
  <c r="M89" i="6"/>
  <c r="J89" i="6"/>
  <c r="F89" i="6"/>
  <c r="B89" i="6"/>
  <c r="M88" i="6"/>
  <c r="J88" i="6"/>
  <c r="F88" i="6"/>
  <c r="B88" i="6"/>
  <c r="M87" i="6"/>
  <c r="J87" i="6"/>
  <c r="F87" i="6"/>
  <c r="B87" i="6"/>
  <c r="M86" i="6"/>
  <c r="J86" i="6"/>
  <c r="F86" i="6"/>
  <c r="B86" i="6"/>
  <c r="M85" i="6"/>
  <c r="J85" i="6"/>
  <c r="F85" i="6"/>
  <c r="B85" i="6"/>
  <c r="M84" i="6"/>
  <c r="J84" i="6"/>
  <c r="F84" i="6"/>
  <c r="B84" i="6"/>
  <c r="M83" i="6"/>
  <c r="J83" i="6"/>
  <c r="F83" i="6"/>
  <c r="B83" i="6"/>
  <c r="M82" i="6"/>
  <c r="J82" i="6"/>
  <c r="F82" i="6"/>
  <c r="B82" i="6"/>
  <c r="M81" i="6"/>
  <c r="J81" i="6"/>
  <c r="F81" i="6"/>
  <c r="B81" i="6"/>
  <c r="M80" i="6"/>
  <c r="J80" i="6"/>
  <c r="F80" i="6"/>
  <c r="B80" i="6"/>
  <c r="M79" i="6"/>
  <c r="J79" i="6"/>
  <c r="F79" i="6"/>
  <c r="B79" i="6"/>
  <c r="M78" i="6"/>
  <c r="J78" i="6"/>
  <c r="F78" i="6"/>
  <c r="B78" i="6"/>
  <c r="M77" i="6"/>
  <c r="J77" i="6"/>
  <c r="F77" i="6"/>
  <c r="B77" i="6"/>
  <c r="M76" i="6"/>
  <c r="J76" i="6"/>
  <c r="F76" i="6"/>
  <c r="B76" i="6"/>
  <c r="M75" i="6"/>
  <c r="J75" i="6"/>
  <c r="F75" i="6"/>
  <c r="B75" i="6"/>
  <c r="M74" i="6"/>
  <c r="J74" i="6"/>
  <c r="F74" i="6"/>
  <c r="B74" i="6"/>
  <c r="M73" i="6"/>
  <c r="J73" i="6"/>
  <c r="F73" i="6"/>
  <c r="B73" i="6"/>
  <c r="M72" i="6"/>
  <c r="J72" i="6"/>
  <c r="F72" i="6"/>
  <c r="B72" i="6"/>
  <c r="M71" i="6"/>
  <c r="J71" i="6"/>
  <c r="F71" i="6"/>
  <c r="B71" i="6"/>
  <c r="M70" i="6"/>
  <c r="J70" i="6"/>
  <c r="F70" i="6"/>
  <c r="B70" i="6"/>
  <c r="M69" i="6"/>
  <c r="J69" i="6"/>
  <c r="F69" i="6"/>
  <c r="B69" i="6"/>
  <c r="M68" i="6"/>
  <c r="J68" i="6"/>
  <c r="F68" i="6"/>
  <c r="B68" i="6"/>
  <c r="M67" i="6"/>
  <c r="J67" i="6"/>
  <c r="F67" i="6"/>
  <c r="B67" i="6"/>
  <c r="M66" i="6"/>
  <c r="J66" i="6"/>
  <c r="F66" i="6"/>
  <c r="B66" i="6"/>
  <c r="M65" i="6"/>
  <c r="J65" i="6"/>
  <c r="F65" i="6"/>
  <c r="B65" i="6"/>
  <c r="M64" i="6"/>
  <c r="J64" i="6"/>
  <c r="F64" i="6"/>
  <c r="B64" i="6"/>
  <c r="M63" i="6"/>
  <c r="J63" i="6"/>
  <c r="F63" i="6"/>
  <c r="B63" i="6"/>
  <c r="M62" i="6"/>
  <c r="J62" i="6"/>
  <c r="F62" i="6"/>
  <c r="B62" i="6"/>
  <c r="M61" i="6"/>
  <c r="J61" i="6"/>
  <c r="F61" i="6"/>
  <c r="B61" i="6"/>
  <c r="M60" i="6"/>
  <c r="J60" i="6"/>
  <c r="F60" i="6"/>
  <c r="B60" i="6"/>
  <c r="M59" i="6"/>
  <c r="J59" i="6"/>
  <c r="F59" i="6"/>
  <c r="B59" i="6"/>
  <c r="M58" i="6"/>
  <c r="J58" i="6"/>
  <c r="F58" i="6"/>
  <c r="B58" i="6"/>
  <c r="M57" i="6"/>
  <c r="J57" i="6"/>
  <c r="F57" i="6"/>
  <c r="B57" i="6"/>
  <c r="M56" i="6"/>
  <c r="J56" i="6"/>
  <c r="F56" i="6"/>
  <c r="B56" i="6"/>
  <c r="M55" i="6"/>
  <c r="J55" i="6"/>
  <c r="F55" i="6"/>
  <c r="C55" i="6"/>
  <c r="B55" i="6"/>
  <c r="G55" i="6" s="1"/>
  <c r="M54" i="6"/>
  <c r="J54" i="6"/>
  <c r="F54" i="6"/>
  <c r="B54" i="6"/>
  <c r="C54" i="6" s="1"/>
  <c r="M53" i="6"/>
  <c r="J53" i="6"/>
  <c r="F53" i="6"/>
  <c r="B53" i="6"/>
  <c r="G53" i="6" s="1"/>
  <c r="M52" i="6"/>
  <c r="J52" i="6"/>
  <c r="G52" i="6"/>
  <c r="F52" i="6"/>
  <c r="B52" i="6"/>
  <c r="C52" i="6" s="1"/>
  <c r="M51" i="6"/>
  <c r="J51" i="6"/>
  <c r="F51" i="6"/>
  <c r="C51" i="6"/>
  <c r="B51" i="6"/>
  <c r="G51" i="6" s="1"/>
  <c r="M50" i="6"/>
  <c r="J50" i="6"/>
  <c r="F50" i="6"/>
  <c r="B50" i="6"/>
  <c r="C50" i="6" s="1"/>
  <c r="M49" i="6"/>
  <c r="J49" i="6"/>
  <c r="F49" i="6"/>
  <c r="B49" i="6"/>
  <c r="G49" i="6" s="1"/>
  <c r="M48" i="6"/>
  <c r="J48" i="6"/>
  <c r="G48" i="6"/>
  <c r="F48" i="6"/>
  <c r="B48" i="6"/>
  <c r="C48" i="6" s="1"/>
  <c r="M47" i="6"/>
  <c r="J47" i="6"/>
  <c r="F47" i="6"/>
  <c r="C47" i="6"/>
  <c r="B47" i="6"/>
  <c r="G47" i="6" s="1"/>
  <c r="M46" i="6"/>
  <c r="J46" i="6"/>
  <c r="B46" i="6"/>
  <c r="C46" i="6" s="1"/>
  <c r="F46" i="6" s="1"/>
  <c r="M45" i="6"/>
  <c r="J45" i="6"/>
  <c r="B45" i="6"/>
  <c r="G45" i="6" s="1"/>
  <c r="M44" i="6"/>
  <c r="J44" i="6"/>
  <c r="G44" i="6"/>
  <c r="F44" i="6"/>
  <c r="B44" i="6"/>
  <c r="C44" i="6" s="1"/>
  <c r="M43" i="6"/>
  <c r="J43" i="6"/>
  <c r="F43" i="6"/>
  <c r="C43" i="6"/>
  <c r="B43" i="6"/>
  <c r="G43" i="6" s="1"/>
  <c r="M42" i="6"/>
  <c r="J42" i="6"/>
  <c r="F42" i="6"/>
  <c r="B42" i="6"/>
  <c r="C42" i="6" s="1"/>
  <c r="M41" i="6"/>
  <c r="J41" i="6"/>
  <c r="F41" i="6"/>
  <c r="B41" i="6"/>
  <c r="G41" i="6" s="1"/>
  <c r="M40" i="6"/>
  <c r="J40" i="6"/>
  <c r="G40" i="6"/>
  <c r="F40" i="6"/>
  <c r="B40" i="6"/>
  <c r="C40" i="6" s="1"/>
  <c r="M39" i="6"/>
  <c r="J39" i="6"/>
  <c r="F39" i="6"/>
  <c r="C39" i="6"/>
  <c r="B39" i="6"/>
  <c r="G39" i="6" s="1"/>
  <c r="M38" i="6"/>
  <c r="J38" i="6"/>
  <c r="F38" i="6"/>
  <c r="B38" i="6"/>
  <c r="C38" i="6" s="1"/>
  <c r="M37" i="6"/>
  <c r="J37" i="6"/>
  <c r="F37" i="6"/>
  <c r="B37" i="6"/>
  <c r="G37" i="6" s="1"/>
  <c r="M36" i="6"/>
  <c r="J36" i="6"/>
  <c r="G36" i="6"/>
  <c r="F36" i="6"/>
  <c r="B36" i="6"/>
  <c r="C36" i="6" s="1"/>
  <c r="M35" i="6"/>
  <c r="J35" i="6"/>
  <c r="F35" i="6"/>
  <c r="C35" i="6"/>
  <c r="B35" i="6"/>
  <c r="G35" i="6" s="1"/>
  <c r="M34" i="6"/>
  <c r="J34" i="6"/>
  <c r="F34" i="6"/>
  <c r="B34" i="6"/>
  <c r="C34" i="6" s="1"/>
  <c r="M33" i="6"/>
  <c r="J33" i="6"/>
  <c r="F33" i="6"/>
  <c r="B33" i="6"/>
  <c r="G33" i="6" s="1"/>
  <c r="M32" i="6"/>
  <c r="J32" i="6"/>
  <c r="G32" i="6"/>
  <c r="F32" i="6"/>
  <c r="B32" i="6"/>
  <c r="C32" i="6" s="1"/>
  <c r="M31" i="6"/>
  <c r="J31" i="6"/>
  <c r="F31" i="6"/>
  <c r="C31" i="6"/>
  <c r="B31" i="6"/>
  <c r="G31" i="6" s="1"/>
  <c r="M30" i="6"/>
  <c r="J30" i="6"/>
  <c r="F30" i="6"/>
  <c r="B30" i="6"/>
  <c r="C30" i="6" s="1"/>
  <c r="M29" i="6"/>
  <c r="J29" i="6"/>
  <c r="F29" i="6"/>
  <c r="B29" i="6"/>
  <c r="G29" i="6" s="1"/>
  <c r="M28" i="6"/>
  <c r="J28" i="6"/>
  <c r="G28" i="6"/>
  <c r="F28" i="6"/>
  <c r="B28" i="6"/>
  <c r="C28" i="6" s="1"/>
  <c r="M27" i="6"/>
  <c r="J27" i="6"/>
  <c r="F27" i="6"/>
  <c r="C27" i="6"/>
  <c r="B27" i="6"/>
  <c r="G27" i="6" s="1"/>
  <c r="M26" i="6"/>
  <c r="J26" i="6"/>
  <c r="F26" i="6"/>
  <c r="B26" i="6"/>
  <c r="C26" i="6" s="1"/>
  <c r="M25" i="6"/>
  <c r="J25" i="6"/>
  <c r="F25" i="6"/>
  <c r="B25" i="6"/>
  <c r="G25" i="6" s="1"/>
  <c r="M24" i="6"/>
  <c r="J24" i="6"/>
  <c r="G24" i="6"/>
  <c r="F24" i="6"/>
  <c r="B24" i="6"/>
  <c r="C24" i="6" s="1"/>
  <c r="M23" i="6"/>
  <c r="J23" i="6"/>
  <c r="F23" i="6"/>
  <c r="C23" i="6"/>
  <c r="B23" i="6"/>
  <c r="G23" i="6" s="1"/>
  <c r="M22" i="6"/>
  <c r="J22" i="6"/>
  <c r="F22" i="6"/>
  <c r="B22" i="6"/>
  <c r="C22" i="6" s="1"/>
  <c r="M21" i="6"/>
  <c r="J21" i="6"/>
  <c r="F21" i="6"/>
  <c r="B21" i="6"/>
  <c r="G21" i="6" s="1"/>
  <c r="M20" i="6"/>
  <c r="J20" i="6"/>
  <c r="G20" i="6"/>
  <c r="F20" i="6"/>
  <c r="C20" i="6"/>
  <c r="B20" i="6"/>
  <c r="M19" i="6"/>
  <c r="J19" i="6"/>
  <c r="F19" i="6"/>
  <c r="B19" i="6"/>
  <c r="G19" i="6" s="1"/>
  <c r="M18" i="6"/>
  <c r="J18" i="6"/>
  <c r="G18" i="6"/>
  <c r="F18" i="6"/>
  <c r="C18" i="6"/>
  <c r="B18" i="6"/>
  <c r="M17" i="6"/>
  <c r="J17" i="6"/>
  <c r="F17" i="6"/>
  <c r="B17" i="6"/>
  <c r="G17" i="6" s="1"/>
  <c r="M16" i="6"/>
  <c r="J16" i="6"/>
  <c r="G16" i="6"/>
  <c r="F16" i="6"/>
  <c r="C16" i="6"/>
  <c r="B16" i="6"/>
  <c r="M15" i="6"/>
  <c r="J15" i="6"/>
  <c r="F15" i="6"/>
  <c r="B15" i="6"/>
  <c r="G15" i="6" s="1"/>
  <c r="M14" i="6"/>
  <c r="J14" i="6"/>
  <c r="G14" i="6"/>
  <c r="F14" i="6"/>
  <c r="C14" i="6"/>
  <c r="B14" i="6"/>
  <c r="M13" i="6"/>
  <c r="J13" i="6"/>
  <c r="F13" i="6"/>
  <c r="B13" i="6"/>
  <c r="G13" i="6" s="1"/>
  <c r="M12" i="6"/>
  <c r="J12" i="6"/>
  <c r="G12" i="6"/>
  <c r="F12" i="6"/>
  <c r="C12" i="6"/>
  <c r="B12" i="6"/>
  <c r="M11" i="6"/>
  <c r="J11" i="6"/>
  <c r="F11" i="6"/>
  <c r="B11" i="6"/>
  <c r="G11" i="6" s="1"/>
  <c r="M10" i="6"/>
  <c r="J10" i="6"/>
  <c r="G10" i="6"/>
  <c r="F10" i="6"/>
  <c r="C10" i="6"/>
  <c r="B10" i="6"/>
  <c r="M9" i="6"/>
  <c r="J9" i="6"/>
  <c r="F9" i="6"/>
  <c r="B9" i="6"/>
  <c r="G9" i="6" s="1"/>
  <c r="M8" i="6"/>
  <c r="J8" i="6"/>
  <c r="G8" i="6"/>
  <c r="F8" i="6"/>
  <c r="C8" i="6"/>
  <c r="B8" i="6"/>
  <c r="M7" i="6"/>
  <c r="J7" i="6"/>
  <c r="F7" i="6"/>
  <c r="B7" i="6"/>
  <c r="G7" i="6" s="1"/>
  <c r="M6" i="6"/>
  <c r="J6" i="6"/>
  <c r="G6" i="6"/>
  <c r="F6" i="6"/>
  <c r="C6" i="6"/>
  <c r="B6" i="6"/>
  <c r="M5" i="6"/>
  <c r="J5" i="6"/>
  <c r="B29" i="1" s="1"/>
  <c r="F5" i="6"/>
  <c r="B5" i="6"/>
  <c r="G5" i="6" s="1"/>
  <c r="E14" i="5"/>
  <c r="D14" i="5"/>
  <c r="C14" i="5"/>
  <c r="E13" i="5"/>
  <c r="E12" i="5"/>
  <c r="E11" i="5"/>
  <c r="E10" i="5"/>
  <c r="E9" i="5"/>
  <c r="E8" i="5"/>
  <c r="E7" i="5"/>
  <c r="E6" i="5"/>
  <c r="E5" i="5"/>
  <c r="E20" i="3"/>
  <c r="D17" i="3"/>
  <c r="C17" i="3"/>
  <c r="E17" i="3" s="1"/>
  <c r="E16" i="3"/>
  <c r="E15" i="3"/>
  <c r="E14" i="3"/>
  <c r="E13" i="3"/>
  <c r="E12" i="3"/>
  <c r="E11" i="3"/>
  <c r="E10" i="3"/>
  <c r="E9" i="3"/>
  <c r="E8" i="3"/>
  <c r="E7" i="3"/>
  <c r="E6" i="3"/>
  <c r="E5" i="3"/>
  <c r="B55" i="1"/>
  <c r="B54" i="1"/>
  <c r="B53" i="1"/>
  <c r="B52" i="1"/>
  <c r="B51" i="1"/>
  <c r="B47" i="1"/>
  <c r="B42" i="1"/>
  <c r="B41" i="1"/>
  <c r="B40" i="1"/>
  <c r="B37" i="1"/>
  <c r="B36" i="1"/>
  <c r="B35" i="1"/>
  <c r="B31" i="1"/>
  <c r="B30" i="1"/>
  <c r="B20" i="1"/>
  <c r="B19" i="1"/>
  <c r="B16" i="1"/>
  <c r="B15" i="1"/>
  <c r="B14" i="1"/>
  <c r="B13" i="1"/>
  <c r="C5" i="6" l="1"/>
  <c r="C7" i="6"/>
  <c r="C9" i="6"/>
  <c r="C11" i="6"/>
  <c r="C13" i="6"/>
  <c r="C15" i="6"/>
  <c r="C17" i="6"/>
  <c r="C19" i="6"/>
  <c r="C21" i="6"/>
  <c r="C25" i="6"/>
  <c r="C29" i="6"/>
  <c r="C33" i="6"/>
  <c r="C37" i="6"/>
  <c r="C41" i="6"/>
  <c r="C45" i="6"/>
  <c r="F45" i="6" s="1"/>
  <c r="C49" i="6"/>
  <c r="C53" i="6"/>
  <c r="B28" i="1"/>
  <c r="G22" i="6"/>
  <c r="G26" i="6"/>
  <c r="G30" i="6"/>
  <c r="G34" i="6"/>
  <c r="G38" i="6"/>
  <c r="G42" i="6"/>
  <c r="G46" i="6"/>
  <c r="G50" i="6"/>
  <c r="G54" i="6"/>
  <c r="C56" i="6"/>
  <c r="G56" i="6"/>
  <c r="G57" i="6"/>
  <c r="C57" i="6"/>
  <c r="C58" i="6"/>
  <c r="G58" i="6"/>
  <c r="G59" i="6"/>
  <c r="C59" i="6"/>
  <c r="C60" i="6"/>
  <c r="G60" i="6"/>
  <c r="G61" i="6"/>
  <c r="C61" i="6"/>
  <c r="C62" i="6"/>
  <c r="G62" i="6"/>
  <c r="G63" i="6"/>
  <c r="C63" i="6"/>
  <c r="C64" i="6"/>
  <c r="G64" i="6"/>
  <c r="G65" i="6"/>
  <c r="C65" i="6"/>
  <c r="C66" i="6"/>
  <c r="G66" i="6"/>
  <c r="G67" i="6"/>
  <c r="C67" i="6"/>
  <c r="C68" i="6"/>
  <c r="G68" i="6"/>
  <c r="G69" i="6"/>
  <c r="C69" i="6"/>
  <c r="C70" i="6"/>
  <c r="G70" i="6"/>
  <c r="G71" i="6"/>
  <c r="C71" i="6"/>
  <c r="C72" i="6"/>
  <c r="G72" i="6"/>
  <c r="G73" i="6"/>
  <c r="C73" i="6"/>
  <c r="C74" i="6"/>
  <c r="G74" i="6"/>
  <c r="G75" i="6"/>
  <c r="C75" i="6"/>
  <c r="C76" i="6"/>
  <c r="G76" i="6"/>
  <c r="G77" i="6"/>
  <c r="C77" i="6"/>
  <c r="C78" i="6"/>
  <c r="G78" i="6"/>
  <c r="G79" i="6"/>
  <c r="C79" i="6"/>
  <c r="C80" i="6"/>
  <c r="G80" i="6"/>
  <c r="G81" i="6"/>
  <c r="C81" i="6"/>
  <c r="C82" i="6"/>
  <c r="G82" i="6"/>
  <c r="G83" i="6"/>
  <c r="C83" i="6"/>
  <c r="C84" i="6"/>
  <c r="G84" i="6"/>
  <c r="G85" i="6"/>
  <c r="C85" i="6"/>
  <c r="C86" i="6"/>
  <c r="G86" i="6"/>
  <c r="G87" i="6"/>
  <c r="C87" i="6"/>
  <c r="C88" i="6"/>
  <c r="G88" i="6"/>
  <c r="G89" i="6"/>
  <c r="C89" i="6"/>
  <c r="C90" i="6"/>
  <c r="G90" i="6"/>
  <c r="G91" i="6"/>
  <c r="C91" i="6"/>
  <c r="C92" i="6"/>
  <c r="G92" i="6"/>
  <c r="G93" i="6"/>
  <c r="C93" i="6"/>
  <c r="C94" i="6"/>
  <c r="G94" i="6"/>
  <c r="G95" i="6"/>
  <c r="C95" i="6"/>
  <c r="C96" i="6"/>
  <c r="G96" i="6"/>
  <c r="G97" i="6"/>
  <c r="C97" i="6"/>
  <c r="C98" i="6"/>
  <c r="G98" i="6"/>
  <c r="G99" i="6"/>
  <c r="C99" i="6"/>
  <c r="C100" i="6"/>
  <c r="G100" i="6"/>
  <c r="G101" i="6"/>
  <c r="C101" i="6"/>
  <c r="C102" i="6"/>
  <c r="G102" i="6"/>
  <c r="G103" i="6"/>
  <c r="C103" i="6"/>
  <c r="C104" i="6"/>
  <c r="G104" i="6"/>
  <c r="G105" i="6"/>
  <c r="C105" i="6"/>
  <c r="C106" i="6"/>
  <c r="G106" i="6"/>
  <c r="G107" i="6"/>
  <c r="C107" i="6"/>
  <c r="C108" i="6"/>
  <c r="G108" i="6"/>
  <c r="G109" i="6"/>
  <c r="C109" i="6"/>
  <c r="G111" i="6"/>
  <c r="C111" i="6"/>
  <c r="G113" i="6"/>
  <c r="C113" i="6"/>
  <c r="G115" i="6"/>
  <c r="C115" i="6"/>
  <c r="G117" i="6"/>
  <c r="C117" i="6"/>
  <c r="G119" i="6"/>
  <c r="C119" i="6"/>
  <c r="G121" i="6"/>
  <c r="C121" i="6"/>
  <c r="G123" i="6"/>
  <c r="C123" i="6"/>
  <c r="G125" i="6"/>
  <c r="C125" i="6"/>
  <c r="G127" i="6"/>
  <c r="C127" i="6"/>
  <c r="G129" i="6"/>
  <c r="C129" i="6"/>
  <c r="G131" i="6"/>
  <c r="C131" i="6"/>
  <c r="G133" i="6"/>
  <c r="C133" i="6"/>
  <c r="G135" i="6"/>
  <c r="C135" i="6"/>
  <c r="G137" i="6"/>
  <c r="C137" i="6"/>
  <c r="G139" i="6"/>
  <c r="C139" i="6"/>
  <c r="G110" i="6"/>
  <c r="G112" i="6"/>
  <c r="G114" i="6"/>
  <c r="G116" i="6"/>
  <c r="G118" i="6"/>
  <c r="G120" i="6"/>
  <c r="G122" i="6"/>
  <c r="G124" i="6"/>
  <c r="G126" i="6"/>
  <c r="G128" i="6"/>
  <c r="G130" i="6"/>
  <c r="G132" i="6"/>
  <c r="G134" i="6"/>
  <c r="G136" i="6"/>
  <c r="G138" i="6"/>
  <c r="G140" i="6"/>
  <c r="C141" i="6"/>
  <c r="G142" i="6"/>
  <c r="C143" i="6"/>
  <c r="G144" i="6"/>
  <c r="C145" i="6"/>
  <c r="G146" i="6"/>
  <c r="C147" i="6"/>
  <c r="G148" i="6"/>
  <c r="C149" i="6"/>
  <c r="G150" i="6"/>
  <c r="C151" i="6"/>
  <c r="G152" i="6"/>
  <c r="C153" i="6"/>
  <c r="G154" i="6"/>
  <c r="C155" i="6"/>
  <c r="G156" i="6"/>
  <c r="C157" i="6"/>
  <c r="G158" i="6"/>
  <c r="C159" i="6"/>
  <c r="G160" i="6"/>
  <c r="C161" i="6"/>
  <c r="G162" i="6"/>
  <c r="C163" i="6"/>
  <c r="G164" i="6"/>
  <c r="C165" i="6"/>
  <c r="G166" i="6"/>
  <c r="C167" i="6"/>
  <c r="G168" i="6"/>
  <c r="C169" i="6"/>
  <c r="G170" i="6"/>
  <c r="C171" i="6"/>
  <c r="G172" i="6"/>
  <c r="C173" i="6"/>
  <c r="G174" i="6"/>
  <c r="C175" i="6"/>
  <c r="G176" i="6"/>
  <c r="C177" i="6"/>
  <c r="G178" i="6"/>
  <c r="C179" i="6"/>
  <c r="G180" i="6"/>
  <c r="C181" i="6"/>
  <c r="G182" i="6"/>
  <c r="C183" i="6"/>
  <c r="G184" i="6"/>
  <c r="C185" i="6"/>
  <c r="G186" i="6"/>
  <c r="C187" i="6"/>
  <c r="G188" i="6"/>
  <c r="C189" i="6"/>
  <c r="G190" i="6"/>
  <c r="C191" i="6"/>
  <c r="G192" i="6"/>
  <c r="C193" i="6"/>
  <c r="G194" i="6"/>
  <c r="C195" i="6"/>
  <c r="G196" i="6"/>
  <c r="C197" i="6"/>
  <c r="G198" i="6"/>
  <c r="C199" i="6"/>
  <c r="C201" i="6"/>
  <c r="C203" i="6"/>
  <c r="C205" i="6"/>
  <c r="C207" i="6"/>
  <c r="C209" i="6"/>
  <c r="C211" i="6"/>
  <c r="C213" i="6"/>
  <c r="F213" i="6" s="1"/>
  <c r="B25" i="1" s="1"/>
  <c r="C215" i="6"/>
  <c r="F215" i="6" s="1"/>
  <c r="C217" i="6"/>
  <c r="C219" i="6"/>
  <c r="C221" i="6"/>
  <c r="C223" i="6"/>
  <c r="C225" i="6"/>
  <c r="C227" i="6"/>
  <c r="C229" i="6"/>
  <c r="C231" i="6"/>
  <c r="C233" i="6"/>
  <c r="C235" i="6"/>
  <c r="C237" i="6"/>
  <c r="C239" i="6"/>
  <c r="C241" i="6"/>
  <c r="C243" i="6"/>
  <c r="C245" i="6"/>
  <c r="C247" i="6"/>
  <c r="C670" i="6"/>
  <c r="G670" i="6"/>
  <c r="C678" i="6"/>
  <c r="G678" i="6"/>
  <c r="C686" i="6"/>
  <c r="G686" i="6"/>
  <c r="C694" i="6"/>
  <c r="G694" i="6"/>
  <c r="C748" i="6"/>
  <c r="G748" i="6"/>
  <c r="C756" i="6"/>
  <c r="G756" i="6"/>
  <c r="G367" i="6"/>
  <c r="G375" i="6"/>
  <c r="G383" i="6"/>
  <c r="G391" i="6"/>
  <c r="G399" i="6"/>
  <c r="G407" i="6"/>
  <c r="G415" i="6"/>
  <c r="G423" i="6"/>
  <c r="G431" i="6"/>
  <c r="G439" i="6"/>
  <c r="G447" i="6"/>
  <c r="G455" i="6"/>
  <c r="G463" i="6"/>
  <c r="G471" i="6"/>
  <c r="G479" i="6"/>
  <c r="G487" i="6"/>
  <c r="G495" i="6"/>
  <c r="G503" i="6"/>
  <c r="C674" i="6"/>
  <c r="G674" i="6"/>
  <c r="C682" i="6"/>
  <c r="G682" i="6"/>
  <c r="C690" i="6"/>
  <c r="G690" i="6"/>
  <c r="C698" i="6"/>
  <c r="G698" i="6"/>
  <c r="G365" i="6"/>
  <c r="G373" i="6"/>
  <c r="G381" i="6"/>
  <c r="G389" i="6"/>
  <c r="G397" i="6"/>
  <c r="G405" i="6"/>
  <c r="G413" i="6"/>
  <c r="G421" i="6"/>
  <c r="G429" i="6"/>
  <c r="G437" i="6"/>
  <c r="G445" i="6"/>
  <c r="G453" i="6"/>
  <c r="G461" i="6"/>
  <c r="G469" i="6"/>
  <c r="G477" i="6"/>
  <c r="G485" i="6"/>
  <c r="G493" i="6"/>
  <c r="G501" i="6"/>
  <c r="C750" i="6"/>
  <c r="G750" i="6"/>
  <c r="C758" i="6"/>
  <c r="G758" i="6"/>
  <c r="C667" i="6"/>
  <c r="C671" i="6"/>
  <c r="C675" i="6"/>
  <c r="C679" i="6"/>
  <c r="C683" i="6"/>
  <c r="C687" i="6"/>
  <c r="C691" i="6"/>
  <c r="C695" i="6"/>
  <c r="C699" i="6"/>
  <c r="C752" i="6"/>
  <c r="G752" i="6"/>
  <c r="C760" i="6"/>
  <c r="G760" i="6"/>
  <c r="G701" i="6"/>
  <c r="C701" i="6"/>
  <c r="C702" i="6"/>
  <c r="G702" i="6"/>
  <c r="G703" i="6"/>
  <c r="C703" i="6"/>
  <c r="C704" i="6"/>
  <c r="G704" i="6"/>
  <c r="G705" i="6"/>
  <c r="C705" i="6"/>
  <c r="C706" i="6"/>
  <c r="G706" i="6"/>
  <c r="G707" i="6"/>
  <c r="C707" i="6"/>
  <c r="C708" i="6"/>
  <c r="G708" i="6"/>
  <c r="G709" i="6"/>
  <c r="C709" i="6"/>
  <c r="C710" i="6"/>
  <c r="G710" i="6"/>
  <c r="G711" i="6"/>
  <c r="C711" i="6"/>
  <c r="C712" i="6"/>
  <c r="G712" i="6"/>
  <c r="G713" i="6"/>
  <c r="C713" i="6"/>
  <c r="C714" i="6"/>
  <c r="G714" i="6"/>
  <c r="C716" i="6"/>
  <c r="G716" i="6"/>
  <c r="C718" i="6"/>
  <c r="G718" i="6"/>
  <c r="C720" i="6"/>
  <c r="G720" i="6"/>
  <c r="C722" i="6"/>
  <c r="G722" i="6"/>
  <c r="C724" i="6"/>
  <c r="G724" i="6"/>
  <c r="C726" i="6"/>
  <c r="G726" i="6"/>
  <c r="C728" i="6"/>
  <c r="G728" i="6"/>
  <c r="C730" i="6"/>
  <c r="G730" i="6"/>
  <c r="C732" i="6"/>
  <c r="G732" i="6"/>
  <c r="C734" i="6"/>
  <c r="G734" i="6"/>
  <c r="C736" i="6"/>
  <c r="G736" i="6"/>
  <c r="C738" i="6"/>
  <c r="G738" i="6"/>
  <c r="C740" i="6"/>
  <c r="G740" i="6"/>
  <c r="C742" i="6"/>
  <c r="G742" i="6"/>
  <c r="C744" i="6"/>
  <c r="G744" i="6"/>
  <c r="C746" i="6"/>
  <c r="G746" i="6"/>
  <c r="C754" i="6"/>
  <c r="G754" i="6"/>
  <c r="C715" i="6"/>
  <c r="C717" i="6"/>
  <c r="C719" i="6"/>
  <c r="C721" i="6"/>
  <c r="C723" i="6"/>
  <c r="C725" i="6"/>
  <c r="C727" i="6"/>
  <c r="C729" i="6"/>
  <c r="C731" i="6"/>
  <c r="C733" i="6"/>
  <c r="C735" i="6"/>
  <c r="C737" i="6"/>
  <c r="C739" i="6"/>
  <c r="C741" i="6"/>
  <c r="C743" i="6"/>
  <c r="C745" i="6"/>
  <c r="G762" i="6"/>
  <c r="G764" i="6"/>
  <c r="G766" i="6"/>
  <c r="G768" i="6"/>
  <c r="G770" i="6"/>
  <c r="G772" i="6"/>
  <c r="G774" i="6"/>
  <c r="G776" i="6"/>
  <c r="G778" i="6"/>
  <c r="G780" i="6"/>
  <c r="G782" i="6"/>
  <c r="G784" i="6"/>
  <c r="G786" i="6"/>
  <c r="G788" i="6"/>
  <c r="G790" i="6"/>
  <c r="G792" i="6"/>
  <c r="G794" i="6"/>
  <c r="G796" i="6"/>
  <c r="G798" i="6"/>
  <c r="G800" i="6"/>
  <c r="G802" i="6"/>
  <c r="G804" i="6"/>
  <c r="G806" i="6"/>
  <c r="G808" i="6"/>
  <c r="G810" i="6"/>
  <c r="G812" i="6"/>
  <c r="G814" i="6"/>
  <c r="G816" i="6"/>
  <c r="G818" i="6"/>
  <c r="G820" i="6"/>
  <c r="G822" i="6"/>
  <c r="G824" i="6"/>
  <c r="G826" i="6"/>
  <c r="C827" i="6"/>
  <c r="G830" i="6"/>
  <c r="C831" i="6"/>
  <c r="G834" i="6"/>
  <c r="C835" i="6"/>
  <c r="G838" i="6"/>
  <c r="C839" i="6"/>
  <c r="G842" i="6"/>
  <c r="C843" i="6"/>
  <c r="C847" i="6"/>
  <c r="C971" i="6"/>
  <c r="C975" i="6"/>
  <c r="C979" i="6"/>
  <c r="C983" i="6"/>
  <c r="E61" i="11"/>
  <c r="B59" i="1" s="1"/>
  <c r="E60" i="11"/>
  <c r="G12" i="12"/>
  <c r="J13" i="12"/>
  <c r="B22" i="12" s="1"/>
  <c r="G14" i="12"/>
  <c r="G972" i="6"/>
  <c r="C973" i="6"/>
  <c r="G976" i="6"/>
  <c r="C977" i="6"/>
  <c r="G980" i="6"/>
  <c r="C981" i="6"/>
  <c r="G984" i="6"/>
  <c r="C985" i="6"/>
  <c r="G988" i="6"/>
  <c r="G992" i="6"/>
  <c r="G996" i="6"/>
  <c r="G1000" i="6"/>
  <c r="G1004" i="6"/>
  <c r="G1008" i="6"/>
  <c r="G1012" i="6"/>
  <c r="G1016" i="6"/>
  <c r="G1020" i="6"/>
  <c r="G1024" i="6"/>
  <c r="G1028" i="6"/>
  <c r="G10" i="12"/>
  <c r="G15" i="12"/>
  <c r="G16" i="12"/>
  <c r="G18" i="12"/>
  <c r="I42" i="12"/>
  <c r="B48" i="1" s="1"/>
  <c r="I11" i="12"/>
  <c r="J14" i="12"/>
  <c r="J15" i="12"/>
  <c r="I19" i="12"/>
  <c r="G39" i="12"/>
  <c r="I40" i="12" l="1"/>
  <c r="I39" i="12"/>
  <c r="I38" i="12"/>
  <c r="B32" i="1"/>
  <c r="B27" i="1"/>
  <c r="B23" i="1"/>
  <c r="B26" i="1"/>
  <c r="B24" i="1"/>
  <c r="E62" i="11"/>
  <c r="B60" i="1" s="1"/>
  <c r="B58" i="1"/>
  <c r="I41" i="12"/>
  <c r="B21" i="12"/>
  <c r="B4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5" authorId="0" shapeId="0" xr:uid="{00000000-0006-0000-0A00-000001000000}">
      <text>
        <r>
          <rPr>
            <sz val="10"/>
            <rFont val="Arial"/>
            <family val="2"/>
          </rPr>
          <t>Assumed value, not from your spec. Replace with your voltage accuracy requirement.</t>
        </r>
      </text>
    </comment>
  </commentList>
</comments>
</file>

<file path=xl/sharedStrings.xml><?xml version="1.0" encoding="utf-8"?>
<sst xmlns="http://schemas.openxmlformats.org/spreadsheetml/2006/main" count="6555" uniqueCount="2091">
  <si>
    <t>2 Channel Dual Voltage-Current Meter: firmware v1.0.0 release report</t>
  </si>
  <si>
    <t>First production release. Compared against v0.3.0. Updated 27 Sep 2026 for the final release file (voltage calibration line).</t>
  </si>
  <si>
    <t>Release</t>
  </si>
  <si>
    <t>Firmware file</t>
  </si>
  <si>
    <t>2_channel_dual_voltage_current_meter_fw_v1.0.0.ino (final)</t>
  </si>
  <si>
    <t>Target</t>
  </si>
  <si>
    <t>Arduino Nano (ATmega328P), Arduino AVR core</t>
  </si>
  <si>
    <t>Tested binary</t>
  </si>
  <si>
    <t>The final release file compiles to exactly the build every test suite ran on (production and debug)</t>
  </si>
  <si>
    <t>Voltage calibration</t>
  </si>
  <si>
    <t>displayed = measured x 0.99578 + 31 mV, rounded to 10 mV: 0.790-20.110 V, then OL</t>
  </si>
  <si>
    <t>Verdict</t>
  </si>
  <si>
    <t>Ready for release: no failures in any simulated test; bench voltage check agrees with a Fluke 15B+</t>
  </si>
  <si>
    <t>Release condition</t>
  </si>
  <si>
    <t>Release after the remaining Bench Test Plan checks pass</t>
  </si>
  <si>
    <t>Simulated tests (v1.0.0)</t>
  </si>
  <si>
    <t>Test cases</t>
  </si>
  <si>
    <t>Passed</t>
  </si>
  <si>
    <t>Failed</t>
  </si>
  <si>
    <t>Observations</t>
  </si>
  <si>
    <t>Behavior kept from v0.3.0 on purpose; see Findings.</t>
  </si>
  <si>
    <t>Unit tests (functions called directly on the chip)</t>
  </si>
  <si>
    <t>Unit test cases</t>
  </si>
  <si>
    <t>Mismatches against the models</t>
  </si>
  <si>
    <t>Must be 0.</t>
  </si>
  <si>
    <t>Parity with v0.3.0 (every ADC code 0-1023)</t>
  </si>
  <si>
    <t>Voltage: identical</t>
  </si>
  <si>
    <t>Voltage: within 10 mV (calibration line)</t>
  </si>
  <si>
    <t>The line replaces the 7 offset bands; mean difference 0.0 mV.</t>
  </si>
  <si>
    <t>Voltage: -20 mV at the end of the old +30 mV band</t>
  </si>
  <si>
    <t>4.13-4.17 V: the old band over-corrected there.</t>
  </si>
  <si>
    <t>Voltage: low range fixed (0.82, 0.84 V)</t>
  </si>
  <si>
    <t>v0.3.0 showed 0.790 / 0.800 here and ran backwards.</t>
  </si>
  <si>
    <t>Voltage: ADC full scale now OL</t>
  </si>
  <si>
    <t>Current: identical</t>
  </si>
  <si>
    <t>Current: +0.01 A (nearest step)</t>
  </si>
  <si>
    <t>v1.0.0 picks the closer table value; v0.3.0 leaned to the lower one.</t>
  </si>
  <si>
    <t>Current: gap bug fixed (2.49/2.50 A)</t>
  </si>
  <si>
    <t>Current: above 5.00 A now OL</t>
  </si>
  <si>
    <t>Unexplained differences</t>
  </si>
  <si>
    <t>Findings</t>
  </si>
  <si>
    <t>Open: check on bench</t>
  </si>
  <si>
    <t>Open: recommendations</t>
  </si>
  <si>
    <t>Fixed in the final file</t>
  </si>
  <si>
    <t>F-02 and F-03: removed by the calibration line.</t>
  </si>
  <si>
    <t>Stability (display changes in 1,500 noisy cycles)</t>
  </si>
  <si>
    <t>v0.3.0</t>
  </si>
  <si>
    <t>v1.0.0</t>
  </si>
  <si>
    <t>Reduction</t>
  </si>
  <si>
    <t>Voltage accuracy</t>
  </si>
  <si>
    <t>Estimated spec</t>
  </si>
  <si>
    <t>±(0.1 % + 2 digits)</t>
  </si>
  <si>
    <t>Error budget on the Voltage Accuracy sheet; 1 digit = 10 mV.</t>
  </si>
  <si>
    <t>Fluke 15B+ points inside its tolerance</t>
  </si>
  <si>
    <t>Largest difference where the Fluke can decide (mV)</t>
  </si>
  <si>
    <t>Below 4 V; above 4 V a better reference is needed (F-13, BT-49).</t>
  </si>
  <si>
    <t>Keysight E36312A vs this meter at 12 V</t>
  </si>
  <si>
    <t>About 4x more accurate; Siglent SPD3303X-E is about 2.5x less accurate.</t>
  </si>
  <si>
    <t>Memory and timing (v1.0.0 production build)</t>
  </si>
  <si>
    <t>Flash</t>
  </si>
  <si>
    <t>bytes</t>
  </si>
  <si>
    <t>Free RAM at peak</t>
  </si>
  <si>
    <t>Free RAM at peak, v0.3.0</t>
  </si>
  <si>
    <t>Measurement work per 560 ms cycle</t>
  </si>
  <si>
    <t>ms (typical)</t>
  </si>
  <si>
    <t>Worst-case measurement work</t>
  </si>
  <si>
    <t>ms (samples in worst order for sorting)</t>
  </si>
  <si>
    <t>Bench test plan (fill in on the hardware)</t>
  </si>
  <si>
    <t>Not done yet</t>
  </si>
  <si>
    <t>Before flashing a production unit</t>
  </si>
  <si>
    <t>1. Confirm DEBUG_FLAG is 0 in the file you flash.</t>
  </si>
  <si>
    <t>2. Check the board uploads with Processor "ATmega328P" (Optiboot). Old bootloader + watchdog can reset endlessly.</t>
  </si>
  <si>
    <t>3. Keep VOLTAGE_CAL_GAIN 0.99578 and VOLTAGE_CAL_OFFSET_MV 31.0 unless BT-49 with a better reference shows otherwise.</t>
  </si>
  <si>
    <t>4. Run the Bench Test Plan, including BT-43 (outlier rejection on your real load) and BT-49 (voltage 5-20 V).</t>
  </si>
  <si>
    <t>Sheets in this workbook</t>
  </si>
  <si>
    <t>Changes</t>
  </si>
  <si>
    <t>Every modification from v0.3.0 to v1.0.0</t>
  </si>
  <si>
    <t>Enhancements</t>
  </si>
  <si>
    <t>Improvements with measured numbers</t>
  </si>
  <si>
    <t>Test Cases</t>
  </si>
  <si>
    <t>101 test cases with v0.3.0 and v1.0.0 results</t>
  </si>
  <si>
    <t>Unit Tests</t>
  </si>
  <si>
    <t>Function-by-function results</t>
  </si>
  <si>
    <t>ADC Parity</t>
  </si>
  <si>
    <t>All 1,024 ADC codes, voltage, current, LED and LCD row</t>
  </si>
  <si>
    <t>Stability Tests</t>
  </si>
  <si>
    <t>Noise, dropout and ramp tests; outlier rejection limits</t>
  </si>
  <si>
    <t>LCD Scenarios</t>
  </si>
  <si>
    <t>Exact LCD rows in over range, LED, alert and crosstalk events</t>
  </si>
  <si>
    <t>Open and closed findings for v1.0.0</t>
  </si>
  <si>
    <t>Memory &amp; Timing</t>
  </si>
  <si>
    <t>Flash, RAM, stack, cycle time, watchdog margin</t>
  </si>
  <si>
    <t>Bench Test Plan</t>
  </si>
  <si>
    <t>Hardware checks to fill in</t>
  </si>
  <si>
    <t>Voltage Accuracy</t>
  </si>
  <si>
    <t>Fluke 15B+ bench check, error budget, comparison with commercial supplies</t>
  </si>
  <si>
    <t>Method</t>
  </si>
  <si>
    <t>How everything was tested</t>
  </si>
  <si>
    <t>Modifications from v0.3.0 to v1.0.0</t>
  </si>
  <si>
    <t>v0.3.0 = 2_channel_dual_voltage_current_meter_fw_v0.3.0.ino. v1.0.0 = 2_channel_dual_voltage_current_meter_fw_v1.0.0.ino.</t>
  </si>
  <si>
    <t>ID</t>
  </si>
  <si>
    <t>Area</t>
  </si>
  <si>
    <t>Type</t>
  </si>
  <si>
    <t>v0.3.0 behavior</t>
  </si>
  <si>
    <t>v1.0.0 behavior</t>
  </si>
  <si>
    <t>User visible</t>
  </si>
  <si>
    <t>Verified by</t>
  </si>
  <si>
    <t>CH-01</t>
  </si>
  <si>
    <t>Current</t>
  </si>
  <si>
    <t>Bug fix</t>
  </si>
  <si>
    <t>Linear search in two halves; 2.219-2.228 V (2.49-2.50 A) fell in neither half</t>
  </si>
  <si>
    <t>Binary search over the whole table</t>
  </si>
  <si>
    <t>Yes</t>
  </si>
  <si>
    <t>C-03</t>
  </si>
  <si>
    <t>CH-02</t>
  </si>
  <si>
    <t>Behavior change</t>
  </si>
  <si>
    <t>Picks the lower step unless the reading is &gt; 5 mV above it</t>
  </si>
  <si>
    <t>Picks the truly nearest step (58 of 912 codes show +0.01 A)</t>
  </si>
  <si>
    <t>C-02, C-05</t>
  </si>
  <si>
    <t>CH-03</t>
  </si>
  <si>
    <t>Above 5.00 A returns 999.23: display "999.2A0", LED off</t>
  </si>
  <si>
    <t>"OL" in the current field, LED on</t>
  </si>
  <si>
    <t>C-04, L-03</t>
  </si>
  <si>
    <t>CH-04</t>
  </si>
  <si>
    <t>Voltage</t>
  </si>
  <si>
    <t>Enhancement</t>
  </si>
  <si>
    <t>ADC full scale shows 20.130 V</t>
  </si>
  <si>
    <t>"OL" in the voltage field</t>
  </si>
  <si>
    <t>V-02</t>
  </si>
  <si>
    <t>CH-05</t>
  </si>
  <si>
    <t>ADC</t>
  </si>
  <si>
    <t>1 sample per reading</t>
  </si>
  <si>
    <t>64 samples per channel (16 for temperature), fractional average</t>
  </si>
  <si>
    <t>Yes (stability)</t>
  </si>
  <si>
    <t>V-06 to V-08, C-07, C-08</t>
  </si>
  <si>
    <t>CH-06</t>
  </si>
  <si>
    <t>None</t>
  </si>
  <si>
    <t>Outlier rejection: samples &gt; 8 counts from the median are ignored</t>
  </si>
  <si>
    <t>Yes (dropouts)</t>
  </si>
  <si>
    <t>A-07 to A-09</t>
  </si>
  <si>
    <t>CH-07</t>
  </si>
  <si>
    <t>1 settling read after a channel switch</t>
  </si>
  <si>
    <t>2 settling reads</t>
  </si>
  <si>
    <t>No</t>
  </si>
  <si>
    <t>A-03, A-06</t>
  </si>
  <si>
    <t>CH-08</t>
  </si>
  <si>
    <t>Fixed sample timing</t>
  </si>
  <si>
    <t>0-7 us random jitter between samples</t>
  </si>
  <si>
    <t>A-04</t>
  </si>
  <si>
    <t>CH-09</t>
  </si>
  <si>
    <t>Display</t>
  </si>
  <si>
    <t>Hysteresis: 3 mV on voltage steps, 1.5 mV on current steps</t>
  </si>
  <si>
    <t>Yes (no flicker)</t>
  </si>
  <si>
    <t>V-07, V-09, C-07</t>
  </si>
  <si>
    <t>CH-10</t>
  </si>
  <si>
    <t>n/a</t>
  </si>
  <si>
    <t>Hysteresis cleared at startup, over range, below 0.790 V and on alert changes</t>
  </si>
  <si>
    <t>T-05</t>
  </si>
  <si>
    <t>CH-11</t>
  </si>
  <si>
    <t>Temperature</t>
  </si>
  <si>
    <t>Alert on and off at 0.680 V (toggles near threshold)</t>
  </si>
  <si>
    <t>On at 0.680 V, off below 0.670 V</t>
  </si>
  <si>
    <t>T-02, T-03</t>
  </si>
  <si>
    <t>CH-12</t>
  </si>
  <si>
    <t>Alert screen cleared every cycle (flicker); leftovers "-T"/"LE" after the alert</t>
  </si>
  <si>
    <t>Alert drawn once; screen cleared once on exit</t>
  </si>
  <si>
    <t>D-05, D-06</t>
  </si>
  <si>
    <t>CH-13</t>
  </si>
  <si>
    <t>Alert label "IC6-TEMP"</t>
  </si>
  <si>
    <t>Alert label "VREF-TEMP"</t>
  </si>
  <si>
    <t>D-05</t>
  </si>
  <si>
    <t>CH-14</t>
  </si>
  <si>
    <t>Fields printed in pieces; stale "0" in column 15 after an error value</t>
  </si>
  <si>
    <t>Each row built as a full 16-character line</t>
  </si>
  <si>
    <t>D-01, D-02</t>
  </si>
  <si>
    <t>CH-15</t>
  </si>
  <si>
    <t>4 decimals below 10 V ("5.0300V"), 3 above ("12.030V")</t>
  </si>
  <si>
    <t>Always 3 decimals, right-aligned (" 5.030V")</t>
  </si>
  <si>
    <t>D-04</t>
  </si>
  <si>
    <t>CH-16</t>
  </si>
  <si>
    <t>Timing</t>
  </si>
  <si>
    <t>delay(10) + delay(550): real period about 573 ms</t>
  </si>
  <si>
    <t>millis() scheduler: exactly 560 ms, rollover safe</t>
  </si>
  <si>
    <t>S-01 to S-03</t>
  </si>
  <si>
    <t>CH-17</t>
  </si>
  <si>
    <t>Reliability</t>
  </si>
  <si>
    <t>2 s watchdog; reset cause captured; watchdog disabled early after a reset</t>
  </si>
  <si>
    <t>Yes (splash message)</t>
  </si>
  <si>
    <t>W-01, W-02</t>
  </si>
  <si>
    <t>CH-18</t>
  </si>
  <si>
    <t>Startup</t>
  </si>
  <si>
    <t>Analog pins INPUT only</t>
  </si>
  <si>
    <t>DIDR0 buffers off, unused pins pulled up, D13 and LEDs LOW, reference selected first</t>
  </si>
  <si>
    <t>I-01 to I-06</t>
  </si>
  <si>
    <t>CH-19</t>
  </si>
  <si>
    <t>pinMode(A6) outside the pin tables</t>
  </si>
  <si>
    <t>Removed</t>
  </si>
  <si>
    <t>I-07</t>
  </si>
  <si>
    <t>CH-20</t>
  </si>
  <si>
    <t>Memory</t>
  </si>
  <si>
    <t>Lookup table in RAM (1,319 B static RAM)</t>
  </si>
  <si>
    <t>Table in flash (PROGMEM), strings in flash (F()): 273 B static RAM</t>
  </si>
  <si>
    <t>M-01, M-02</t>
  </si>
  <si>
    <t>CH-21</t>
  </si>
  <si>
    <t>Serial</t>
  </si>
  <si>
    <t>Serial.begin(9600) with no output</t>
  </si>
  <si>
    <t>No serial in production; debug build at 115200 with per-cycle diagnostics</t>
  </si>
  <si>
    <t>G-01</t>
  </si>
  <si>
    <t>CH-22</t>
  </si>
  <si>
    <t>Code</t>
  </si>
  <si>
    <t>Refactor</t>
  </si>
  <si>
    <t>Globals per channel, magic numbers, 999.23 sentinel</t>
  </si>
  <si>
    <t>Channel struct, Reading/ReadingStatus, named constexpr constants, prototypes, static_asserts</t>
  </si>
  <si>
    <t>B-01, B-04</t>
  </si>
  <si>
    <t>CH-23</t>
  </si>
  <si>
    <t>lcd.begin() called twice</t>
  </si>
  <si>
    <t>Called once; splash text unchanged</t>
  </si>
  <si>
    <t>I-08</t>
  </si>
  <si>
    <t>CH-24</t>
  </si>
  <si>
    <t>Calibration</t>
  </si>
  <si>
    <t>7 offset bands (+30 to -40 mV) added after truncating to 10 mV; special low range (0.790 / 0.810 V below 0.800 V)</t>
  </si>
  <si>
    <t>One calibration line: displayed = measured x 0.99578 + 31 mV (fit of the same bands), rounded to the nearest 10 mV; 0.000 below 0.790 V. Constants VOLTAGE_CAL_GAIN / VOLTAGE_CAL_OFFSET_MV (1.0 / 0.0 = no compensation). 410 B less flash.</t>
  </si>
  <si>
    <t>Yes (within 10 mV; no backwards steps)</t>
  </si>
  <si>
    <t>V-01, V-04, V-05, V-09, V-11, V-12</t>
  </si>
  <si>
    <t>What v1.0.0 improves, with measured evidence</t>
  </si>
  <si>
    <t>All figures are measured in the simulation runs (see Method). Improvement columns are formulas.</t>
  </si>
  <si>
    <t>Metric</t>
  </si>
  <si>
    <t>Improvement</t>
  </si>
  <si>
    <t>Evidence</t>
  </si>
  <si>
    <t>Stable voltage display</t>
  </si>
  <si>
    <t>Display changes, 10 mV boundary (ADC 611.40), 300 cycles</t>
  </si>
  <si>
    <t>V-07</t>
  </si>
  <si>
    <t>Display changes inside a step (ADC 611.15), 300 cycles</t>
  </si>
  <si>
    <t>V-08</t>
  </si>
  <si>
    <t>Stable current display</t>
  </si>
  <si>
    <t>Display changes, 0.01 A boundary, 300 cycles</t>
  </si>
  <si>
    <t>C-07</t>
  </si>
  <si>
    <t>Display changes inside a step, 300 cycles</t>
  </si>
  <si>
    <t>C-08</t>
  </si>
  <si>
    <t>Dropout immunity</t>
  </si>
  <si>
    <t>Cycles showing 0.02 A with 2% dropouts, of 300</t>
  </si>
  <si>
    <t>A-07</t>
  </si>
  <si>
    <t>Voltage resolution</t>
  </si>
  <si>
    <t>Distinct displayed voltages reachable</t>
  </si>
  <si>
    <t>V-06, V-11; fine sweep</t>
  </si>
  <si>
    <t>Correct current in 2.49-2.50 A</t>
  </si>
  <si>
    <t>ADC codes showing an error value</t>
  </si>
  <si>
    <t>Clear over-range display</t>
  </si>
  <si>
    <t>Codes showing garbage "999.2A0"</t>
  </si>
  <si>
    <t>C-04</t>
  </si>
  <si>
    <t>Clean LCD rows</t>
  </si>
  <si>
    <t>Sweep steps with a leftover character</t>
  </si>
  <si>
    <t>D-01</t>
  </si>
  <si>
    <t>No alert flicker</t>
  </si>
  <si>
    <t>Screen clears per alert cycle</t>
  </si>
  <si>
    <t>Alert hysteresis</t>
  </si>
  <si>
    <t>Alert state changes while hovering 0.684/0.679 V after the alert is on (3 cycles)</t>
  </si>
  <si>
    <t>T-03</t>
  </si>
  <si>
    <t>Crosstalk margin</t>
  </si>
  <si>
    <t>Contaminated reads tolerated after a channel switch</t>
  </si>
  <si>
    <t>A-05, A-06</t>
  </si>
  <si>
    <t>RAM headroom</t>
  </si>
  <si>
    <t>Free RAM at peak stack (bytes)</t>
  </si>
  <si>
    <t>M-02</t>
  </si>
  <si>
    <t>Timing precision</t>
  </si>
  <si>
    <t>Measurement period (ms)</t>
  </si>
  <si>
    <t>Exactly 560 ms (was 573 ms)</t>
  </si>
  <si>
    <t>S-01, S-03</t>
  </si>
  <si>
    <t>Self-recovery</t>
  </si>
  <si>
    <t>Time to recover from a firmware hang (ms)</t>
  </si>
  <si>
    <t>Never (hangs)</t>
  </si>
  <si>
    <t>Recovers automatically</t>
  </si>
  <si>
    <t>W-01</t>
  </si>
  <si>
    <t>Smooth voltage calibration</t>
  </si>
  <si>
    <t>Places where a rising voltage makes the display step back (fine sweep)</t>
  </si>
  <si>
    <t>V-09, F-02, F-03</t>
  </si>
  <si>
    <t>Improvement = 1 - v1.0.0 / v0.3.0 for "fewer" rows, v1.0.0 / v0.3.0 for "x" rows.</t>
  </si>
  <si>
    <t>Test cases and results</t>
  </si>
  <si>
    <t>Results for v1.0.0 and v0.3.0. Source: simulated ATmega328P test runs (see Method).</t>
  </si>
  <si>
    <t>Group</t>
  </si>
  <si>
    <t>Test</t>
  </si>
  <si>
    <t>Stimulus</t>
  </si>
  <si>
    <t>Expected (v1.0.0)</t>
  </si>
  <si>
    <t>v0.3.0 result</t>
  </si>
  <si>
    <t>v1.0.0 result</t>
  </si>
  <si>
    <t>Status</t>
  </si>
  <si>
    <t>B-01</t>
  </si>
  <si>
    <t>Build</t>
  </si>
  <si>
    <t>Production build compiles (DEBUG_FLAG 0)</t>
  </si>
  <si>
    <t>avr-gcc 7.3.0, strict C++ (no IDE auto-prototypes), -Wall -Wextra</t>
  </si>
  <si>
    <t>No errors, no warnings</t>
  </si>
  <si>
    <t>Compiles only with IDE auto-prototypes</t>
  </si>
  <si>
    <t>No errors, no warnings. 9,358 B flash, 273 B SRAM</t>
  </si>
  <si>
    <t>PASS</t>
  </si>
  <si>
    <t>Compiler</t>
  </si>
  <si>
    <t>B-02</t>
  </si>
  <si>
    <t>Debug build compiles (DEBUG_FLAG 1)</t>
  </si>
  <si>
    <t>Same, DEBUG_FLAG 1</t>
  </si>
  <si>
    <t>n/a (no debug mode)</t>
  </si>
  <si>
    <t>No errors, no warnings. 10,358 B flash, 287 B SRAM</t>
  </si>
  <si>
    <t>B-03</t>
  </si>
  <si>
    <t>Release file is set to production</t>
  </si>
  <si>
    <t>Check DEBUG_FLAG in the file to be flashed</t>
  </si>
  <si>
    <t>DEBUG_FLAG 0</t>
  </si>
  <si>
    <t>Code review</t>
  </si>
  <si>
    <t>B-04</t>
  </si>
  <si>
    <t>Compile-time checks</t>
  </si>
  <si>
    <t>static_assert: table size 501, alert OFF &lt; ON, sample counts &lt;= 64</t>
  </si>
  <si>
    <t>All hold</t>
  </si>
  <si>
    <t>None present</t>
  </si>
  <si>
    <t>I-01</t>
  </si>
  <si>
    <t>External reference selected before first ADC read</t>
  </si>
  <si>
    <t>Record order of analogReference / analogRead</t>
  </si>
  <si>
    <t>analogReference(EXTERNAL) before any analogRead</t>
  </si>
  <si>
    <t>OK (set in setup, reads in loop)</t>
  </si>
  <si>
    <t>OK (first line of setup)</t>
  </si>
  <si>
    <t>Simulation</t>
  </si>
  <si>
    <t>I-02</t>
  </si>
  <si>
    <t>Analog inputs A0-A3 configured</t>
  </si>
  <si>
    <t>Record pinMode calls</t>
  </si>
  <si>
    <t>INPUT, no pull-up</t>
  </si>
  <si>
    <t>INPUT</t>
  </si>
  <si>
    <t>I-03</t>
  </si>
  <si>
    <t>Digital input buffers off on A0-A3</t>
  </si>
  <si>
    <t>Read DIDR0 after setup</t>
  </si>
  <si>
    <t>DIDR0 = 0x0F</t>
  </si>
  <si>
    <t>DIDR0 = 0x00</t>
  </si>
  <si>
    <t>I-04</t>
  </si>
  <si>
    <t>LED pins D3/D5</t>
  </si>
  <si>
    <t>Record pinMode / digitalWrite</t>
  </si>
  <si>
    <t>OUTPUT, LOW at start</t>
  </si>
  <si>
    <t>OUTPUT (default LOW)</t>
  </si>
  <si>
    <t>OUTPUT, explicitly LOW</t>
  </si>
  <si>
    <t>I-05</t>
  </si>
  <si>
    <t>Unused pins D2, D4, D6, A4, A5</t>
  </si>
  <si>
    <t>Record pinMode</t>
  </si>
  <si>
    <t>INPUT_PULLUP (not floating)</t>
  </si>
  <si>
    <t>Not configured (floating)</t>
  </si>
  <si>
    <t>INPUT_PULLUP</t>
  </si>
  <si>
    <t>I-06</t>
  </si>
  <si>
    <t>On-board LED D13</t>
  </si>
  <si>
    <t>OUTPUT, LOW</t>
  </si>
  <si>
    <t>Not configured</t>
  </si>
  <si>
    <t>No pinMode() on A6 (pin 20)</t>
  </si>
  <si>
    <t>Record pinMode calls; inspect pin tables in the binary</t>
  </si>
  <si>
    <t>Not called (A6 is analog-only, outside Arduino pin tables)</t>
  </si>
  <si>
    <t>Called: reads past pin table (no effect in this build)</t>
  </si>
  <si>
    <t>Not called</t>
  </si>
  <si>
    <t>Simulation + binary inspection</t>
  </si>
  <si>
    <t>Splash screen</t>
  </si>
  <si>
    <t>Capture LCD during the 2 s splash</t>
  </si>
  <si>
    <t>"STARTING" / "PLEASE WAIT"</t>
  </si>
  <si>
    <t>|    STARTING    |   PLEASE WAIT  |</t>
  </si>
  <si>
    <t>I-09</t>
  </si>
  <si>
    <t>Splash after a watchdog reset</t>
  </si>
  <si>
    <t>Force a hang, capture splash on reboot</t>
  </si>
  <si>
    <t>"WATCHDOG RESET" on row 2</t>
  </si>
  <si>
    <t>n/a (no watchdog)</t>
  </si>
  <si>
    <t>|    STARTING    | WATCHDOG RESET |</t>
  </si>
  <si>
    <t>A-01</t>
  </si>
  <si>
    <t>Conversions per measurement cycle</t>
  </si>
  <si>
    <t>Count analogRead calls in one cycle</t>
  </si>
  <si>
    <t>282 = 18 temperature + 4 x 66</t>
  </si>
  <si>
    <t>10 (2 per pin)</t>
  </si>
  <si>
    <t>282 (A6 18, A0-A3 66 each)</t>
  </si>
  <si>
    <t>A-02</t>
  </si>
  <si>
    <t>Channel read order</t>
  </si>
  <si>
    <t>Record pin sequence</t>
  </si>
  <si>
    <t>A6, A3, A2, A0, A1 (same as v0.3.0)</t>
  </si>
  <si>
    <t>A6, A3, A2, A0, A1</t>
  </si>
  <si>
    <t>A-03</t>
  </si>
  <si>
    <t>Settling reads after channel switch</t>
  </si>
  <si>
    <t>Count discarded reads</t>
  </si>
  <si>
    <t>2 per switch</t>
  </si>
  <si>
    <t>1 per switch</t>
  </si>
  <si>
    <t>Sample jitter distribution</t>
  </si>
  <si>
    <t>Histogram of delayMicroseconds() arguments over the full run</t>
  </si>
  <si>
    <t>Uniform 0-7 us</t>
  </si>
  <si>
    <t>0-7 us, each value 12.5% (219,884-219,971 per bin)</t>
  </si>
  <si>
    <t>A-05</t>
  </si>
  <si>
    <t>Crosstalk: 1 contaminated read after switch</t>
  </si>
  <si>
    <t>Model: first read after a switch returns previous channel value</t>
  </si>
  <si>
    <t>Correct reading</t>
  </si>
  <si>
    <t>Correct</t>
  </si>
  <si>
    <t>Simulation (model)</t>
  </si>
  <si>
    <t>A-06</t>
  </si>
  <si>
    <t>Crosstalk: 2 contaminated reads after switch</t>
  </si>
  <si>
    <t>Model: first 2 reads return previous channel value</t>
  </si>
  <si>
    <t>Wrong: shows 0.0000V / 0.000A</t>
  </si>
  <si>
    <t>Correct: 17.700V / 0.720A</t>
  </si>
  <si>
    <t>Single-sample dropouts (original symptom)</t>
  </si>
  <si>
    <t>0.72 A, ±0.5 count noise, 2% of samples drop to 0.02 A, 300 cycles</t>
  </si>
  <si>
    <t>Steady 0.720A</t>
  </si>
  <si>
    <t>0.02A shown in 5 of 300 cycles</t>
  </si>
  <si>
    <t>0.720A in all 300 cycles (with outlier rejection off, OUTLIER_LIMIT_COUNTS = 1023: 215 display changes, 0.65-0.72 A)</t>
  </si>
  <si>
    <t>A-08</t>
  </si>
  <si>
    <t>Outlier rejection disabled (limit 1023)</t>
  </si>
  <si>
    <t>Full test run with OUTLIER_LIMIT_COUNTS = 1023</t>
  </si>
  <si>
    <t>Identical to a plain average of all samples</t>
  </si>
  <si>
    <t>6,473 of 6,473 rows identical to a plain-average build of the final file</t>
  </si>
  <si>
    <t>A-09</t>
  </si>
  <si>
    <t>Outlier rejection is neutral for normal signals</t>
  </si>
  <si>
    <t>All sweeps, ramps, noise, OL, LED, temperature, crosstalk tests</t>
  </si>
  <si>
    <t>Identical to plain average</t>
  </si>
  <si>
    <t>All rows identical except the 300-cycle dropout test (A-07)</t>
  </si>
  <si>
    <t>V-01</t>
  </si>
  <si>
    <t>Full ADC sweep, codes 0-1022, parity with v0.3.0</t>
  </si>
  <si>
    <t>Each code, fresh state, both channels</t>
  </si>
  <si>
    <t>Within 10 mV of v0.3.0 except the intended fixes</t>
  </si>
  <si>
    <t>Reference</t>
  </si>
  <si>
    <t>595 identical, 423 within ±10 mV (line instead of bands), 3 at -20 mV (4.13-4.17 V, end of the old +30 mV band), 2 low-range fixes (codes 40-41), 1 OL</t>
  </si>
  <si>
    <t>ADC full scale (code 1023)</t>
  </si>
  <si>
    <t>Voltage ADC saturated</t>
  </si>
  <si>
    <t>"OL"</t>
  </si>
  <si>
    <t>20.130V (not a real value)</t>
  </si>
  <si>
    <t xml:space="preserve">    OL</t>
  </si>
  <si>
    <t>V-03</t>
  </si>
  <si>
    <t>Independent model check</t>
  </si>
  <si>
    <t>Python float32 re-implementation of both algorithms (v0.3.0 offset bands, v1.0.0 calibration line)</t>
  </si>
  <si>
    <t>Both firmwares match their model</t>
  </si>
  <si>
    <t>Matches 1024/1024</t>
  </si>
  <si>
    <t>Matches 1023/1023 codes, plus all 51,151 points of a fine sweep (ADC 0-1023 in 0.02 steps)</t>
  </si>
  <si>
    <t>Simulation + model</t>
  </si>
  <si>
    <t>V-04</t>
  </si>
  <si>
    <t>Low range near 0.790 V</t>
  </si>
  <si>
    <t>Codes 0-45</t>
  </si>
  <si>
    <t>0.000 below 0.790 V (after calibration), then only rising values</t>
  </si>
  <si>
    <t>Codes 38-41: 0.000, 0.790, 0.790, 0.800; runs backwards at 0.800 V (F-02)</t>
  </si>
  <si>
    <t>Codes 38-42: 0.000, 0.800, 0.820, 0.840, 0.860; always rising</t>
  </si>
  <si>
    <t>V-05</t>
  </si>
  <si>
    <t>Calibration line</t>
  </si>
  <si>
    <t>VOLTAGE_CAL_GAIN 0.99578, VOLTAGE_CAL_OFFSET_MV 31.0, whole range</t>
  </si>
  <si>
    <t>Smooth correction: +27 mV at 1 V to -53 mV at 20 V, no band steps</t>
  </si>
  <si>
    <t>7 offset bands, +30 to -40 mV</t>
  </si>
  <si>
    <t>Matches the model at every point. Versus v0.3.0: mean 0.0 mV, 99.7% of fine-sweep points within ±10 mV</t>
  </si>
  <si>
    <t>V-06</t>
  </si>
  <si>
    <t>Resolution on a slow ramp</t>
  </si>
  <si>
    <t>Codes 200-260 (3.9-5.1 V) in 0.1 steps, up and down</t>
  </si>
  <si>
    <t>All 118 10 mV values</t>
  </si>
  <si>
    <t>59 changes (skips every other 10 mV value)</t>
  </si>
  <si>
    <t>117 changes (every 10 mV value, 3.960-5.130 V); never more than 10 mV from ideal</t>
  </si>
  <si>
    <t>Stability on a 10 mV boundary</t>
  </si>
  <si>
    <t>ADC 611.40 (12.035 V after calibration, exactly on a step boundary), ±1 count noise, 300 cycles</t>
  </si>
  <si>
    <t>Few display changes</t>
  </si>
  <si>
    <t>158 changes (12.01/12.03/12.05)</t>
  </si>
  <si>
    <t>3 changes (12.03/12.04)</t>
  </si>
  <si>
    <t>Stability inside a step</t>
  </si>
  <si>
    <t>ADC 611.15 (12.030 V), ±1 count noise, 300 cycles</t>
  </si>
  <si>
    <t>No display changes</t>
  </si>
  <si>
    <t>188 changes</t>
  </si>
  <si>
    <t>0 changes</t>
  </si>
  <si>
    <t>V-09</t>
  </si>
  <si>
    <t>Hysteresis correctness</t>
  </si>
  <si>
    <t>2,886 ramp cycles (simulation), 40,922-step function ramp ADC 0-1023 up and down, 96,962 unit cases</t>
  </si>
  <si>
    <t>Never more than 1 step from nearest value; never moves against the input</t>
  </si>
  <si>
    <t>Max 1 step (0.01 V); 0 reversals anywhere (F-02 and F-03 closed)</t>
  </si>
  <si>
    <t>V-10</t>
  </si>
  <si>
    <t>Channel 2 identical to channel 1</t>
  </si>
  <si>
    <t>Same input on both channels, all sweeps</t>
  </si>
  <si>
    <t>Identical rows</t>
  </si>
  <si>
    <t>Identical</t>
  </si>
  <si>
    <t>C-01</t>
  </si>
  <si>
    <t>Full ADC sweep, parity with v0.3.0</t>
  </si>
  <si>
    <t>Codes 0-1023, fresh state</t>
  </si>
  <si>
    <t>Same as v0.3.0 except intended fixes</t>
  </si>
  <si>
    <t>852 identical, 58 +0.01 A, 2 gap fixed, 112 OL</t>
  </si>
  <si>
    <t>C-02</t>
  </si>
  <si>
    <t>Rounding to nearest 0.01 A step</t>
  </si>
  <si>
    <t>58 codes where v0.3.0 rounds down</t>
  </si>
  <si>
    <t>Nearest table step</t>
  </si>
  <si>
    <t>Lower step (5 mV rule)</t>
  </si>
  <si>
    <t>Nearest step (+0.01 A vs v0.3.0)</t>
  </si>
  <si>
    <t>2.49-2.50 A gap</t>
  </si>
  <si>
    <t>Codes 455 and 456</t>
  </si>
  <si>
    <t>2.490A and 2.500A</t>
  </si>
  <si>
    <t>999.2A0 (error value)</t>
  </si>
  <si>
    <t>Above 5.00 A</t>
  </si>
  <si>
    <t>Codes 912-1023</t>
  </si>
  <si>
    <t>999.2A0 (garbage), LED off</t>
  </si>
  <si>
    <t xml:space="preserve">   OL, LED on</t>
  </si>
  <si>
    <t>C-05</t>
  </si>
  <si>
    <t>Python nearest-step model</t>
  </si>
  <si>
    <t>Match</t>
  </si>
  <si>
    <t>1024 of 1024</t>
  </si>
  <si>
    <t>Model</t>
  </si>
  <si>
    <t>C-06</t>
  </si>
  <si>
    <t>Slow ramp 0.49-0.78 A</t>
  </si>
  <si>
    <t>Codes 100-160 in 0.1 steps, up and down</t>
  </si>
  <si>
    <t>Monotonic, max 1 step from nearest</t>
  </si>
  <si>
    <t>Monotonic, max 0.01 A</t>
  </si>
  <si>
    <t>Stability on a 0.01 A boundary</t>
  </si>
  <si>
    <t>0.71/0.72 A boundary, ±1 count noise, 300 cycles</t>
  </si>
  <si>
    <t>142 changes</t>
  </si>
  <si>
    <t>1 change</t>
  </si>
  <si>
    <t>0.72 A, ±1 count noise, 300 cycles</t>
  </si>
  <si>
    <t>30 changes (0.72/0.73)</t>
  </si>
  <si>
    <t>C-09</t>
  </si>
  <si>
    <t>Same input on both channels</t>
  </si>
  <si>
    <t>No leftover characters in normal rows</t>
  </si>
  <si>
    <t>Current sweep 0-1023</t>
  </si>
  <si>
    <t>Column 15 always blank</t>
  </si>
  <si>
    <t>"0" left in column 15 in 569 of 1024 steps</t>
  </si>
  <si>
    <t>Blank in 1024 of 1024</t>
  </si>
  <si>
    <t>D-02</t>
  </si>
  <si>
    <t>Return from current over range</t>
  </si>
  <si>
    <t>OL then 0.72 A</t>
  </si>
  <si>
    <t>"0.720A" clean</t>
  </si>
  <si>
    <t>"0.720A0"</t>
  </si>
  <si>
    <t>"0.720A"</t>
  </si>
  <si>
    <t>D-03</t>
  </si>
  <si>
    <t>Voltage over range</t>
  </si>
  <si>
    <t>ADC 1023</t>
  </si>
  <si>
    <t>"OL" in voltage field</t>
  </si>
  <si>
    <t>"20.130V"</t>
  </si>
  <si>
    <t>"    OL"</t>
  </si>
  <si>
    <t>Row format</t>
  </si>
  <si>
    <t>All tests</t>
  </si>
  <si>
    <t>16 characters, 3 decimals</t>
  </si>
  <si>
    <t>"5.0300V" below 10 V, "12.030V" above</t>
  </si>
  <si>
    <t>" 5.030V" / "12.030V", always 3 decimals</t>
  </si>
  <si>
    <t>Temperature alert screen</t>
  </si>
  <si>
    <t>Temperature 0.684 V</t>
  </si>
  <si>
    <t>Alert text, drawn once</t>
  </si>
  <si>
    <t>"IC6-TEMP" / "ALERT", screen cleared every cycle (flicker)</t>
  </si>
  <si>
    <t>"VREF-TEMP" (column 4, as v0.3.0) / "ALERT", cleared once on entry</t>
  </si>
  <si>
    <t>D-06</t>
  </si>
  <si>
    <t>Screen after the alert ends</t>
  </si>
  <si>
    <t>Temperature back to 0.645 V</t>
  </si>
  <si>
    <t>Clean measurement rows</t>
  </si>
  <si>
    <t>Leftover "-T" and "LE" from alert text</t>
  </si>
  <si>
    <t>Clean (cleared once on exit)</t>
  </si>
  <si>
    <t>L-01</t>
  </si>
  <si>
    <t>LED</t>
  </si>
  <si>
    <t>LED at 0.00 A</t>
  </si>
  <si>
    <t>Current code 0 and 1</t>
  </si>
  <si>
    <t>Off</t>
  </si>
  <si>
    <t>L-02</t>
  </si>
  <si>
    <t>LED at 0.01-5.00 A</t>
  </si>
  <si>
    <t>Current codes 2-911</t>
  </si>
  <si>
    <t>On</t>
  </si>
  <si>
    <t>L-03</t>
  </si>
  <si>
    <t>LED above 5.00 A</t>
  </si>
  <si>
    <t>Current codes 912-1023</t>
  </si>
  <si>
    <t>On (current is flowing)</t>
  </si>
  <si>
    <t>L-04</t>
  </si>
  <si>
    <t>LEDs during temperature alert</t>
  </si>
  <si>
    <t>Alert active</t>
  </si>
  <si>
    <t>Documented behavior</t>
  </si>
  <si>
    <t>Keep last state</t>
  </si>
  <si>
    <t>Keep last state (unchanged from v0.3.0)</t>
  </si>
  <si>
    <t>OBSERVATION</t>
  </si>
  <si>
    <t>T-01</t>
  </si>
  <si>
    <t>Alert turns on</t>
  </si>
  <si>
    <t>Temperature code 140 (0.684 V)</t>
  </si>
  <si>
    <t>Alert on at &gt;= 0.680 V</t>
  </si>
  <si>
    <t>T-02</t>
  </si>
  <si>
    <t>Codes 139, 138 after alert</t>
  </si>
  <si>
    <t>Stays on until &lt; 0.670 V</t>
  </si>
  <si>
    <t>Turns off at 139 (0.679 V)</t>
  </si>
  <si>
    <t>Stays on at 139/138; off at 137 (0.669 V)</t>
  </si>
  <si>
    <t>Hovering at the threshold</t>
  </si>
  <si>
    <t>Alternating codes 140/139</t>
  </si>
  <si>
    <t>No toggling</t>
  </si>
  <si>
    <t>Toggles every cycle</t>
  </si>
  <si>
    <t>Stays in alert</t>
  </si>
  <si>
    <t>T-04</t>
  </si>
  <si>
    <t>Measurements pause during alert</t>
  </si>
  <si>
    <t>Count ADC reads during alert</t>
  </si>
  <si>
    <t>Only temperature is read</t>
  </si>
  <si>
    <t>Channels read but not shown</t>
  </si>
  <si>
    <t>18 reads (temperature only)</t>
  </si>
  <si>
    <t>Hysteresis state reset after alert</t>
  </si>
  <si>
    <t>Alert on then off</t>
  </si>
  <si>
    <t>Previous steps cleared</t>
  </si>
  <si>
    <t>Cleared (NO_STEP)</t>
  </si>
  <si>
    <t>Code review + simulation</t>
  </si>
  <si>
    <t>S-01</t>
  </si>
  <si>
    <t>Refresh period</t>
  </si>
  <si>
    <t>loop() at +100, +559, +560 ms</t>
  </si>
  <si>
    <t>Measure only at +560 ms</t>
  </si>
  <si>
    <t>n/a (delay based)</t>
  </si>
  <si>
    <t>0, 0, 282 reads</t>
  </si>
  <si>
    <t>S-02</t>
  </si>
  <si>
    <t>millis() rollover (49.7 days)</t>
  </si>
  <si>
    <t>Last measurement 0xFFFFFE00, now 0xFFFFFFF0 then 0x00000030</t>
  </si>
  <si>
    <t>No measurement at 496 ms, measurement at 560 ms</t>
  </si>
  <si>
    <t>S-03</t>
  </si>
  <si>
    <t>Measurement cycle work time</t>
  </si>
  <si>
    <t>Real firmware, real ADC timing and LCD library</t>
  </si>
  <si>
    <t>Well under 560 ms</t>
  </si>
  <si>
    <t>13 ms work + 560 ms delays = 573 ms period</t>
  </si>
  <si>
    <t>42.7 ms work, 560 ms period (debug build 47.2 ms)</t>
  </si>
  <si>
    <t>Simulation (real firmware)</t>
  </si>
  <si>
    <t>Watchdog</t>
  </si>
  <si>
    <t>Recovery from a firmware hang</t>
  </si>
  <si>
    <t>Infinite loop inside analogRead(A2)</t>
  </si>
  <si>
    <t>Reset within ~2 s, normal operation after</t>
  </si>
  <si>
    <t>n/a (hangs forever)</t>
  </si>
  <si>
    <t>Reset after 2,029 ms; reset flags 0x08; normal readings after reboot</t>
  </si>
  <si>
    <t>W-02</t>
  </si>
  <si>
    <t>No spurious resets</t>
  </si>
  <si>
    <t>Full test run, about 6,500 cycles</t>
  </si>
  <si>
    <t>No unexpected reset</t>
  </si>
  <si>
    <t>M-01</t>
  </si>
  <si>
    <t>Static RAM</t>
  </si>
  <si>
    <t>Compiler report</t>
  </si>
  <si>
    <t>Low</t>
  </si>
  <si>
    <t>1,319 B (64%)</t>
  </si>
  <si>
    <t>273 B (13%)</t>
  </si>
  <si>
    <t>Peak stack</t>
  </si>
  <si>
    <t>RAM painting, real firmware</t>
  </si>
  <si>
    <t>Enough free RAM</t>
  </si>
  <si>
    <t>133 B, 596 B free</t>
  </si>
  <si>
    <t>210 B, 1,565 B free</t>
  </si>
  <si>
    <t>B-05</t>
  </si>
  <si>
    <t>Release file compiles to the tested binary</t>
  </si>
  <si>
    <t>Compare compiled binaries byte by byte</t>
  </si>
  <si>
    <t>Identical binaries</t>
  </si>
  <si>
    <t>Production and debug builds of the final file are exactly the binaries every suite ran on</t>
  </si>
  <si>
    <t>B-06</t>
  </si>
  <si>
    <t>Extra compiler warnings</t>
  </si>
  <si>
    <t>-Wshadow -Wpedantic -Wcast-qual -Wdouble-promotion -Wundef -Wuninitialized -Wlogical-op -Wduplicated-cond</t>
  </si>
  <si>
    <t>No real issues</t>
  </si>
  <si>
    <t>Only -Wdouble-promotion on fabs() (lines 492, 533): double = float on AVR, no effect (F-09)</t>
  </si>
  <si>
    <t>B-07</t>
  </si>
  <si>
    <t>Static analysis</t>
  </si>
  <si>
    <t>cppcheck 2.13 --enable=all --inconclusive, debug build</t>
  </si>
  <si>
    <t>No defects</t>
  </si>
  <si>
    <t>No defects (only "setup/loop/captureResetFlags never used": called by the Arduino core and startup code)</t>
  </si>
  <si>
    <t>B-08</t>
  </si>
  <si>
    <t>Compile-time checks block bad settings</t>
  </si>
  <si>
    <t>Break each check on purpose: 65 samples, 0 samples, alert OFF &gt; ON, table with 500 entries</t>
  </si>
  <si>
    <t>Build fails with a clear message</t>
  </si>
  <si>
    <t>All 4 builds fail with their own message ("Too many samples", "At least one sample", ...)</t>
  </si>
  <si>
    <t>R-01</t>
  </si>
  <si>
    <t>Regression</t>
  </si>
  <si>
    <t>Full system bench on the final release file</t>
  </si>
  <si>
    <t>Same 6,473-row run, compared with the previous v1.0.0 build (7-band voltage table)</t>
  </si>
  <si>
    <t>Only the voltage values change, as intended</t>
  </si>
  <si>
    <t>Current, LEDs, screen clears and ADC read counts identical in all 6,473 rows. Voltage differs only where the calibration line changes it; all 2,048 sweep values match the model. Alert text at column 4, as v0.3.0</t>
  </si>
  <si>
    <t>R-02</t>
  </si>
  <si>
    <t>Unit, edge and timing suites on the final file</t>
  </si>
  <si>
    <t>Unit (125,583 lines), edge (3,445 lines), fine voltage sweep and ramps, timing on the real firmware</t>
  </si>
  <si>
    <t>All pass</t>
  </si>
  <si>
    <t>0 mismatches in every suite; timing 42.7 ms per cycle, peak stack 210 B</t>
  </si>
  <si>
    <t>U-01</t>
  </si>
  <si>
    <t>Unit: averaging</t>
  </si>
  <si>
    <t>All samples equal</t>
  </si>
  <si>
    <t>All 0, all 1023, all 500</t>
  </si>
  <si>
    <t>Exact value</t>
  </si>
  <si>
    <t>0.0000, 1023.0000, 500.0000</t>
  </si>
  <si>
    <t>Unit test</t>
  </si>
  <si>
    <t>U-02</t>
  </si>
  <si>
    <t>Sorting</t>
  </si>
  <si>
    <t>Ascending 0-63 and descending 63-0</t>
  </si>
  <si>
    <t>Same result</t>
  </si>
  <si>
    <t>32.0000 both</t>
  </si>
  <si>
    <t>U-03</t>
  </si>
  <si>
    <t>Dropouts and spikes rejected</t>
  </si>
  <si>
    <t>62x131 + 2x4; 60x131 + 4x1023</t>
  </si>
  <si>
    <t>131</t>
  </si>
  <si>
    <t>131.0000 both</t>
  </si>
  <si>
    <t>U-04</t>
  </si>
  <si>
    <t>Rejection limit exactly 8 counts</t>
  </si>
  <si>
    <t>60x500 + 2x508 + 2x509; 60x500 + 2x492 + 2x491</t>
  </si>
  <si>
    <t>508/492 kept, 509/491 dropped</t>
  </si>
  <si>
    <t>500.2581 and 499.7420 (exact expected values)</t>
  </si>
  <si>
    <t>U-05</t>
  </si>
  <si>
    <t>Two levels (load step inside the window)</t>
  </si>
  <si>
    <t>32x100 + 32x200; 33x100 + 31x200</t>
  </si>
  <si>
    <t>Majority level</t>
  </si>
  <si>
    <t>200.0000 and 100.0000</t>
  </si>
  <si>
    <t>U-06</t>
  </si>
  <si>
    <t>Normal noise equals plain mean</t>
  </si>
  <si>
    <t>64 random samples 128-135</t>
  </si>
  <si>
    <t>Plain mean 131.65625</t>
  </si>
  <si>
    <t>131.6562</t>
  </si>
  <si>
    <t>U-07</t>
  </si>
  <si>
    <t>Temperature (16 samples)</t>
  </si>
  <si>
    <t>14x139 + 2x0</t>
  </si>
  <si>
    <t>139</t>
  </si>
  <si>
    <t>139.0000, 18 reads</t>
  </si>
  <si>
    <t>U-08</t>
  </si>
  <si>
    <t>Sample count above 64 is capped</t>
  </si>
  <si>
    <t>Request 100 samples</t>
  </si>
  <si>
    <t>64 used, no array overflow</t>
  </si>
  <si>
    <t>300.0000, 66 reads (2 settling + 64)</t>
  </si>
  <si>
    <t>U-09</t>
  </si>
  <si>
    <t>Sample count 1 and 0</t>
  </si>
  <si>
    <t>Request 1 and 0 samples</t>
  </si>
  <si>
    <t>1: the sample; 0: not used by firmware</t>
  </si>
  <si>
    <t>1: 777.0000. 0 is blocked at compile time (static_assert "At least one sample")</t>
  </si>
  <si>
    <t>U-10</t>
  </si>
  <si>
    <t>Unit: voltage</t>
  </si>
  <si>
    <t>computeVoltage() at every step boundary</t>
  </si>
  <si>
    <t>Steps 79-2017 (0.785-20.165 V) x 10 offsets (-3.1 to +5 mV) x 5 previous states, plus OL and 0.790 V threshold edges</t>
  </si>
  <si>
    <t>Matches float32 model</t>
  </si>
  <si>
    <t>96,962 cases, 0 mismatches</t>
  </si>
  <si>
    <t>Unit test + model</t>
  </si>
  <si>
    <t>U-11</t>
  </si>
  <si>
    <t>Unit: current</t>
  </si>
  <si>
    <t>computeCurrent() at every table midpoint and entry</t>
  </si>
  <si>
    <t>500 intervals x 10 offsets (±1.6 mV) x 5 previous states + OL edges</t>
  </si>
  <si>
    <t>25,001 cases, 0 mismatches</t>
  </si>
  <si>
    <t>U-12</t>
  </si>
  <si>
    <t>findNearestCurrentStep()</t>
  </si>
  <si>
    <t>0 to 4,451 mV in 0.25 mV steps</t>
  </si>
  <si>
    <t>Nearest table entry</t>
  </si>
  <si>
    <t>17,805 cases, 0 mismatches</t>
  </si>
  <si>
    <t>U-13</t>
  </si>
  <si>
    <t>Unit: display</t>
  </si>
  <si>
    <t>formatChannelRow() for every reachable value</t>
  </si>
  <si>
    <t>0.000 and all 1,933 values 0.790-20.110 V, all 501 current values, 3 OL combinations</t>
  </si>
  <si>
    <t>Exact 16-character rows, terminated</t>
  </si>
  <si>
    <t>2,438 rows, 0 mismatches</t>
  </si>
  <si>
    <t>U-14</t>
  </si>
  <si>
    <t>0.790 V display threshold</t>
  </si>
  <si>
    <t>ADC 38.600 / 38.650 / 38.658 / 38.660 / 38.670 / 38.700</t>
  </si>
  <si>
    <t>0.000 below 790 mV after calibration (ADC 38.659), 0.790 from there</t>
  </si>
  <si>
    <t>0.000, 0.000, 0.000, 0.790, 0.790, 0.790</t>
  </si>
  <si>
    <t>U-15</t>
  </si>
  <si>
    <t>Rounding to the nearest 10 mV</t>
  </si>
  <si>
    <t>Every step boundary ±0.01 mV, no previous state</t>
  </si>
  <si>
    <t>Halfway values round up (v0.3.0 truncated)</t>
  </si>
  <si>
    <t>Part of U-10: 0 mismatches</t>
  </si>
  <si>
    <t>U-16</t>
  </si>
  <si>
    <t>Unit: temperature</t>
  </si>
  <si>
    <t>Alert logic at the thresholds</t>
  </si>
  <si>
    <t>0.669999 / 0.67 / 0.679999 / 0.68 V from both states</t>
  </si>
  <si>
    <t>On at 0.680, off below 0.670</t>
  </si>
  <si>
    <t>16 cases, 0 mismatches</t>
  </si>
  <si>
    <t>U-17</t>
  </si>
  <si>
    <t>Unit: hysteresis</t>
  </si>
  <si>
    <t>isAdjacentStep()</t>
  </si>
  <si>
    <t>NO_STEP, equal, ±1, ±2, extremes</t>
  </si>
  <si>
    <t>Adjacent only for ±1</t>
  </si>
  <si>
    <t>12 cases, 0 mismatches</t>
  </si>
  <si>
    <t>U-18</t>
  </si>
  <si>
    <t>Hold never exceeds one step</t>
  </si>
  <si>
    <t>All cases in U-10 and U-11</t>
  </si>
  <si>
    <t>Max 1 step from natural value</t>
  </si>
  <si>
    <t>Held in 10,337 voltage and 2,639 current cases, always exactly 1 step</t>
  </si>
  <si>
    <t>E-01</t>
  </si>
  <si>
    <t>Edge</t>
  </si>
  <si>
    <t>Channel independence</t>
  </si>
  <si>
    <t>One channel changes every cycle, the other fixed, both ways</t>
  </si>
  <si>
    <t>Fixed channel never changes</t>
  </si>
  <si>
    <t>122 cycles: 0 changes on the fixed channel, 0 value mismatches</t>
  </si>
  <si>
    <t>E-02</t>
  </si>
  <si>
    <t>Large load steps</t>
  </si>
  <si>
    <t>0 -&gt; 3.37 A -&gt; 0 -&gt; 4.89 A, 5 -&gt; 12 -&gt; 19.66 V</t>
  </si>
  <si>
    <t>Shown in the same cycle</t>
  </si>
  <si>
    <t>Shown immediately (hysteresis only acts on 1-step changes)</t>
  </si>
  <si>
    <t>E-03</t>
  </si>
  <si>
    <t>Noise at voltage full scale</t>
  </si>
  <si>
    <t>ADC 1022.5 ±1 count, 100 cycles</t>
  </si>
  <si>
    <t>Alternates OL / 20.100-20.110V (50 changes). Outside the 0.8-20 V rating (F-04)</t>
  </si>
  <si>
    <t>E-04</t>
  </si>
  <si>
    <t>Noise at the 5.00 A limit</t>
  </si>
  <si>
    <t>ADC 911.12 ±1 count, 100 cycles</t>
  </si>
  <si>
    <t>Alternates 5.000A / OL (48 changes). Outside the 4 A rating (F-04)</t>
  </si>
  <si>
    <t>E-05</t>
  </si>
  <si>
    <t>LED at the 0.00/0.01 A boundary</t>
  </si>
  <si>
    <t>6 mV ±1 count noise, 100 cycles</t>
  </si>
  <si>
    <t>LED matches display</t>
  </si>
  <si>
    <t>0 inconsistencies, 0 display changes</t>
  </si>
  <si>
    <t>E-06</t>
  </si>
  <si>
    <t>Power-on with the alert already active</t>
  </si>
  <si>
    <t>Temperature 0.689 V at boot</t>
  </si>
  <si>
    <t>Alert on first cycle, LEDs off, clean return</t>
  </si>
  <si>
    <t>Alert on first cycle, LEDs off, clean rows after cooling</t>
  </si>
  <si>
    <t>E-07</t>
  </si>
  <si>
    <t>Alert during over range</t>
  </si>
  <si>
    <t>OL on CH1, then alert, then back</t>
  </si>
  <si>
    <t>OL shown again after alert</t>
  </si>
  <si>
    <t>E-08</t>
  </si>
  <si>
    <t>Watchdog register state</t>
  </si>
  <si>
    <t>Read WDTCSR during splash and after setup</t>
  </si>
  <si>
    <t>Off during splash, 2 s after setup</t>
  </si>
  <si>
    <t>During splash 0x00, after setup 0x0F</t>
  </si>
  <si>
    <t>E-09</t>
  </si>
  <si>
    <t>Irregular loop() calls</t>
  </si>
  <si>
    <t>loop() every 1 ms and every 9 ms for 20 s</t>
  </si>
  <si>
    <t>No measurement before 560 ms</t>
  </si>
  <si>
    <t>Every 1 ms: all intervals 560 ms. Every 9 ms: all 567 ms (next call after 560)</t>
  </si>
  <si>
    <t>E-10</t>
  </si>
  <si>
    <t>Random soak</t>
  </si>
  <si>
    <t>3,000 cycles, random inputs, noise, dropouts, random temperature</t>
  </si>
  <si>
    <t>Valid rows, correct LEDs and alert state</t>
  </si>
  <si>
    <t>347 alert cycles; 0 format, LED, alert-state or read-count errors</t>
  </si>
  <si>
    <t>E-11</t>
  </si>
  <si>
    <t>Worst-case sorting time</t>
  </si>
  <si>
    <t>Samples in reverse order (worst case for insertion sort)</t>
  </si>
  <si>
    <t>Well inside 560 ms and 2 s watchdog</t>
  </si>
  <si>
    <t>+3.5 ms per 64-sample channel; worst-case cycle about 57 ms (see Memory &amp; Timing)</t>
  </si>
  <si>
    <t>Debug output</t>
  </si>
  <si>
    <t>Serial Monitor format</t>
  </si>
  <si>
    <t>DEBUG_FLAG 1: normal, OL and alert cycles</t>
  </si>
  <si>
    <t>One temperature line then one line per channel</t>
  </si>
  <si>
    <t>Correct; OL printed as "OL"; only temperature line during alert; 115200 baud</t>
  </si>
  <si>
    <t>V-11</t>
  </si>
  <si>
    <t>Displayed range</t>
  </si>
  <si>
    <t>Fine sweep ADC 0-1023 (0.02 steps)</t>
  </si>
  <si>
    <t>0.790 V up to the top of the ADC range, then OL</t>
  </si>
  <si>
    <t>0.790-20.130 V, never OL</t>
  </si>
  <si>
    <t>0.790-20.110 V; OL from ADC 1022.5 (20.160 V measured)</t>
  </si>
  <si>
    <t>V-12</t>
  </si>
  <si>
    <t>Bench check against a Fluke 15B+</t>
  </si>
  <si>
    <t>10 points 0.8-20 V on the real supply, final firmware</t>
  </si>
  <si>
    <t>Every difference inside the Fluke tolerance</t>
  </si>
  <si>
    <t>All 10 inside. Below 4 V (Fluke 1 mV range): -7 to -2 mV. Above 4 V the Fluke is not precise enough to decide (F-13)</t>
  </si>
  <si>
    <t>Bench (hardware)</t>
  </si>
  <si>
    <t>Unit tests: each firmware function called directly on the simulated chip</t>
  </si>
  <si>
    <t>Every result compared with an independent float32 model of the intended behavior. Run on the release file.</t>
  </si>
  <si>
    <t>Function</t>
  </si>
  <si>
    <t>What was tested</t>
  </si>
  <si>
    <t>Cases</t>
  </si>
  <si>
    <t>Mismatches</t>
  </si>
  <si>
    <t>Result</t>
  </si>
  <si>
    <t>readAdcAverage()</t>
  </si>
  <si>
    <t>Scripted sample sets: equal values, sort order, dropouts, spikes, limit 8/9 counts, two levels, random noise, 16 samples, 100 -&gt; 64 cap, 1 sample</t>
  </si>
  <si>
    <t>computeVoltage()</t>
  </si>
  <si>
    <t>Every 10 mV step boundary (steps 79-2017) x offsets -3.1..+5 mV x previous state (none, -2, -1, same, +1), plus OL and 0.790 V threshold edges</t>
  </si>
  <si>
    <t>computeCurrent()</t>
  </si>
  <si>
    <t>Every table midpoint and entry x offsets ±1.6 mV x previous state, plus 4451 mV / ADC 911-912 OL edges</t>
  </si>
  <si>
    <t>0 to 4,451 mV in 0.25 mV steps against a plain nearest-value search</t>
  </si>
  <si>
    <t>formatChannelRow()</t>
  </si>
  <si>
    <t>Every reachable voltage (0.000, 0.790-20.110 V) and current value, and all OL combinations</t>
  </si>
  <si>
    <t>computeVoltage() fine sweep</t>
  </si>
  <si>
    <t>ADC 0 to 1023 in 0.02 count steps, fresh state each point, against the float32 calibration-line model</t>
  </si>
  <si>
    <t>computeVoltage() ramps</t>
  </si>
  <si>
    <t>ADC 0 to 1023 and back in 0.05 count steps with the hysteresis state carried over: matches model, 0 reversals, never more than 1 step</t>
  </si>
  <si>
    <t>shouldVRefTemperatureAlertBeActive()</t>
  </si>
  <si>
    <t>Both states x 8 voltages around 0.670 and 0.680 V</t>
  </si>
  <si>
    <t>NO_STEP, equal, ±1, ±2 and extreme values</t>
  </si>
  <si>
    <t>Total</t>
  </si>
  <si>
    <t>readAdcAverage() with 0 samples would return NaN; the static_assert "At least one sample" prevents it at compile time. Unreachable previous states (current step 501) are excluded.</t>
  </si>
  <si>
    <t>Full ADC parity: v0.3.0 vs v1.0.0, every code 0-1023</t>
  </si>
  <si>
    <t>Channel 1 row shown; channel 2 was identical in every step. Inputs are exact (noise-free) ADC codes. Voltage differences come from the calibration line that replaces the 7 offset bands.</t>
  </si>
  <si>
    <t>ADC counts per volt</t>
  </si>
  <si>
    <t>Op-amp gain</t>
  </si>
  <si>
    <t>Constants from the firmware (ADC_COUNTS_PER_VOLT, OP_AMP_GAIN). v1.0.0 then applies displayed = measured x 0.99578 + 31 mV.</t>
  </si>
  <si>
    <t>ADC code</t>
  </si>
  <si>
    <t>ADC pin (mV)</t>
  </si>
  <si>
    <t>Channel voltage (mV)</t>
  </si>
  <si>
    <t>v0.3.0 voltage (V)</t>
  </si>
  <si>
    <t>v1.0.0 voltage (V)</t>
  </si>
  <si>
    <t>Voltage result</t>
  </si>
  <si>
    <t>Current sense (mV)</t>
  </si>
  <si>
    <t>v0.3.0 current (A)</t>
  </si>
  <si>
    <t>v1.0.0 current (A)</t>
  </si>
  <si>
    <t>Current result</t>
  </si>
  <si>
    <t>v0.3.0 LED</t>
  </si>
  <si>
    <t>v1.0.0 LED</t>
  </si>
  <si>
    <t>LED result</t>
  </si>
  <si>
    <t>v0.3.0 LCD row (current sweep)</t>
  </si>
  <si>
    <t>v1.0.0 LCD row (current sweep)</t>
  </si>
  <si>
    <t>|12.030V  0.000A |</t>
  </si>
  <si>
    <t>|12.030V  0.010A |</t>
  </si>
  <si>
    <t>|12.030V  0.020A |</t>
  </si>
  <si>
    <t>|12.030V  0.030A |</t>
  </si>
  <si>
    <t>|12.030V  0.040A |</t>
  </si>
  <si>
    <t>|12.030V  0.050A |</t>
  </si>
  <si>
    <t>|12.030V  0.060A |</t>
  </si>
  <si>
    <t>|12.030V  0.070A |</t>
  </si>
  <si>
    <t>|12.030V  0.080A |</t>
  </si>
  <si>
    <t>|12.030V  0.090A |</t>
  </si>
  <si>
    <t>|12.030V  0.100A |</t>
  </si>
  <si>
    <t>|12.030V  0.110A |</t>
  </si>
  <si>
    <t>|12.030V  0.120A |</t>
  </si>
  <si>
    <t>|12.030V  0.130A |</t>
  </si>
  <si>
    <t>|12.030V  0.140A |</t>
  </si>
  <si>
    <t>|12.030V  0.150A |</t>
  </si>
  <si>
    <t>|12.030V  0.160A |</t>
  </si>
  <si>
    <t>|12.030V  0.170A |</t>
  </si>
  <si>
    <t>|12.030V  0.180A |</t>
  </si>
  <si>
    <t>|12.030V  0.190A |</t>
  </si>
  <si>
    <t>|12.030V  0.200A |</t>
  </si>
  <si>
    <t>|12.030V  0.210A |</t>
  </si>
  <si>
    <t>|12.030V  0.220A |</t>
  </si>
  <si>
    <t>|12.030V  0.230A |</t>
  </si>
  <si>
    <t>|12.030V  0.240A |</t>
  </si>
  <si>
    <t>|12.030V  0.250A |</t>
  </si>
  <si>
    <t>|12.030V  0.260A |</t>
  </si>
  <si>
    <t>|12.030V  0.270A |</t>
  </si>
  <si>
    <t>|12.030V  0.280A |</t>
  </si>
  <si>
    <t>|12.030V  0.290A |</t>
  </si>
  <si>
    <t>|12.030V  0.300A |</t>
  </si>
  <si>
    <t>|12.030V  0.310A |</t>
  </si>
  <si>
    <t>|12.030V  0.320A |</t>
  </si>
  <si>
    <t>|12.030V  0.330A |</t>
  </si>
  <si>
    <t>|12.030V  0.340A |</t>
  </si>
  <si>
    <t>|12.030V  0.350A |</t>
  </si>
  <si>
    <t>|12.030V  0.360A |</t>
  </si>
  <si>
    <t>|12.030V  0.370A |</t>
  </si>
  <si>
    <t>|12.030V  0.380A |</t>
  </si>
  <si>
    <t>|12.030V  0.390A |</t>
  </si>
  <si>
    <t>|12.030V  0.400A |</t>
  </si>
  <si>
    <t>|12.030V  0.410A |</t>
  </si>
  <si>
    <t>|12.030V  0.420A |</t>
  </si>
  <si>
    <t>|12.030V  0.430A |</t>
  </si>
  <si>
    <t>|12.030V  0.440A |</t>
  </si>
  <si>
    <t>|12.030V  0.450A |</t>
  </si>
  <si>
    <t>|12.030V  0.460A |</t>
  </si>
  <si>
    <t>|12.030V  0.470A |</t>
  </si>
  <si>
    <t>|12.030V  0.480A |</t>
  </si>
  <si>
    <t>|12.030V  0.490A |</t>
  </si>
  <si>
    <t>|12.030V  0.500A |</t>
  </si>
  <si>
    <t>|12.030V  0.510A |</t>
  </si>
  <si>
    <t>|12.030V  0.520A |</t>
  </si>
  <si>
    <t>|12.030V  0.530A |</t>
  </si>
  <si>
    <t>|12.030V  0.540A |</t>
  </si>
  <si>
    <t>|12.030V  0.550A |</t>
  </si>
  <si>
    <t>|12.030V  0.560A |</t>
  </si>
  <si>
    <t>|12.030V  0.570A |</t>
  </si>
  <si>
    <t>|12.030V  0.580A |</t>
  </si>
  <si>
    <t>|12.030V  0.590A |</t>
  </si>
  <si>
    <t>|12.030V  0.600A |</t>
  </si>
  <si>
    <t>|12.030V  0.610A |</t>
  </si>
  <si>
    <t>|12.030V  0.620A |</t>
  </si>
  <si>
    <t>|12.030V  0.630A |</t>
  </si>
  <si>
    <t>|12.030V  0.640A |</t>
  </si>
  <si>
    <t>|12.030V  0.650A |</t>
  </si>
  <si>
    <t>|12.030V  0.660A |</t>
  </si>
  <si>
    <t>|12.030V  0.670A |</t>
  </si>
  <si>
    <t>|12.030V  0.680A |</t>
  </si>
  <si>
    <t>|12.030V  0.690A |</t>
  </si>
  <si>
    <t>|12.030V  0.700A |</t>
  </si>
  <si>
    <t>|12.030V  0.710A |</t>
  </si>
  <si>
    <t>|12.030V  0.720A |</t>
  </si>
  <si>
    <t>|12.030V  0.730A |</t>
  </si>
  <si>
    <t>|12.030V  0.740A |</t>
  </si>
  <si>
    <t>|12.030V  0.750A |</t>
  </si>
  <si>
    <t>|12.030V  0.760A |</t>
  </si>
  <si>
    <t>|12.030V  0.770A |</t>
  </si>
  <si>
    <t>|12.030V  0.780A |</t>
  </si>
  <si>
    <t>|12.030V  0.790A |</t>
  </si>
  <si>
    <t>|12.030V  0.800A |</t>
  </si>
  <si>
    <t>|12.030V  0.810A |</t>
  </si>
  <si>
    <t>|12.030V  0.820A |</t>
  </si>
  <si>
    <t>|12.030V  0.830A |</t>
  </si>
  <si>
    <t>|12.030V  0.840A |</t>
  </si>
  <si>
    <t>|12.030V  0.850A |</t>
  </si>
  <si>
    <t>|12.030V  0.860A |</t>
  </si>
  <si>
    <t>|12.030V  0.870A |</t>
  </si>
  <si>
    <t>|12.030V  0.880A |</t>
  </si>
  <si>
    <t>|12.030V  0.890A |</t>
  </si>
  <si>
    <t>|12.030V  0.900A |</t>
  </si>
  <si>
    <t>|12.030V  0.910A |</t>
  </si>
  <si>
    <t>|12.030V  0.920A |</t>
  </si>
  <si>
    <t>|12.030V  0.930A |</t>
  </si>
  <si>
    <t>|12.030V  0.940A |</t>
  </si>
  <si>
    <t>|12.030V  0.950A |</t>
  </si>
  <si>
    <t>|12.030V  0.960A |</t>
  </si>
  <si>
    <t>|12.030V  0.970A |</t>
  </si>
  <si>
    <t>|12.030V  0.980A |</t>
  </si>
  <si>
    <t>|12.030V  0.990A |</t>
  </si>
  <si>
    <t>|12.030V  1.000A |</t>
  </si>
  <si>
    <t>|12.030V  1.010A |</t>
  </si>
  <si>
    <t>|12.030V  1.020A |</t>
  </si>
  <si>
    <t>|12.030V  1.030A |</t>
  </si>
  <si>
    <t>|12.030V  1.040A |</t>
  </si>
  <si>
    <t>|12.030V  1.050A |</t>
  </si>
  <si>
    <t>|12.030V  1.060A |</t>
  </si>
  <si>
    <t>|12.030V  1.070A |</t>
  </si>
  <si>
    <t>|12.030V  1.080A |</t>
  </si>
  <si>
    <t>|12.030V  1.090A |</t>
  </si>
  <si>
    <t>|12.030V  1.100A |</t>
  </si>
  <si>
    <t>|12.030V  1.110A |</t>
  </si>
  <si>
    <t>|12.030V  1.120A |</t>
  </si>
  <si>
    <t>|12.030V  1.130A |</t>
  </si>
  <si>
    <t>|12.030V  1.140A |</t>
  </si>
  <si>
    <t>|12.030V  1.150A |</t>
  </si>
  <si>
    <t>|12.030V  1.160A |</t>
  </si>
  <si>
    <t>|12.030V  1.170A |</t>
  </si>
  <si>
    <t>|12.030V  1.180A |</t>
  </si>
  <si>
    <t>|12.030V  1.190A |</t>
  </si>
  <si>
    <t>|12.030V  1.200A |</t>
  </si>
  <si>
    <t>|12.030V  1.210A |</t>
  </si>
  <si>
    <t>|12.030V  1.220A |</t>
  </si>
  <si>
    <t>|12.030V  1.230A |</t>
  </si>
  <si>
    <t>|12.030V  1.240A |</t>
  </si>
  <si>
    <t>|12.030V  1.250A |</t>
  </si>
  <si>
    <t>|12.030V  1.260A |</t>
  </si>
  <si>
    <t>|12.030V  1.270A |</t>
  </si>
  <si>
    <t>|12.030V  1.280A |</t>
  </si>
  <si>
    <t>|12.030V  1.290A |</t>
  </si>
  <si>
    <t>|12.030V  1.300A |</t>
  </si>
  <si>
    <t>|12.030V  1.310A |</t>
  </si>
  <si>
    <t>|12.030V  1.320A |</t>
  </si>
  <si>
    <t>|12.030V  1.330A |</t>
  </si>
  <si>
    <t>|12.030V  1.340A |</t>
  </si>
  <si>
    <t>|12.030V  1.350A |</t>
  </si>
  <si>
    <t>|12.030V  1.360A |</t>
  </si>
  <si>
    <t>|12.030V  1.370A |</t>
  </si>
  <si>
    <t>|12.030V  1.380A |</t>
  </si>
  <si>
    <t>|12.030V  1.390A |</t>
  </si>
  <si>
    <t>|12.030V  1.400A |</t>
  </si>
  <si>
    <t>|12.030V  1.410A |</t>
  </si>
  <si>
    <t>|12.030V  1.420A |</t>
  </si>
  <si>
    <t>|12.030V  1.430A |</t>
  </si>
  <si>
    <t>|12.030V  1.440A |</t>
  </si>
  <si>
    <t>|12.030V  1.450A |</t>
  </si>
  <si>
    <t>|12.030V  1.460A |</t>
  </si>
  <si>
    <t>|12.030V  1.470A |</t>
  </si>
  <si>
    <t>|12.030V  1.480A |</t>
  </si>
  <si>
    <t>|12.030V  1.490A |</t>
  </si>
  <si>
    <t>|12.030V  1.500A |</t>
  </si>
  <si>
    <t>|12.030V  1.510A |</t>
  </si>
  <si>
    <t>|12.030V  1.520A |</t>
  </si>
  <si>
    <t>|12.030V  1.530A |</t>
  </si>
  <si>
    <t>|12.030V  1.540A |</t>
  </si>
  <si>
    <t>|12.030V  1.550A |</t>
  </si>
  <si>
    <t>|12.030V  1.560A |</t>
  </si>
  <si>
    <t>|12.030V  1.570A |</t>
  </si>
  <si>
    <t>|12.030V  1.580A |</t>
  </si>
  <si>
    <t>|12.030V  1.590A |</t>
  </si>
  <si>
    <t>|12.030V  1.600A |</t>
  </si>
  <si>
    <t>|12.030V  1.610A |</t>
  </si>
  <si>
    <t>|12.030V  1.620A |</t>
  </si>
  <si>
    <t>|12.030V  1.630A |</t>
  </si>
  <si>
    <t>|12.030V  1.640A |</t>
  </si>
  <si>
    <t>|12.030V  1.650A |</t>
  </si>
  <si>
    <t>|12.030V  1.660A |</t>
  </si>
  <si>
    <t>|12.030V  1.670A |</t>
  </si>
  <si>
    <t>|12.030V  1.680A |</t>
  </si>
  <si>
    <t>|12.030V  1.690A |</t>
  </si>
  <si>
    <t>|12.030V  1.700A |</t>
  </si>
  <si>
    <t>|12.030V  1.710A |</t>
  </si>
  <si>
    <t>|12.030V  1.720A |</t>
  </si>
  <si>
    <t>|12.030V  1.730A |</t>
  </si>
  <si>
    <t>|12.030V  1.740A |</t>
  </si>
  <si>
    <t>|12.030V  1.750A |</t>
  </si>
  <si>
    <t>|12.030V  1.760A |</t>
  </si>
  <si>
    <t>|12.030V  1.770A |</t>
  </si>
  <si>
    <t>|12.030V  1.780A |</t>
  </si>
  <si>
    <t>|12.030V  1.790A |</t>
  </si>
  <si>
    <t>|12.030V  1.800A |</t>
  </si>
  <si>
    <t>|12.030V  1.810A |</t>
  </si>
  <si>
    <t>|12.030V  1.820A |</t>
  </si>
  <si>
    <t>|12.030V  1.830A |</t>
  </si>
  <si>
    <t>|12.030V  1.840A |</t>
  </si>
  <si>
    <t>|12.030V  1.850A |</t>
  </si>
  <si>
    <t>|12.030V  1.860A |</t>
  </si>
  <si>
    <t>|12.030V  1.870A |</t>
  </si>
  <si>
    <t>|12.030V  1.880A |</t>
  </si>
  <si>
    <t>|12.030V  1.890A |</t>
  </si>
  <si>
    <t>|12.030V  1.900A |</t>
  </si>
  <si>
    <t>|12.030V  1.910A |</t>
  </si>
  <si>
    <t>|12.030V  1.920A |</t>
  </si>
  <si>
    <t>|12.030V  1.930A |</t>
  </si>
  <si>
    <t>|12.030V  1.940A |</t>
  </si>
  <si>
    <t>|12.030V  1.950A |</t>
  </si>
  <si>
    <t>|12.030V  1.960A |</t>
  </si>
  <si>
    <t>|12.030V  1.970A |</t>
  </si>
  <si>
    <t>|12.030V  1.980A |</t>
  </si>
  <si>
    <t>|12.030V  1.990A |</t>
  </si>
  <si>
    <t>|12.030V  2.000A |</t>
  </si>
  <si>
    <t>|12.030V  2.010A |</t>
  </si>
  <si>
    <t>|12.030V  2.020A |</t>
  </si>
  <si>
    <t>|12.030V  2.030A |</t>
  </si>
  <si>
    <t>|12.030V  2.040A |</t>
  </si>
  <si>
    <t>|12.030V  2.050A |</t>
  </si>
  <si>
    <t>|12.030V  2.060A |</t>
  </si>
  <si>
    <t>|12.030V  2.070A |</t>
  </si>
  <si>
    <t>|12.030V  2.080A |</t>
  </si>
  <si>
    <t>|12.030V  2.090A |</t>
  </si>
  <si>
    <t>|12.030V  2.100A |</t>
  </si>
  <si>
    <t>|12.030V  2.110A |</t>
  </si>
  <si>
    <t>|12.030V  2.120A |</t>
  </si>
  <si>
    <t>|12.030V  2.130A |</t>
  </si>
  <si>
    <t>|12.030V  2.140A |</t>
  </si>
  <si>
    <t>|12.030V  2.150A |</t>
  </si>
  <si>
    <t>|12.030V  2.160A |</t>
  </si>
  <si>
    <t>|12.030V  2.170A |</t>
  </si>
  <si>
    <t>|12.030V  2.180A |</t>
  </si>
  <si>
    <t>|12.030V  2.190A |</t>
  </si>
  <si>
    <t>|12.030V  2.200A |</t>
  </si>
  <si>
    <t>|12.030V  2.210A |</t>
  </si>
  <si>
    <t>|12.030V  2.220A |</t>
  </si>
  <si>
    <t>|12.030V  2.230A |</t>
  </si>
  <si>
    <t>|12.030V  2.240A |</t>
  </si>
  <si>
    <t>|12.030V  2.250A |</t>
  </si>
  <si>
    <t>|12.030V  2.260A |</t>
  </si>
  <si>
    <t>|12.030V  2.270A |</t>
  </si>
  <si>
    <t>|12.030V  2.280A |</t>
  </si>
  <si>
    <t>|12.030V  2.290A |</t>
  </si>
  <si>
    <t>|12.030V  2.300A |</t>
  </si>
  <si>
    <t>|12.030V  2.310A |</t>
  </si>
  <si>
    <t>|12.030V  2.320A |</t>
  </si>
  <si>
    <t>|12.030V  2.330A |</t>
  </si>
  <si>
    <t>|12.030V  2.340A |</t>
  </si>
  <si>
    <t>|12.030V  2.350A |</t>
  </si>
  <si>
    <t>|12.030V  2.360A |</t>
  </si>
  <si>
    <t>|12.030V  2.370A |</t>
  </si>
  <si>
    <t>|12.030V  2.380A |</t>
  </si>
  <si>
    <t>|12.030V  2.390A |</t>
  </si>
  <si>
    <t>|12.030V  2.400A |</t>
  </si>
  <si>
    <t>|12.030V  2.410A |</t>
  </si>
  <si>
    <t>|12.030V  2.420A |</t>
  </si>
  <si>
    <t>|12.030V  2.430A |</t>
  </si>
  <si>
    <t>|12.030V  2.440A |</t>
  </si>
  <si>
    <t>|12.030V  2.450A |</t>
  </si>
  <si>
    <t>|12.030V  2.460A |</t>
  </si>
  <si>
    <t>|12.030V  2.470A |</t>
  </si>
  <si>
    <t>|12.030V  2.480A |</t>
  </si>
  <si>
    <t>|12.030V  2.490A |</t>
  </si>
  <si>
    <t>ERR (999.23)</t>
  </si>
  <si>
    <t>|12.030V  999.2A0|</t>
  </si>
  <si>
    <t>|12.030V  2.500A |</t>
  </si>
  <si>
    <t>|12.030V  2.500A0|</t>
  </si>
  <si>
    <t>|12.030V  2.510A |</t>
  </si>
  <si>
    <t>|12.030V  2.510A0|</t>
  </si>
  <si>
    <t>|12.030V  2.520A0|</t>
  </si>
  <si>
    <t>|12.030V  2.520A |</t>
  </si>
  <si>
    <t>|12.030V  2.530A0|</t>
  </si>
  <si>
    <t>|12.030V  2.530A |</t>
  </si>
  <si>
    <t>|12.030V  2.540A0|</t>
  </si>
  <si>
    <t>|12.030V  2.540A |</t>
  </si>
  <si>
    <t>|12.030V  2.550A0|</t>
  </si>
  <si>
    <t>|12.030V  2.550A |</t>
  </si>
  <si>
    <t>|12.030V  2.560A |</t>
  </si>
  <si>
    <t>|12.030V  2.560A0|</t>
  </si>
  <si>
    <t>|12.030V  2.570A0|</t>
  </si>
  <si>
    <t>|12.030V  2.570A |</t>
  </si>
  <si>
    <t>|12.030V  2.580A0|</t>
  </si>
  <si>
    <t>|12.030V  2.580A |</t>
  </si>
  <si>
    <t>|12.030V  2.590A0|</t>
  </si>
  <si>
    <t>|12.030V  2.590A |</t>
  </si>
  <si>
    <t>|12.030V  2.600A0|</t>
  </si>
  <si>
    <t>|12.030V  2.600A |</t>
  </si>
  <si>
    <t>|12.030V  2.610A0|</t>
  </si>
  <si>
    <t>|12.030V  2.610A |</t>
  </si>
  <si>
    <t>|12.030V  2.620A0|</t>
  </si>
  <si>
    <t>|12.030V  2.620A |</t>
  </si>
  <si>
    <t>|12.030V  2.630A0|</t>
  </si>
  <si>
    <t>|12.030V  2.630A |</t>
  </si>
  <si>
    <t>|12.030V  2.640A0|</t>
  </si>
  <si>
    <t>|12.030V  2.640A |</t>
  </si>
  <si>
    <t>|12.030V  2.650A0|</t>
  </si>
  <si>
    <t>|12.030V  2.650A |</t>
  </si>
  <si>
    <t>|12.030V  2.660A0|</t>
  </si>
  <si>
    <t>|12.030V  2.660A |</t>
  </si>
  <si>
    <t>|12.030V  2.670A0|</t>
  </si>
  <si>
    <t>|12.030V  2.670A |</t>
  </si>
  <si>
    <t>|12.030V  2.680A0|</t>
  </si>
  <si>
    <t>|12.030V  2.680A |</t>
  </si>
  <si>
    <t>|12.030V  2.690A |</t>
  </si>
  <si>
    <t>|12.030V  2.690A0|</t>
  </si>
  <si>
    <t>|12.030V  2.700A0|</t>
  </si>
  <si>
    <t>|12.030V  2.700A |</t>
  </si>
  <si>
    <t>|12.030V  2.710A0|</t>
  </si>
  <si>
    <t>|12.030V  2.710A |</t>
  </si>
  <si>
    <t>|12.030V  2.720A0|</t>
  </si>
  <si>
    <t>|12.030V  2.720A |</t>
  </si>
  <si>
    <t>|12.030V  2.730A0|</t>
  </si>
  <si>
    <t>|12.030V  2.730A |</t>
  </si>
  <si>
    <t>|12.030V  2.740A |</t>
  </si>
  <si>
    <t>|12.030V  2.740A0|</t>
  </si>
  <si>
    <t>|12.030V  2.750A0|</t>
  </si>
  <si>
    <t>|12.030V  2.750A |</t>
  </si>
  <si>
    <t>|12.030V  2.760A0|</t>
  </si>
  <si>
    <t>|12.030V  2.760A |</t>
  </si>
  <si>
    <t>|12.030V  2.770A0|</t>
  </si>
  <si>
    <t>|12.030V  2.770A |</t>
  </si>
  <si>
    <t>|12.030V  2.780A0|</t>
  </si>
  <si>
    <t>|12.030V  2.780A |</t>
  </si>
  <si>
    <t>|12.030V  2.790A0|</t>
  </si>
  <si>
    <t>|12.030V  2.790A |</t>
  </si>
  <si>
    <t>|12.030V  2.800A0|</t>
  </si>
  <si>
    <t>|12.030V  2.800A |</t>
  </si>
  <si>
    <t>|12.030V  2.810A0|</t>
  </si>
  <si>
    <t>|12.030V  2.810A |</t>
  </si>
  <si>
    <t>|12.030V  2.820A0|</t>
  </si>
  <si>
    <t>|12.030V  2.820A |</t>
  </si>
  <si>
    <t>|12.030V  2.830A0|</t>
  </si>
  <si>
    <t>|12.030V  2.830A |</t>
  </si>
  <si>
    <t>|12.030V  2.840A0|</t>
  </si>
  <si>
    <t>|12.030V  2.840A |</t>
  </si>
  <si>
    <t>|12.030V  2.850A |</t>
  </si>
  <si>
    <t>|12.030V  2.850A0|</t>
  </si>
  <si>
    <t>|12.030V  2.860A0|</t>
  </si>
  <si>
    <t>|12.030V  2.860A |</t>
  </si>
  <si>
    <t>|12.030V  2.870A0|</t>
  </si>
  <si>
    <t>|12.030V  2.870A |</t>
  </si>
  <si>
    <t>|12.030V  2.880A0|</t>
  </si>
  <si>
    <t>|12.030V  2.880A |</t>
  </si>
  <si>
    <t>|12.030V  2.890A |</t>
  </si>
  <si>
    <t>|12.030V  2.890A0|</t>
  </si>
  <si>
    <t>|12.030V  2.900A0|</t>
  </si>
  <si>
    <t>|12.030V  2.900A |</t>
  </si>
  <si>
    <t>|12.030V  2.910A0|</t>
  </si>
  <si>
    <t>|12.030V  2.910A |</t>
  </si>
  <si>
    <t>|12.030V  2.920A0|</t>
  </si>
  <si>
    <t>|12.030V  2.920A |</t>
  </si>
  <si>
    <t>|12.030V  2.930A0|</t>
  </si>
  <si>
    <t>|12.030V  2.930A |</t>
  </si>
  <si>
    <t>|12.030V  2.940A |</t>
  </si>
  <si>
    <t>|12.030V  2.940A0|</t>
  </si>
  <si>
    <t>|12.030V  2.950A0|</t>
  </si>
  <si>
    <t>|12.030V  2.950A |</t>
  </si>
  <si>
    <t>|12.030V  2.960A0|</t>
  </si>
  <si>
    <t>|12.030V  2.960A |</t>
  </si>
  <si>
    <t>|12.030V  2.970A0|</t>
  </si>
  <si>
    <t>|12.030V  2.970A |</t>
  </si>
  <si>
    <t>|12.030V  2.980A0|</t>
  </si>
  <si>
    <t>|12.030V  2.980A |</t>
  </si>
  <si>
    <t>|12.030V  2.990A0|</t>
  </si>
  <si>
    <t>|12.030V  2.990A |</t>
  </si>
  <si>
    <t>|12.030V  3.000A0|</t>
  </si>
  <si>
    <t>|12.030V  3.000A |</t>
  </si>
  <si>
    <t>|12.030V  3.010A0|</t>
  </si>
  <si>
    <t>|12.030V  3.010A |</t>
  </si>
  <si>
    <t>|12.030V  3.020A0|</t>
  </si>
  <si>
    <t>|12.030V  3.020A |</t>
  </si>
  <si>
    <t>|12.030V  3.030A0|</t>
  </si>
  <si>
    <t>|12.030V  3.030A |</t>
  </si>
  <si>
    <t>|12.030V  3.040A0|</t>
  </si>
  <si>
    <t>|12.030V  3.040A |</t>
  </si>
  <si>
    <t>|12.030V  3.050A0|</t>
  </si>
  <si>
    <t>|12.030V  3.050A |</t>
  </si>
  <si>
    <t>|12.030V  3.060A0|</t>
  </si>
  <si>
    <t>|12.030V  3.060A |</t>
  </si>
  <si>
    <t>|12.030V  3.070A |</t>
  </si>
  <si>
    <t>|12.030V  3.070A0|</t>
  </si>
  <si>
    <t>|12.030V  3.080A0|</t>
  </si>
  <si>
    <t>|12.030V  3.080A |</t>
  </si>
  <si>
    <t>|12.030V  3.090A0|</t>
  </si>
  <si>
    <t>|12.030V  3.090A |</t>
  </si>
  <si>
    <t>|12.030V  3.100A0|</t>
  </si>
  <si>
    <t>|12.030V  3.100A |</t>
  </si>
  <si>
    <t>|12.030V  3.110A0|</t>
  </si>
  <si>
    <t>|12.030V  3.110A |</t>
  </si>
  <si>
    <t>|12.030V  3.120A |</t>
  </si>
  <si>
    <t>|12.030V  3.120A0|</t>
  </si>
  <si>
    <t>|12.030V  3.130A0|</t>
  </si>
  <si>
    <t>|12.030V  3.130A |</t>
  </si>
  <si>
    <t>|12.030V  3.140A0|</t>
  </si>
  <si>
    <t>|12.030V  3.140A |</t>
  </si>
  <si>
    <t>|12.030V  3.150A0|</t>
  </si>
  <si>
    <t>|12.030V  3.150A |</t>
  </si>
  <si>
    <t>|12.030V  3.160A0|</t>
  </si>
  <si>
    <t>|12.030V  3.160A |</t>
  </si>
  <si>
    <t>|12.030V  3.170A0|</t>
  </si>
  <si>
    <t>|12.030V  3.170A |</t>
  </si>
  <si>
    <t>|12.030V  3.180A |</t>
  </si>
  <si>
    <t>|12.030V  3.180A0|</t>
  </si>
  <si>
    <t>|12.030V  3.190A0|</t>
  </si>
  <si>
    <t>|12.030V  3.190A |</t>
  </si>
  <si>
    <t>|12.030V  3.200A0|</t>
  </si>
  <si>
    <t>|12.030V  3.200A |</t>
  </si>
  <si>
    <t>|12.030V  3.210A0|</t>
  </si>
  <si>
    <t>|12.030V  3.210A |</t>
  </si>
  <si>
    <t>|12.030V  3.220A0|</t>
  </si>
  <si>
    <t>|12.030V  3.220A |</t>
  </si>
  <si>
    <t>|12.030V  3.230A0|</t>
  </si>
  <si>
    <t>|12.030V  3.230A |</t>
  </si>
  <si>
    <t>|12.030V  3.240A0|</t>
  </si>
  <si>
    <t>|12.030V  3.240A |</t>
  </si>
  <si>
    <t>|12.030V  3.250A0|</t>
  </si>
  <si>
    <t>|12.030V  3.250A |</t>
  </si>
  <si>
    <t>|12.030V  3.260A0|</t>
  </si>
  <si>
    <t>|12.030V  3.260A |</t>
  </si>
  <si>
    <t>|12.030V  3.270A0|</t>
  </si>
  <si>
    <t>|12.030V  3.270A |</t>
  </si>
  <si>
    <t>|12.030V  3.280A0|</t>
  </si>
  <si>
    <t>|12.030V  3.280A |</t>
  </si>
  <si>
    <t>|12.030V  3.290A0|</t>
  </si>
  <si>
    <t>|12.030V  3.290A |</t>
  </si>
  <si>
    <t>|12.030V  3.300A0|</t>
  </si>
  <si>
    <t>|12.030V  3.300A |</t>
  </si>
  <si>
    <t>|12.030V  3.310A0|</t>
  </si>
  <si>
    <t>|12.030V  3.310A |</t>
  </si>
  <si>
    <t>|12.030V  3.320A |</t>
  </si>
  <si>
    <t>|12.030V  3.320A0|</t>
  </si>
  <si>
    <t>|12.030V  3.330A0|</t>
  </si>
  <si>
    <t>|12.030V  3.330A |</t>
  </si>
  <si>
    <t>|12.030V  3.340A0|</t>
  </si>
  <si>
    <t>|12.030V  3.340A |</t>
  </si>
  <si>
    <t>|12.030V  3.350A0|</t>
  </si>
  <si>
    <t>|12.030V  3.350A |</t>
  </si>
  <si>
    <t>|12.030V  3.360A0|</t>
  </si>
  <si>
    <t>|12.030V  3.360A |</t>
  </si>
  <si>
    <t>|12.030V  3.370A0|</t>
  </si>
  <si>
    <t>|12.030V  3.370A |</t>
  </si>
  <si>
    <t>|12.030V  3.380A0|</t>
  </si>
  <si>
    <t>|12.030V  3.380A |</t>
  </si>
  <si>
    <t>|12.030V  3.390A0|</t>
  </si>
  <si>
    <t>|12.030V  3.390A |</t>
  </si>
  <si>
    <t>|12.030V  3.400A0|</t>
  </si>
  <si>
    <t>|12.030V  3.400A |</t>
  </si>
  <si>
    <t>|12.030V  3.410A0|</t>
  </si>
  <si>
    <t>|12.030V  3.410A |</t>
  </si>
  <si>
    <t>|12.030V  3.420A0|</t>
  </si>
  <si>
    <t>|12.030V  3.420A |</t>
  </si>
  <si>
    <t>|12.030V  3.430A0|</t>
  </si>
  <si>
    <t>|12.030V  3.430A |</t>
  </si>
  <si>
    <t>|12.030V  3.440A0|</t>
  </si>
  <si>
    <t>|12.030V  3.440A |</t>
  </si>
  <si>
    <t>|12.030V  3.450A |</t>
  </si>
  <si>
    <t>|12.030V  3.450A0|</t>
  </si>
  <si>
    <t>|12.030V  3.460A0|</t>
  </si>
  <si>
    <t>|12.030V  3.460A |</t>
  </si>
  <si>
    <t>|12.030V  3.470A0|</t>
  </si>
  <si>
    <t>|12.030V  3.470A |</t>
  </si>
  <si>
    <t>|12.030V  3.480A0|</t>
  </si>
  <si>
    <t>|12.030V  3.480A |</t>
  </si>
  <si>
    <t>|12.030V  3.490A0|</t>
  </si>
  <si>
    <t>|12.030V  3.490A |</t>
  </si>
  <si>
    <t>|12.030V  3.500A |</t>
  </si>
  <si>
    <t>|12.030V  3.500A0|</t>
  </si>
  <si>
    <t>|12.030V  3.510A0|</t>
  </si>
  <si>
    <t>|12.030V  3.510A |</t>
  </si>
  <si>
    <t>|12.030V  3.520A0|</t>
  </si>
  <si>
    <t>|12.030V  3.520A |</t>
  </si>
  <si>
    <t>|12.030V  3.530A0|</t>
  </si>
  <si>
    <t>|12.030V  3.530A |</t>
  </si>
  <si>
    <t>|12.030V  3.540A0|</t>
  </si>
  <si>
    <t>|12.030V  3.540A |</t>
  </si>
  <si>
    <t>|12.030V  3.550A0|</t>
  </si>
  <si>
    <t>|12.030V  3.550A |</t>
  </si>
  <si>
    <t>|12.030V  3.560A |</t>
  </si>
  <si>
    <t>|12.030V  3.560A0|</t>
  </si>
  <si>
    <t>|12.030V  3.570A0|</t>
  </si>
  <si>
    <t>|12.030V  3.570A |</t>
  </si>
  <si>
    <t>|12.030V  3.580A0|</t>
  </si>
  <si>
    <t>|12.030V  3.580A |</t>
  </si>
  <si>
    <t>|12.030V  3.590A0|</t>
  </si>
  <si>
    <t>|12.030V  3.590A |</t>
  </si>
  <si>
    <t>|12.030V  3.600A0|</t>
  </si>
  <si>
    <t>|12.030V  3.600A |</t>
  </si>
  <si>
    <t>|12.030V  3.610A0|</t>
  </si>
  <si>
    <t>|12.030V  3.610A |</t>
  </si>
  <si>
    <t>|12.030V  3.620A0|</t>
  </si>
  <si>
    <t>|12.030V  3.620A |</t>
  </si>
  <si>
    <t>|12.030V  3.630A0|</t>
  </si>
  <si>
    <t>|12.030V  3.630A |</t>
  </si>
  <si>
    <t>|12.030V  3.640A0|</t>
  </si>
  <si>
    <t>|12.030V  3.640A |</t>
  </si>
  <si>
    <t>|12.030V  3.650A0|</t>
  </si>
  <si>
    <t>|12.030V  3.650A |</t>
  </si>
  <si>
    <t>|12.030V  3.660A0|</t>
  </si>
  <si>
    <t>|12.030V  3.660A |</t>
  </si>
  <si>
    <t>|12.030V  3.670A0|</t>
  </si>
  <si>
    <t>|12.030V  3.670A |</t>
  </si>
  <si>
    <t>|12.030V  3.680A0|</t>
  </si>
  <si>
    <t>|12.030V  3.680A |</t>
  </si>
  <si>
    <t>|12.030V  3.690A0|</t>
  </si>
  <si>
    <t>|12.030V  3.690A |</t>
  </si>
  <si>
    <t>|12.030V  3.700A0|</t>
  </si>
  <si>
    <t>|12.030V  3.700A |</t>
  </si>
  <si>
    <t>|12.030V  3.710A0|</t>
  </si>
  <si>
    <t>|12.030V  3.710A |</t>
  </si>
  <si>
    <t>|12.030V  3.720A0|</t>
  </si>
  <si>
    <t>|12.030V  3.720A |</t>
  </si>
  <si>
    <t>|12.030V  3.730A0|</t>
  </si>
  <si>
    <t>|12.030V  3.730A |</t>
  </si>
  <si>
    <t>|12.030V  3.740A |</t>
  </si>
  <si>
    <t>|12.030V  3.740A0|</t>
  </si>
  <si>
    <t>|12.030V  3.750A0|</t>
  </si>
  <si>
    <t>|12.030V  3.750A |</t>
  </si>
  <si>
    <t>|12.030V  3.760A0|</t>
  </si>
  <si>
    <t>|12.030V  3.760A |</t>
  </si>
  <si>
    <t>|12.030V  3.770A0|</t>
  </si>
  <si>
    <t>|12.030V  3.770A |</t>
  </si>
  <si>
    <t>|12.030V  3.780A0|</t>
  </si>
  <si>
    <t>|12.030V  3.780A |</t>
  </si>
  <si>
    <t>|12.030V  3.790A0|</t>
  </si>
  <si>
    <t>|12.030V  3.790A |</t>
  </si>
  <si>
    <t>|12.030V  3.800A |</t>
  </si>
  <si>
    <t>|12.030V  3.800A0|</t>
  </si>
  <si>
    <t>|12.030V  3.810A0|</t>
  </si>
  <si>
    <t>|12.030V  3.810A |</t>
  </si>
  <si>
    <t>|12.030V  3.820A0|</t>
  </si>
  <si>
    <t>|12.030V  3.820A |</t>
  </si>
  <si>
    <t>|12.030V  3.830A0|</t>
  </si>
  <si>
    <t>|12.030V  3.830A |</t>
  </si>
  <si>
    <t>|12.030V  3.840A0|</t>
  </si>
  <si>
    <t>|12.030V  3.840A |</t>
  </si>
  <si>
    <t>|12.030V  3.850A0|</t>
  </si>
  <si>
    <t>|12.030V  3.850A |</t>
  </si>
  <si>
    <t>|12.030V  3.860A0|</t>
  </si>
  <si>
    <t>|12.030V  3.860A |</t>
  </si>
  <si>
    <t>|12.030V  3.870A0|</t>
  </si>
  <si>
    <t>|12.030V  3.870A |</t>
  </si>
  <si>
    <t>|12.030V  3.880A0|</t>
  </si>
  <si>
    <t>|12.030V  3.880A |</t>
  </si>
  <si>
    <t>|12.030V  3.890A0|</t>
  </si>
  <si>
    <t>|12.030V  3.890A |</t>
  </si>
  <si>
    <t>|12.030V  3.900A0|</t>
  </si>
  <si>
    <t>|12.030V  3.900A |</t>
  </si>
  <si>
    <t>|12.030V  3.910A0|</t>
  </si>
  <si>
    <t>|12.030V  3.910A |</t>
  </si>
  <si>
    <t>|12.030V  3.920A0|</t>
  </si>
  <si>
    <t>|12.030V  3.920A |</t>
  </si>
  <si>
    <t>|12.030V  3.930A0|</t>
  </si>
  <si>
    <t>|12.030V  3.930A |</t>
  </si>
  <si>
    <t>|12.030V  3.940A0|</t>
  </si>
  <si>
    <t>|12.030V  3.940A |</t>
  </si>
  <si>
    <t>|12.030V  3.950A0|</t>
  </si>
  <si>
    <t>|12.030V  3.950A |</t>
  </si>
  <si>
    <t>|12.030V  3.960A0|</t>
  </si>
  <si>
    <t>|12.030V  3.960A |</t>
  </si>
  <si>
    <t>|12.030V  3.970A0|</t>
  </si>
  <si>
    <t>|12.030V  3.970A |</t>
  </si>
  <si>
    <t>|12.030V  3.980A |</t>
  </si>
  <si>
    <t>|12.030V  3.980A0|</t>
  </si>
  <si>
    <t>|12.030V  3.990A0|</t>
  </si>
  <si>
    <t>|12.030V  3.990A |</t>
  </si>
  <si>
    <t>|12.030V  4.000A0|</t>
  </si>
  <si>
    <t>|12.030V  4.000A |</t>
  </si>
  <si>
    <t>|12.030V  4.010A0|</t>
  </si>
  <si>
    <t>|12.030V  4.010A |</t>
  </si>
  <si>
    <t>|12.030V  4.020A |</t>
  </si>
  <si>
    <t>|12.030V  4.020A0|</t>
  </si>
  <si>
    <t>|12.030V  4.030A0|</t>
  </si>
  <si>
    <t>|12.030V  4.030A |</t>
  </si>
  <si>
    <t>|12.030V  4.040A0|</t>
  </si>
  <si>
    <t>|12.030V  4.040A |</t>
  </si>
  <si>
    <t>|12.030V  4.050A0|</t>
  </si>
  <si>
    <t>|12.030V  4.050A |</t>
  </si>
  <si>
    <t>|12.030V  4.060A0|</t>
  </si>
  <si>
    <t>|12.030V  4.060A |</t>
  </si>
  <si>
    <t>|12.030V  4.070A |</t>
  </si>
  <si>
    <t>|12.030V  4.070A0|</t>
  </si>
  <si>
    <t>|12.030V  4.080A0|</t>
  </si>
  <si>
    <t>|12.030V  4.080A |</t>
  </si>
  <si>
    <t>|12.030V  4.090A0|</t>
  </si>
  <si>
    <t>|12.030V  4.090A |</t>
  </si>
  <si>
    <t>|12.030V  4.100A0|</t>
  </si>
  <si>
    <t>|12.030V  4.100A |</t>
  </si>
  <si>
    <t>|12.030V  4.110A0|</t>
  </si>
  <si>
    <t>|12.030V  4.110A |</t>
  </si>
  <si>
    <t>|12.030V  4.120A0|</t>
  </si>
  <si>
    <t>|12.030V  4.120A |</t>
  </si>
  <si>
    <t>|12.030V  4.130A |</t>
  </si>
  <si>
    <t>|12.030V  4.130A0|</t>
  </si>
  <si>
    <t>|12.030V  4.140A0|</t>
  </si>
  <si>
    <t>|12.030V  4.140A |</t>
  </si>
  <si>
    <t>|12.030V  4.150A0|</t>
  </si>
  <si>
    <t>|12.030V  4.150A |</t>
  </si>
  <si>
    <t>|12.030V  4.160A0|</t>
  </si>
  <si>
    <t>|12.030V  4.160A |</t>
  </si>
  <si>
    <t>|12.030V  4.170A0|</t>
  </si>
  <si>
    <t>|12.030V  4.170A |</t>
  </si>
  <si>
    <t>|12.030V  4.180A0|</t>
  </si>
  <si>
    <t>|12.030V  4.180A |</t>
  </si>
  <si>
    <t>|12.030V  4.190A0|</t>
  </si>
  <si>
    <t>|12.030V  4.190A |</t>
  </si>
  <si>
    <t>|12.030V  4.200A0|</t>
  </si>
  <si>
    <t>|12.030V  4.200A |</t>
  </si>
  <si>
    <t>|12.030V  4.210A0|</t>
  </si>
  <si>
    <t>|12.030V  4.210A |</t>
  </si>
  <si>
    <t>|12.030V  4.220A0|</t>
  </si>
  <si>
    <t>|12.030V  4.220A |</t>
  </si>
  <si>
    <t>|12.030V  4.230A0|</t>
  </si>
  <si>
    <t>|12.030V  4.230A |</t>
  </si>
  <si>
    <t>|12.030V  4.240A0|</t>
  </si>
  <si>
    <t>|12.030V  4.240A |</t>
  </si>
  <si>
    <t>|12.030V  4.250A0|</t>
  </si>
  <si>
    <t>|12.030V  4.250A |</t>
  </si>
  <si>
    <t>|12.030V  4.260A0|</t>
  </si>
  <si>
    <t>|12.030V  4.260A |</t>
  </si>
  <si>
    <t>|12.030V  4.270A0|</t>
  </si>
  <si>
    <t>|12.030V  4.270A |</t>
  </si>
  <si>
    <t>|12.030V  4.280A0|</t>
  </si>
  <si>
    <t>|12.030V  4.280A |</t>
  </si>
  <si>
    <t>|12.030V  4.290A0|</t>
  </si>
  <si>
    <t>|12.030V  4.290A |</t>
  </si>
  <si>
    <t>|12.030V  4.300A0|</t>
  </si>
  <si>
    <t>|12.030V  4.300A |</t>
  </si>
  <si>
    <t>|12.030V  4.310A |</t>
  </si>
  <si>
    <t>|12.030V  4.310A0|</t>
  </si>
  <si>
    <t>|12.030V  4.320A0|</t>
  </si>
  <si>
    <t>|12.030V  4.320A |</t>
  </si>
  <si>
    <t>|12.030V  4.330A0|</t>
  </si>
  <si>
    <t>|12.030V  4.330A |</t>
  </si>
  <si>
    <t>|12.030V  4.340A0|</t>
  </si>
  <si>
    <t>|12.030V  4.340A |</t>
  </si>
  <si>
    <t>|12.030V  4.350A0|</t>
  </si>
  <si>
    <t>|12.030V  4.350A |</t>
  </si>
  <si>
    <t>|12.030V  4.360A0|</t>
  </si>
  <si>
    <t>|12.030V  4.360A |</t>
  </si>
  <si>
    <t>|12.030V  4.370A |</t>
  </si>
  <si>
    <t>|12.030V  4.370A0|</t>
  </si>
  <si>
    <t>|12.030V  4.380A0|</t>
  </si>
  <si>
    <t>|12.030V  4.380A |</t>
  </si>
  <si>
    <t>|12.030V  4.390A0|</t>
  </si>
  <si>
    <t>|12.030V  4.390A |</t>
  </si>
  <si>
    <t>|12.030V  4.400A0|</t>
  </si>
  <si>
    <t>|12.030V  4.400A |</t>
  </si>
  <si>
    <t>|12.030V  4.410A0|</t>
  </si>
  <si>
    <t>|12.030V  4.410A |</t>
  </si>
  <si>
    <t>|12.030V  4.420A |</t>
  </si>
  <si>
    <t>|12.030V  4.420A0|</t>
  </si>
  <si>
    <t>|12.030V  4.430A0|</t>
  </si>
  <si>
    <t>|12.030V  4.430A |</t>
  </si>
  <si>
    <t>|12.030V  4.440A0|</t>
  </si>
  <si>
    <t>|12.030V  4.440A |</t>
  </si>
  <si>
    <t>|12.030V  4.450A0|</t>
  </si>
  <si>
    <t>|12.030V  4.450A |</t>
  </si>
  <si>
    <t>|12.030V  4.460A0|</t>
  </si>
  <si>
    <t>|12.030V  4.460A |</t>
  </si>
  <si>
    <t>|12.030V  4.470A0|</t>
  </si>
  <si>
    <t>|12.030V  4.470A |</t>
  </si>
  <si>
    <t>|12.030V  4.480A0|</t>
  </si>
  <si>
    <t>|12.030V  4.480A |</t>
  </si>
  <si>
    <t>|12.030V  4.490A0|</t>
  </si>
  <si>
    <t>|12.030V  4.490A |</t>
  </si>
  <si>
    <t>|12.030V  4.500A0|</t>
  </si>
  <si>
    <t>|12.030V  4.500A |</t>
  </si>
  <si>
    <t>|12.030V  4.510A0|</t>
  </si>
  <si>
    <t>|12.030V  4.510A |</t>
  </si>
  <si>
    <t>|12.030V  4.520A0|</t>
  </si>
  <si>
    <t>|12.030V  4.520A |</t>
  </si>
  <si>
    <t>|12.030V  4.530A0|</t>
  </si>
  <si>
    <t>|12.030V  4.530A |</t>
  </si>
  <si>
    <t>|12.030V  4.540A0|</t>
  </si>
  <si>
    <t>|12.030V  4.540A |</t>
  </si>
  <si>
    <t>|12.030V  4.550A0|</t>
  </si>
  <si>
    <t>|12.030V  4.550A |</t>
  </si>
  <si>
    <t>|12.030V  4.560A0|</t>
  </si>
  <si>
    <t>|12.030V  4.560A |</t>
  </si>
  <si>
    <t>|12.030V  4.570A0|</t>
  </si>
  <si>
    <t>|12.030V  4.570A |</t>
  </si>
  <si>
    <t>|12.030V  4.580A0|</t>
  </si>
  <si>
    <t>|12.030V  4.580A |</t>
  </si>
  <si>
    <t>|12.030V  4.590A0|</t>
  </si>
  <si>
    <t>|12.030V  4.590A |</t>
  </si>
  <si>
    <t>|12.030V  4.600A0|</t>
  </si>
  <si>
    <t>|12.030V  4.600A |</t>
  </si>
  <si>
    <t>|12.030V  4.610A0|</t>
  </si>
  <si>
    <t>|12.030V  4.610A |</t>
  </si>
  <si>
    <t>|12.030V  4.620A0|</t>
  </si>
  <si>
    <t>|12.030V  4.620A |</t>
  </si>
  <si>
    <t>|12.030V  4.630A0|</t>
  </si>
  <si>
    <t>|12.030V  4.630A |</t>
  </si>
  <si>
    <t>|12.030V  4.640A |</t>
  </si>
  <si>
    <t>|12.030V  4.640A0|</t>
  </si>
  <si>
    <t>|12.030V  4.650A0|</t>
  </si>
  <si>
    <t>|12.030V  4.650A |</t>
  </si>
  <si>
    <t>|12.030V  4.660A0|</t>
  </si>
  <si>
    <t>|12.030V  4.660A |</t>
  </si>
  <si>
    <t>|12.030V  4.670A0|</t>
  </si>
  <si>
    <t>|12.030V  4.670A |</t>
  </si>
  <si>
    <t>|12.030V  4.680A0|</t>
  </si>
  <si>
    <t>|12.030V  4.680A |</t>
  </si>
  <si>
    <t>|12.030V  4.690A0|</t>
  </si>
  <si>
    <t>|12.030V  4.690A |</t>
  </si>
  <si>
    <t>|12.030V  4.700A |</t>
  </si>
  <si>
    <t>|12.030V  4.700A0|</t>
  </si>
  <si>
    <t>|12.030V  4.710A0|</t>
  </si>
  <si>
    <t>|12.030V  4.710A |</t>
  </si>
  <si>
    <t>|12.030V  4.720A0|</t>
  </si>
  <si>
    <t>|12.030V  4.720A |</t>
  </si>
  <si>
    <t>|12.030V  4.730A0|</t>
  </si>
  <si>
    <t>|12.030V  4.730A |</t>
  </si>
  <si>
    <t>|12.030V  4.740A0|</t>
  </si>
  <si>
    <t>|12.030V  4.740A |</t>
  </si>
  <si>
    <t>|12.030V  4.750A0|</t>
  </si>
  <si>
    <t>|12.030V  4.750A |</t>
  </si>
  <si>
    <t>|12.030V  4.760A0|</t>
  </si>
  <si>
    <t>|12.030V  4.760A |</t>
  </si>
  <si>
    <t>|12.030V  4.770A0|</t>
  </si>
  <si>
    <t>|12.030V  4.770A |</t>
  </si>
  <si>
    <t>|12.030V  4.780A0|</t>
  </si>
  <si>
    <t>|12.030V  4.780A |</t>
  </si>
  <si>
    <t>|12.030V  4.790A0|</t>
  </si>
  <si>
    <t>|12.030V  4.790A |</t>
  </si>
  <si>
    <t>|12.030V  4.800A0|</t>
  </si>
  <si>
    <t>|12.030V  4.800A |</t>
  </si>
  <si>
    <t>|12.030V  4.810A0|</t>
  </si>
  <si>
    <t>|12.030V  4.810A |</t>
  </si>
  <si>
    <t>|12.030V  4.820A0|</t>
  </si>
  <si>
    <t>|12.030V  4.820A |</t>
  </si>
  <si>
    <t>|12.030V  4.830A0|</t>
  </si>
  <si>
    <t>|12.030V  4.830A |</t>
  </si>
  <si>
    <t>|12.030V  4.840A0|</t>
  </si>
  <si>
    <t>|12.030V  4.840A |</t>
  </si>
  <si>
    <t>|12.030V  4.850A0|</t>
  </si>
  <si>
    <t>|12.030V  4.850A |</t>
  </si>
  <si>
    <t>|12.030V  4.860A0|</t>
  </si>
  <si>
    <t>|12.030V  4.860A |</t>
  </si>
  <si>
    <t>|12.030V  4.870A0|</t>
  </si>
  <si>
    <t>|12.030V  4.870A |</t>
  </si>
  <si>
    <t>|12.030V  4.880A |</t>
  </si>
  <si>
    <t>|12.030V  4.880A0|</t>
  </si>
  <si>
    <t>|12.030V  4.890A0|</t>
  </si>
  <si>
    <t>|12.030V  4.890A |</t>
  </si>
  <si>
    <t>|12.030V  4.900A0|</t>
  </si>
  <si>
    <t>|12.030V  4.900A |</t>
  </si>
  <si>
    <t>|12.030V  4.910A0|</t>
  </si>
  <si>
    <t>|12.030V  4.910A |</t>
  </si>
  <si>
    <t>|12.030V  4.920A0|</t>
  </si>
  <si>
    <t>|12.030V  4.920A |</t>
  </si>
  <si>
    <t>|12.030V  4.930A0|</t>
  </si>
  <si>
    <t>|12.030V  4.930A |</t>
  </si>
  <si>
    <t>|12.030V  4.940A |</t>
  </si>
  <si>
    <t>|12.030V  4.940A0|</t>
  </si>
  <si>
    <t>|12.030V  4.950A0|</t>
  </si>
  <si>
    <t>|12.030V  4.950A |</t>
  </si>
  <si>
    <t>|12.030V  4.960A |</t>
  </si>
  <si>
    <t>|12.030V  4.960A0|</t>
  </si>
  <si>
    <t>|12.030V  4.970A0|</t>
  </si>
  <si>
    <t>|12.030V  4.970A |</t>
  </si>
  <si>
    <t>|12.030V  4.980A0|</t>
  </si>
  <si>
    <t>|12.030V  4.980A |</t>
  </si>
  <si>
    <t>|12.030V  4.990A0|</t>
  </si>
  <si>
    <t>|12.030V  4.990A |</t>
  </si>
  <si>
    <t>|12.030V  5.000A0|</t>
  </si>
  <si>
    <t>|12.030V  5.000A |</t>
  </si>
  <si>
    <t>OL</t>
  </si>
  <si>
    <t>|12.030V     OL  |</t>
  </si>
  <si>
    <t>Display stability and resolution tests</t>
  </si>
  <si>
    <t>Each noise scenario is 300 measurement cycles (about 2.8 minutes of operation). Changes = number of times the displayed value changed.</t>
  </si>
  <si>
    <t>Scenario</t>
  </si>
  <si>
    <t>Cycles</t>
  </si>
  <si>
    <t>v0.3.0 changes</t>
  </si>
  <si>
    <t>v1.0.0 changes, outlier rejection off (limit 1023)</t>
  </si>
  <si>
    <t>v1.0.0 changes</t>
  </si>
  <si>
    <t>v0.3.0 values shown (count)</t>
  </si>
  <si>
    <t>v1.0.0 values shown, outlier rejection off</t>
  </si>
  <si>
    <t>v1.0.0 values shown</t>
  </si>
  <si>
    <t>Voltage on a 10 mV boundary</t>
  </si>
  <si>
    <t>ADC 611.40 (12.035 V after calibration, a v1.0.0 step boundary), uniform ±1 count noise</t>
  </si>
  <si>
    <t>12.01: 18, 12.03: 160, 12.05: 122</t>
  </si>
  <si>
    <t>12.03: 132, 12.04: 168</t>
  </si>
  <si>
    <t>Voltage inside a 10 mV step</t>
  </si>
  <si>
    <t>ADC 611.15 (12.030 V), uniform ±1 count noise</t>
  </si>
  <si>
    <t>12.01: 49, 12.03: 151, 12.05: 100</t>
  </si>
  <si>
    <t>12.03: 300</t>
  </si>
  <si>
    <t>Current on the 0.71/0.72 A boundary</t>
  </si>
  <si>
    <t>ADC 130.70 (638.5 mV), uniform ±1 count noise</t>
  </si>
  <si>
    <t>0.71: 121, 0.72: 179</t>
  </si>
  <si>
    <t>0.71: 89, 0.72: 211</t>
  </si>
  <si>
    <t>Current 0.72 A inside a step</t>
  </si>
  <si>
    <t>ADC 131.62 (643 mV), uniform ±1 count noise</t>
  </si>
  <si>
    <t>0.72: 285, 0.73: 15</t>
  </si>
  <si>
    <t>0.72: 300</t>
  </si>
  <si>
    <t>Current 0.72 A with sample dropouts (original symptom)</t>
  </si>
  <si>
    <t>ADC 131.62, ±0.5 count noise, 2% of samples replaced by ADC 4 (0.02 A)</t>
  </si>
  <si>
    <t>0.02: 5, 0.72: 295</t>
  </si>
  <si>
    <t>0.65: 1, 0.66: 1, 0.67: 14, 0.68: 15, 0.69: 10, 0.7: 77, 0.71: 111, 0.72: 71</t>
  </si>
  <si>
    <t>Totals</t>
  </si>
  <si>
    <t>Display changes avoided by v1.0.0 vs v0.3.0:</t>
  </si>
  <si>
    <t>Slow ramps (input changes by 0.1 ADC count per cycle, then back down)</t>
  </si>
  <si>
    <t>Ramp</t>
  </si>
  <si>
    <t>Direction</t>
  </si>
  <si>
    <t>Ideal changes</t>
  </si>
  <si>
    <t>v0.3.0 max error vs ideal</t>
  </si>
  <si>
    <t>v1.0.0 max error vs ideal</t>
  </si>
  <si>
    <t>Comment</t>
  </si>
  <si>
    <t>I 0.49-0.78 A (codes 100-160)</t>
  </si>
  <si>
    <t>up</t>
  </si>
  <si>
    <t>Both follow the input; v1.0.0 holds a step only inside the 1.5 mV hysteresis band.</t>
  </si>
  <si>
    <t>down</t>
  </si>
  <si>
    <t>V 3.9-5.1 V (codes 200-260)</t>
  </si>
  <si>
    <t>v0.3.0 skips every other 10 mV value (1 ADC count = 19.7 mV). v1.0.0 shows every value (3.960-5.130 V after calibration), never against the input: the 4.150 V band-edge reversal is gone.</t>
  </si>
  <si>
    <t>V 0.71-0.95 V low range (codes 36-48)</t>
  </si>
  <si>
    <t>v0.3.0 can never show 0.820 or 0.830 and runs backwards at 0.800 V. v1.0.0 shows 0.000 up to 0.790 V after calibration, then every 10 mV value in order. Ideal changes now count the calibrated values.</t>
  </si>
  <si>
    <t>Outlier rejection: behavior outside the tested firmware scenarios (Python model, 4,000 trials each, same algorithm)</t>
  </si>
  <si>
    <t>Signal</t>
  </si>
  <si>
    <t>Description</t>
  </si>
  <si>
    <t>Plain average bias (counts)</t>
  </si>
  <si>
    <t>Plain average spread (counts)</t>
  </si>
  <si>
    <t>Outlier rejection bias (counts)</t>
  </si>
  <si>
    <t>Outlier rejection spread (counts)</t>
  </si>
  <si>
    <t>Better choice</t>
  </si>
  <si>
    <t>Normal noise ±2 counts</t>
  </si>
  <si>
    <t>Typical for this board</t>
  </si>
  <si>
    <t>Equal</t>
  </si>
  <si>
    <t>Noise ±8 counts</t>
  </si>
  <si>
    <t>At the rejection limit</t>
  </si>
  <si>
    <t>Plain average (slightly)</t>
  </si>
  <si>
    <t>Noise ±20 counts, symmetric</t>
  </si>
  <si>
    <t>Much noisier than expected</t>
  </si>
  <si>
    <t>Plain average</t>
  </si>
  <si>
    <t>Symmetric ripple ±15 counts</t>
  </si>
  <si>
    <t>Large real ripple at the ADC</t>
  </si>
  <si>
    <t>Asymmetric ripple: 10% of the time 30 counts low</t>
  </si>
  <si>
    <t>Real dips that are part of the true average</t>
  </si>
  <si>
    <t>2% dropouts to 0</t>
  </si>
  <si>
    <t>Isolated bad samples (original symptom)</t>
  </si>
  <si>
    <t>Outlier rejection</t>
  </si>
  <si>
    <t>1 count = 4.9 mV at the ADC pin = 5.4 mA of current = 19.7 mV of channel voltage. Decide with bench test BT-43.</t>
  </si>
  <si>
    <t>LCD, LED and screen-clear behavior in event scenarios</t>
  </si>
  <si>
    <t>Rows are exactly what the 16x2 LCD shows (top row = CH2, bottom row = CH1). LEDs = D3 (CH1) then D5 (CH2), 1 = on. Clears = lcd.clear() calls in the cycle.</t>
  </si>
  <si>
    <t>Step</t>
  </si>
  <si>
    <t>v0.3.0 top row</t>
  </si>
  <si>
    <t>v0.3.0 bottom row</t>
  </si>
  <si>
    <t>v0.3.0 LEDs</t>
  </si>
  <si>
    <t>v0.3.0 clears</t>
  </si>
  <si>
    <t>v1.0.0 top row</t>
  </si>
  <si>
    <t>v1.0.0 bottom row</t>
  </si>
  <si>
    <t>v1.0.0 LEDs</t>
  </si>
  <si>
    <t>v1.0.0 clears</t>
  </si>
  <si>
    <t>Over range</t>
  </si>
  <si>
    <t>CH1 12.03 V / 0.72 A, CH2 12.03 V / 0.72 A</t>
  </si>
  <si>
    <t>|12.030V  0.720A0|</t>
  </si>
  <si>
    <t>11</t>
  </si>
  <si>
    <t>CH1 current ADC 1000 (above 5.00 A)</t>
  </si>
  <si>
    <t>01</t>
  </si>
  <si>
    <t>v0.3.0: garbage "999.2A0", LED off. v1.0.0: OL, LED on</t>
  </si>
  <si>
    <t>CH1 current back to 0.72 A</t>
  </si>
  <si>
    <t>v0.3.0 keeps a stale "0" in column 15</t>
  </si>
  <si>
    <t>CH1 voltage ADC 1023 (full scale)</t>
  </si>
  <si>
    <t>|20.130V  0.720A0|</t>
  </si>
  <si>
    <t>|    OL   0.720A |</t>
  </si>
  <si>
    <t>v0.3.0 shows 20.130V for an unknown voltage</t>
  </si>
  <si>
    <t>CH1 voltage back to 12.03 V</t>
  </si>
  <si>
    <t>CH1 voltage and current both over range</t>
  </si>
  <si>
    <t>|20.130V  999.2A0|</t>
  </si>
  <si>
    <t>|    OL      OL  |</t>
  </si>
  <si>
    <t>Both back to normal</t>
  </si>
  <si>
    <t>CH1 current ADC 911 (5.00 A, last table value)</t>
  </si>
  <si>
    <t>CH1 current ADC 912 (first code above 5.00 A)</t>
  </si>
  <si>
    <t>CH1 current ADC 0 (0.00 A); CH2 ADC 254 / 0 A</t>
  </si>
  <si>
    <t>|5.0100V  0.000A0|</t>
  </si>
  <si>
    <t>|12.030V  0.000A0|</t>
  </si>
  <si>
    <t>00</t>
  </si>
  <si>
    <t>| 5.020V  0.000A |</t>
  </si>
  <si>
    <t>CH1 current ADC 1 (0.00 A (0.005 A, rounds to 0)); CH2 ADC 254 / 0 A</t>
  </si>
  <si>
    <t>CH1 current ADC 2 (0.01 A); CH2 ADC 254 / 0 A</t>
  </si>
  <si>
    <t>|12.030V  0.010A0|</t>
  </si>
  <si>
    <t>10</t>
  </si>
  <si>
    <t>CH1 current ADC 3 (0.01 A); CH2 ADC 254 / 0 A</t>
  </si>
  <si>
    <t>CH1 current ADC 911 (5.00 A); CH2 ADC 254 / 0 A</t>
  </si>
  <si>
    <t>CH1 current ADC 912 (above 5.00 A); CH2 ADC 254 / 0 A</t>
  </si>
  <si>
    <t>v0.3.0 LED off above 5.00 A; v1.0.0 LED on</t>
  </si>
  <si>
    <t>CH1 current ADC 1023 (ADC full scale); CH2 ADC 254 / 0 A</t>
  </si>
  <si>
    <t>Temperature pin 0.645 V (ADC 132)</t>
  </si>
  <si>
    <t>Temperature pin 0.684 V (ADC 140)</t>
  </si>
  <si>
    <t>|    IC6-TEMP    |</t>
  </si>
  <si>
    <t>|      ALERT     |</t>
  </si>
  <si>
    <t>|    VREF-TEMP   |</t>
  </si>
  <si>
    <t>Alert on in both</t>
  </si>
  <si>
    <t>Temperature pin 0.679 V (ADC 139)</t>
  </si>
  <si>
    <t>|5.0100V-T0.000A |</t>
  </si>
  <si>
    <t>|12.030VLE0.720A |</t>
  </si>
  <si>
    <t>v0.3.0 alert off at 0.679 V and leftover "-T" / "LE"; v1.0.0 stays in alert (hysteresis)</t>
  </si>
  <si>
    <t>Temperature pin 0.674 V (ADC 138)</t>
  </si>
  <si>
    <t>Temperature pin 0.669 V (ADC 137)</t>
  </si>
  <si>
    <t>v1.0.0 alert off below 0.670 V; screen cleared once, clean rows</t>
  </si>
  <si>
    <t>Temperature pin 0.664 V (ADC 136)</t>
  </si>
  <si>
    <t>Hovering 140/139: v0.3.0 toggles every cycle; v1.0.0 stays in alert</t>
  </si>
  <si>
    <t>Crosstalk</t>
  </si>
  <si>
    <t>Model: first 0 read(s) after a channel switch return the previous channel value; CH1 17.70 V / 0.72 A</t>
  </si>
  <si>
    <t>|17.700VLE0.720A |</t>
  </si>
  <si>
    <t>|17.700V  0.720A |</t>
  </si>
  <si>
    <t>Model: first 1 read(s) after a channel switch return the previous channel value; CH1 17.70 V / 0.72 A</t>
  </si>
  <si>
    <t>Model: first 2 read(s) after a channel switch return the previous channel value; CH1 17.70 V / 0.72 A</t>
  </si>
  <si>
    <t>|0.0000V-T0.000A |</t>
  </si>
  <si>
    <t>|0.0000VLE0.000A |</t>
  </si>
  <si>
    <t>v0.3.0 wrong: it discards only 1 read</t>
  </si>
  <si>
    <t>Note: the v0.3.0 rows in the Crosstalk block still carry the "-T" / "LE" leftovers from the temperature test before it; v0.3.0 never clears them.</t>
  </si>
  <si>
    <t>Findings and observations for v1.0.0 (open and closed)</t>
  </si>
  <si>
    <t>Severity: Observation / Risk / Info / Cosmetic. None blocks the release; bench checks are in the Bench Test Plan.</t>
  </si>
  <si>
    <t>Severity</t>
  </si>
  <si>
    <t>Finding</t>
  </si>
  <si>
    <t>Details</t>
  </si>
  <si>
    <t>Action</t>
  </si>
  <si>
    <t>F-01</t>
  </si>
  <si>
    <t>Observation</t>
  </si>
  <si>
    <t>Open - check on bench</t>
  </si>
  <si>
    <t>Outlier rejection trade-off</t>
  </si>
  <si>
    <t>v1.0.0 ignores samples more than 8 counts from the median. With 2% single-sample dropouts it shows 0.720 A in all 300 cycles; with rejection off (OUTLIER_LIMIT_COUNTS = 1023, a plain average) the display changed 215 times (0.65-0.72 A). v0.3.0 showed 0.02 A in 5 cycles. If the real signal has large asymmetric ripple (more than ±8 counts), the plain average is more accurate.</t>
  </si>
  <si>
    <t>Tests A-07 to A-09; Stability Tests sheet</t>
  </si>
  <si>
    <t>Keep 8 unless bench test BT-43 shows the plain average (1023) reads closer to the reference on the load that caused the oscillation.</t>
  </si>
  <si>
    <t>F-02</t>
  </si>
  <si>
    <t>Fixed in final file</t>
  </si>
  <si>
    <t>Display ran backwards at 0.800 V (closed)</t>
  </si>
  <si>
    <t>v0.3.0 and the first v1.0.0 build: step 0 (0.800 V) got no +0.030 V offset, so a rising input showed 0.790, 0.810, 0.800, 0.840. The final file replaces the offset bands with one calibration line, so the display always rises: 0.800, 0.810, 0.820 ...</t>
  </si>
  <si>
    <t>V-04, V-09, U-10; ramp RL; fine sweep</t>
  </si>
  <si>
    <t>None. BT-03 / BT-13 still check accuracy at 0.80 V.</t>
  </si>
  <si>
    <t>F-03</t>
  </si>
  <si>
    <t>Calibration band edges (closed)</t>
  </si>
  <si>
    <t>The offset bands changed by 10-20 mV at 4.15, 5.98, 8.761, 13.01, 15.02 and 16.03 V, so the display could step back (4.170, 4.180, 4.170). The calibration line has no edges: 0 reversals in 40,922 ramp steps.</t>
  </si>
  <si>
    <t>V-05, V-09; ramp RV; fine sweep</t>
  </si>
  <si>
    <t>None. BT-04 / BT-14 still check accuracy at 4.15 V.</t>
  </si>
  <si>
    <t>F-04</t>
  </si>
  <si>
    <t>Open - recommendation</t>
  </si>
  <si>
    <t>No hysteresis on the OL limits</t>
  </si>
  <si>
    <t>With ±1 count of noise exactly at full scale, the display alternates between OL and 20.100/20.110V (voltage) or 5.000A and OL (current), about every other cycle.</t>
  </si>
  <si>
    <t>Tests E-03, E-04</t>
  </si>
  <si>
    <t>Only at 20.1 V or 5.00 A, above the supply rating (0.8-20 V, 4 A), so only in a fault. Optional: add a small hysteresis to the OL decision.</t>
  </si>
  <si>
    <t>F-05</t>
  </si>
  <si>
    <t>LEDs keep their last state during a temperature alert</t>
  </si>
  <si>
    <t>Measurements pause, so a LED may stay on (or off) until the alert ends. Same as v0.3.0.</t>
  </si>
  <si>
    <t>Test L-04</t>
  </si>
  <si>
    <t>Optional: turn both LEDs off when the alert starts.</t>
  </si>
  <si>
    <t>F-06</t>
  </si>
  <si>
    <t>Info</t>
  </si>
  <si>
    <t>"WATCHDOG RESET" message may not appear on boards with Optiboot</t>
  </si>
  <si>
    <t>Optiboot clears MCUSR before the firmware starts, so the reset cause reads 0. The watchdog itself still works (verified).</t>
  </si>
  <si>
    <t>Test W-01 (no bootloader in simulation)</t>
  </si>
  <si>
    <t>Optional: also read the reset cause Optiboot leaves in register r2. Not implemented because it cannot be tested here.</t>
  </si>
  <si>
    <t>F-07</t>
  </si>
  <si>
    <t>Risk</t>
  </si>
  <si>
    <t>Old Nano bootloader and the watchdog</t>
  </si>
  <si>
    <t>Boards that only accept "ATmega328P (Old Bootloader)" do not disable the watchdog after a watchdog reset and can reset endlessly.</t>
  </si>
  <si>
    <t>Known ATmegaBOOT behavior</t>
  </si>
  <si>
    <t>Before flashing, check the board uploads with Processor "ATmega328P" (BT-01). Burn Optiboot otherwise.</t>
  </si>
  <si>
    <t>F-08</t>
  </si>
  <si>
    <t>Pull-ups on A4/A5 and D2/D4/D6</t>
  </si>
  <si>
    <t>The firmware enables pull-ups on pins it does not use.</t>
  </si>
  <si>
    <t>Pin setup</t>
  </si>
  <si>
    <t>Confirm on the PCB that none of these pins is connected (BT-02).</t>
  </si>
  <si>
    <t>F-09</t>
  </si>
  <si>
    <t>fabs() promotes float to double</t>
  </si>
  <si>
    <t>Reported only with -Wdouble-promotion (lines 492, 533). On the ATmega328P double is the same 32-bit type as float, so results and speed are unchanged.</t>
  </si>
  <si>
    <t>Test B-06</t>
  </si>
  <si>
    <t>No change needed; the Arduino IDE never enables this warning. fabsf() does not help: avr-libc defines it as fabs(). __builtin_fabsf() removes the warning with an identical binary (tested), but is less readable.</t>
  </si>
  <si>
    <t>F-10</t>
  </si>
  <si>
    <t>Cosmetic</t>
  </si>
  <si>
    <t>Two names for the current-sense voltage</t>
  </si>
  <si>
    <t>The MAX9919 output in mV is called currentSenseMv in computeCurrent() but voltageSenseMv in findNearestCurrentStep(), which receives it. "voltageSense" can also be confused with the voltage channel.</t>
  </si>
  <si>
    <t>Code review (lines 223, 501-515)</t>
  </si>
  <si>
    <t>Optional: rename the parameter of findNearestCurrentStep() to currentSenseMv (6 places). A name-only change: the compiled program does not change.</t>
  </si>
  <si>
    <t>F-11</t>
  </si>
  <si>
    <t>Comment style</t>
  </si>
  <si>
    <t>Line 457: "//return true or false" has no space after //, unlike every other comment. Line 561: example "5.030", but dtostrf(…, 6, 3) gives " 5.030". Line 584: debug example "vAdc=254.00 … V=5.030"; with the calibration line ADC 254 prints V=5.020.</t>
  </si>
  <si>
    <t>Optional: change line 457 to "// Returns true or false" (or remove it), write " 5.030" on line 561, and V=5.020 on line 584. Comments only.</t>
  </si>
  <si>
    <t>F-12</t>
  </si>
  <si>
    <t>No version history in the source header</t>
  </si>
  <si>
    <t>The file header does not list the firmware versions.</t>
  </si>
  <si>
    <t>Optional: add a short history (v0.3.0, v1.0.0) to the header, or keep this workbook with the release.</t>
  </si>
  <si>
    <t>F-13</t>
  </si>
  <si>
    <t>Voltage accuracy above 4 V not yet proven</t>
  </si>
  <si>
    <t>The calibration line is a fit of the v0.3.0 offset table. The Fluke 15B+ check agrees at every point, but above 4 V the Fluke tolerance (±0.5 % + 3 digits, 10 mV resolution: ±55 mV at 5 V, ±130 mV at 20 V) is larger than the meter's estimated ±(0.1 % + 2 digits). Below 4 V the meter is within -7 to -2 mV.</t>
  </si>
  <si>
    <t>V-12; Voltage Accuracy sheet</t>
  </si>
  <si>
    <t>Check 3-4 points between 5 and 20 V against a reference of 0.02 % or better (BT-49). If errors exceed the spec, recalculate VOLTAGE_CAL_GAIN / VOLTAGE_CAL_OFFSET_MV from those points.</t>
  </si>
  <si>
    <t>F-14</t>
  </si>
  <si>
    <t>Highest displayed voltage is 20.110 V</t>
  </si>
  <si>
    <t>The ADC saturates at 20.170 V (measured). OL starts at ADC 1022.5 (20.160 V measured), which the calibration shows as 20.110 V. OL above 20.40 V would need a larger input divider (ratio &gt;= 4.082): a hardware change.</t>
  </si>
  <si>
    <t>V-02, V-11</t>
  </si>
  <si>
    <t>None for a 0.8-20 V rating. State the range as 0.80-20.00 V in the spec.</t>
  </si>
  <si>
    <t>Memory and timing, measured</t>
  </si>
  <si>
    <t>Flash and static RAM from avr-size; stack and cycle time measured on the real firmware in simulation.</t>
  </si>
  <si>
    <t>Nano usable flash (bytes, 2 KB bootloader reserved)</t>
  </si>
  <si>
    <t>ATmega328P RAM (bytes)</t>
  </si>
  <si>
    <t>Watchdog timeout (ms)</t>
  </si>
  <si>
    <t>v1.0.0 (production)</t>
  </si>
  <si>
    <t>v1.0.0 (debug build)</t>
  </si>
  <si>
    <t>Note</t>
  </si>
  <si>
    <t>Flash (bytes)</t>
  </si>
  <si>
    <t>Final file: 410 B less than the 7-band build (9,768 B)</t>
  </si>
  <si>
    <t>Flash used</t>
  </si>
  <si>
    <t>Formula</t>
  </si>
  <si>
    <t>Static RAM (bytes)</t>
  </si>
  <si>
    <t>v0.3.0 keeps the 1 KB lookup table in RAM</t>
  </si>
  <si>
    <t>Peak stack (bytes)</t>
  </si>
  <si>
    <t>v1.0.0 includes a 128 B sample buffer for outlier rejection</t>
  </si>
  <si>
    <t>Free RAM at peak (bytes)</t>
  </si>
  <si>
    <t>Measurement work per cycle (ms)</t>
  </si>
  <si>
    <t>v0.3.0: 573 ms loop minus 560 ms of delays</t>
  </si>
  <si>
    <t>v1.0.0 uses a millis() scheduler</t>
  </si>
  <si>
    <t>Watchdog margin (timeout / work)</t>
  </si>
  <si>
    <t>Formula; &gt;1 means safe</t>
  </si>
  <si>
    <t>ADC conversions per cycle</t>
  </si>
  <si>
    <t>Extra sort time, worst case, per 64-sample channel (ms)</t>
  </si>
  <si>
    <t>Measured: reverse-ordered samples (4.668 ms) minus sorted (1.192 ms)</t>
  </si>
  <si>
    <t>Worst-case measurement work per cycle (ms)</t>
  </si>
  <si>
    <t>Formula: measured work + 4 channels x worst-case sort</t>
  </si>
  <si>
    <t>Worst-case watchdog margin (timeout / work)</t>
  </si>
  <si>
    <t>Bench test plan: fill in on the real hardware</t>
  </si>
  <si>
    <t>Simulation cannot check the analog hardware. Use a calibrated reference meter.</t>
  </si>
  <si>
    <t>How to use: type only in the yellow cells. Error and Result calculate by themselves. Row 9 is an example.</t>
  </si>
  <si>
    <t>Current tolerance (A)</t>
  </si>
  <si>
    <t>Your spec: ±0.01 A</t>
  </si>
  <si>
    <t>Voltage tolerance (V)</t>
  </si>
  <si>
    <t>Fixed part of the voltage spec (2 digits = 20 mV)</t>
  </si>
  <si>
    <t>Voltage tolerance, % of reading</t>
  </si>
  <si>
    <t>Estimated spec ±(0.1 % + 2 digits); see Voltage Accuracy</t>
  </si>
  <si>
    <t>Channel</t>
  </si>
  <si>
    <t>Setup / what to check</t>
  </si>
  <si>
    <t>Reference reading</t>
  </si>
  <si>
    <t>Meter display</t>
  </si>
  <si>
    <t>Error</t>
  </si>
  <si>
    <t>Tolerance</t>
  </si>
  <si>
    <t>Notes</t>
  </si>
  <si>
    <t>EX</t>
  </si>
  <si>
    <t>Example</t>
  </si>
  <si>
    <t>CH1</t>
  </si>
  <si>
    <t>Example row: 12 V setpoint, fixed resistor load</t>
  </si>
  <si>
    <t>Example only</t>
  </si>
  <si>
    <t>BT-01</t>
  </si>
  <si>
    <t>Bootloader</t>
  </si>
  <si>
    <t>Board</t>
  </si>
  <si>
    <t>Upload with Tools &gt; Processor "ATmega328P" (not Old Bootloader). Type PASS if it uploads.</t>
  </si>
  <si>
    <t>BT-02</t>
  </si>
  <si>
    <t>PCB</t>
  </si>
  <si>
    <t>Continuity: D2, D4, D6, A4, A5 not connected to anything. Type PASS or FAIL.</t>
  </si>
  <si>
    <t>BT-03</t>
  </si>
  <si>
    <t>Output 0.80 V, light load</t>
  </si>
  <si>
    <t>Former F-02 (closed): 0.800 V now in order</t>
  </si>
  <si>
    <t>BT-04</t>
  </si>
  <si>
    <t>Output 4.15 V, light load</t>
  </si>
  <si>
    <t>Former F-03 (closed): no band edge now</t>
  </si>
  <si>
    <t>BT-05</t>
  </si>
  <si>
    <t>Output 1.00 V, light load</t>
  </si>
  <si>
    <t>BT-06</t>
  </si>
  <si>
    <t>Output 3.30 V, light load</t>
  </si>
  <si>
    <t>BT-07</t>
  </si>
  <si>
    <t>Output 5.00 V, light load</t>
  </si>
  <si>
    <t>BT-08</t>
  </si>
  <si>
    <t>Output 9.00 V, light load</t>
  </si>
  <si>
    <t>BT-09</t>
  </si>
  <si>
    <t>Output 12.00 V, light load</t>
  </si>
  <si>
    <t>BT-10</t>
  </si>
  <si>
    <t>Output 15.00 V, light load</t>
  </si>
  <si>
    <t>BT-11</t>
  </si>
  <si>
    <t>Output 18.00 V, light load</t>
  </si>
  <si>
    <t>BT-12</t>
  </si>
  <si>
    <t>Output 20.00 V, light load</t>
  </si>
  <si>
    <t>BT-13</t>
  </si>
  <si>
    <t>CH2</t>
  </si>
  <si>
    <t>BT-14</t>
  </si>
  <si>
    <t>BT-15</t>
  </si>
  <si>
    <t>BT-16</t>
  </si>
  <si>
    <t>BT-17</t>
  </si>
  <si>
    <t>BT-18</t>
  </si>
  <si>
    <t>BT-19</t>
  </si>
  <si>
    <t>BT-20</t>
  </si>
  <si>
    <t>BT-21</t>
  </si>
  <si>
    <t>BT-22</t>
  </si>
  <si>
    <t>BT-23</t>
  </si>
  <si>
    <t>Load current 0.05 A</t>
  </si>
  <si>
    <t>BT-24</t>
  </si>
  <si>
    <t>Load current 0.10 A</t>
  </si>
  <si>
    <t>BT-25</t>
  </si>
  <si>
    <t>Load current 0.50 A</t>
  </si>
  <si>
    <t>BT-26</t>
  </si>
  <si>
    <t>Load current 0.72 A</t>
  </si>
  <si>
    <t>BT-27</t>
  </si>
  <si>
    <t>Load current 1.00 A</t>
  </si>
  <si>
    <t>BT-28</t>
  </si>
  <si>
    <t>Load current 2.49 A</t>
  </si>
  <si>
    <t>Old gap zone</t>
  </si>
  <si>
    <t>BT-29</t>
  </si>
  <si>
    <t>Load current 2.50 A</t>
  </si>
  <si>
    <t>BT-30</t>
  </si>
  <si>
    <t>Load current 3.00 A</t>
  </si>
  <si>
    <t>BT-31</t>
  </si>
  <si>
    <t>Load current 4.00 A</t>
  </si>
  <si>
    <t>BT-32</t>
  </si>
  <si>
    <t>Load current 4.90 A</t>
  </si>
  <si>
    <t>BT-33</t>
  </si>
  <si>
    <t>BT-34</t>
  </si>
  <si>
    <t>BT-35</t>
  </si>
  <si>
    <t>BT-36</t>
  </si>
  <si>
    <t>BT-37</t>
  </si>
  <si>
    <t>BT-38</t>
  </si>
  <si>
    <t>BT-39</t>
  </si>
  <si>
    <t>BT-40</t>
  </si>
  <si>
    <t>BT-41</t>
  </si>
  <si>
    <t>BT-42</t>
  </si>
  <si>
    <t>BT-43</t>
  </si>
  <si>
    <t>Stability</t>
  </si>
  <si>
    <t>Both</t>
  </si>
  <si>
    <t>Load that caused the oscillation, 60 s. Compare display with reference, then repeat with OUTLIER_LIMIT_COUNTS = 1023. Keep the setting closer to the reference. Type PASS or FAIL.</t>
  </si>
  <si>
    <t>BT-44</t>
  </si>
  <si>
    <t>Fixed resistor load, 60 s: last digit should not flicker. Type PASS or FAIL.</t>
  </si>
  <si>
    <t>BT-45</t>
  </si>
  <si>
    <t>LED off at 0.00 A, on with any load. Type PASS or FAIL.</t>
  </si>
  <si>
    <t>BT-46</t>
  </si>
  <si>
    <t>Rows show "12.030V  0.720A" style, no stray characters after load changes. Type PASS or FAIL.</t>
  </si>
  <si>
    <t>BT-47</t>
  </si>
  <si>
    <t>Optional: warm IC6 gently; alert appears, clears after cooling, rows clean. Type PASS or FAIL.</t>
  </si>
  <si>
    <t>BT-48</t>
  </si>
  <si>
    <t>Soak</t>
  </si>
  <si>
    <t>24 h run with load: splash "WATCHDOG RESET" never appears, readings stable. Type PASS or FAIL.</t>
  </si>
  <si>
    <t>BT-49</t>
  </si>
  <si>
    <t>With a reference of 0.02 % or better (bench DMM or voltage reference): 5, 10, 15 and 20 V. Every error within ±(0.1 % + 20 mV)? Type PASS or FAIL.</t>
  </si>
  <si>
    <t>Bench results</t>
  </si>
  <si>
    <t>Tests passed (excluding example)</t>
  </si>
  <si>
    <t>Tests failed</t>
  </si>
  <si>
    <t>Tests not done yet</t>
  </si>
  <si>
    <t>Voltage accuracy: bench check, error budget and comparison</t>
  </si>
  <si>
    <t>Final firmware: displayed = measured x VOLTAGE_CAL_GAIN (0.99578) + VOLTAGE_CAL_OFFSET_MV (31.0), rounded to 10 mV. Yellow cells are inputs; everything else is calculated.</t>
  </si>
  <si>
    <t>Estimated meter spec, % of reading</t>
  </si>
  <si>
    <t>Estimate from the error budget below: ±(0.1 % + 2 digits)</t>
  </si>
  <si>
    <t>Estimated meter spec, fixed part (V)</t>
  </si>
  <si>
    <t>2 digits of the 10 mV display</t>
  </si>
  <si>
    <t>Fluke 15B+ DC accuracy, % of reading</t>
  </si>
  <si>
    <t>Fluke 15B+ technical data: ±(0.5 % + 3 digits) on the 4 V and 40 V ranges</t>
  </si>
  <si>
    <t>1. Bench check against a Fluke 15B+ (27 Sep 2026, final firmware; readings from the user)</t>
  </si>
  <si>
    <t>Point</t>
  </si>
  <si>
    <t>Supply display (V)</t>
  </si>
  <si>
    <t>Fluke 15B+ (V)</t>
  </si>
  <si>
    <t>Difference (mV)</t>
  </si>
  <si>
    <t>Fluke resolution (V)</t>
  </si>
  <si>
    <t>Fluke tolerance ±(mV)</t>
  </si>
  <si>
    <t>Inside Fluke tolerance</t>
  </si>
  <si>
    <t>Meter spec ±(mV)</t>
  </si>
  <si>
    <t>Inside meter spec</t>
  </si>
  <si>
    <t>Can the Fluke decide?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</si>
  <si>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</si>
  <si>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</si>
  <si>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</si>
  <si>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</si>
  <si>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</si>
  <si>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</si>
  <si>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</si>
  <si>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</si>
  <si>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</si>
  <si>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</si>
  <si>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Points inside the Fluke tolerance</t>
  </si>
  <si>
    <t>Points where the Fluke can decide</t>
  </si>
  <si>
    <t>Largest |difference| where the Fluke can decide (mV)</t>
  </si>
  <si>
    <t>Below 4 V the Fluke uses 1 mV resolution: the meter is within a few mV there.</t>
  </si>
  <si>
    <t>Largest |difference| overall (mV)</t>
  </si>
  <si>
    <t>Above 4 V every difference is inside the Fluke's own tolerance, so the Fluke cannot tell which instrument is right (F-13).</t>
  </si>
  <si>
    <t>2. Error budget (estimated, at the display)</t>
  </si>
  <si>
    <t>Source</t>
  </si>
  <si>
    <t>Size ±(mV)</t>
  </si>
  <si>
    <t>Fixable in firmware?</t>
  </si>
  <si>
    <t>Display rounding to 10 mV</t>
  </si>
  <si>
    <t>Half of one 10 mV step</t>
  </si>
  <si>
    <t>Hysteresis lag near a step</t>
  </si>
  <si>
    <t>No (it stops flicker)</t>
  </si>
  <si>
    <t>VOLTAGE_HYSTERESIS_MV, only right at a step boundary</t>
  </si>
  <si>
    <t>Calibration fit</t>
  </si>
  <si>
    <t>Only by recalibrating</t>
  </si>
  <si>
    <t>Old table had 10 mV steps (±5 mV) + line residual (up to 5 mV)</t>
  </si>
  <si>
    <t>ADC non-linearity (INL)</t>
  </si>
  <si>
    <t>ATmega328P typical 0.5 count; 1 count = 19.7 mV at the input</t>
  </si>
  <si>
    <t>Noise and drift</t>
  </si>
  <si>
    <t>Already reduced</t>
  </si>
  <si>
    <t>64-sample average; MAX6250 reference</t>
  </si>
  <si>
    <t>Typical total (root sum of squares, mV)</t>
  </si>
  <si>
    <t>Sources rarely peak together: about ±15 mV typical.</t>
  </si>
  <si>
    <t>Worst case (all errors add up, mV)</t>
  </si>
  <si>
    <t>Covered by the ±(0.1 % + 2 digits) spec over most of the range.</t>
  </si>
  <si>
    <t>3. Comparison with commercial bench supplies (voltage readback specification)</t>
  </si>
  <si>
    <t>Supply</t>
  </si>
  <si>
    <t>Class</t>
  </si>
  <si>
    <t>% of reading</t>
  </si>
  <si>
    <t>Fixed part (mV)</t>
  </si>
  <si>
    <t>±mV at 1 V</t>
  </si>
  <si>
    <t>±mV at 5 V</t>
  </si>
  <si>
    <t>±mV at 12 V</t>
  </si>
  <si>
    <t>±mV at 20 V</t>
  </si>
  <si>
    <t>Ratio at 12 V vs this meter</t>
  </si>
  <si>
    <t>Siglent SPD3303X-E</t>
  </si>
  <si>
    <t>Entry level</t>
  </si>
  <si>
    <t>Siglent SPD3000X data sheet: ±(0.5 % + 2 digits), 10 mV resolution</t>
  </si>
  <si>
    <t>This meter (estimate)</t>
  </si>
  <si>
    <t>DIY, 10-bit ADC</t>
  </si>
  <si>
    <t>Error budget above</t>
  </si>
  <si>
    <t>Rigol DP832</t>
  </si>
  <si>
    <t>Mid-range lab</t>
  </si>
  <si>
    <t>Rigol DP800 data sheet: ±(0.05 % + 10 mV), 25 °C ± 5 °C, 1 year</t>
  </si>
  <si>
    <t>Siglent SPD3303X</t>
  </si>
  <si>
    <t>Siglent SPD3000X data sheet: ±(0.03 % + 10 mV)</t>
  </si>
  <si>
    <t>Keysight E36312A (25 V outputs)</t>
  </si>
  <si>
    <t>Professional</t>
  </si>
  <si>
    <t>Keysight E36300 data sheet: ±(0.04 % + 3 mV), 23 °C ± 5 °C, 1 year</t>
  </si>
  <si>
    <t>Ratio below 1 = more accurate than this meter. Commercial figures are guaranteed specs for every unit; this meter's figure is an estimate for one unit, confirmed only below 4 V.</t>
  </si>
  <si>
    <t>Sources</t>
  </si>
  <si>
    <t>Fluke 15B+ technical data: https://mohanmeasurements.com/wp-content/uploads/2024/10/fluke-15b-plus-digital-multimeter.pdf</t>
  </si>
  <si>
    <t>Rigol DP800 series data sheet: https://www.rigol.com/dam/global/downloads/brochures/en/data-sheet/dc-powers/DP800_DataSheet_EN.pdf</t>
  </si>
  <si>
    <t>Siglent SPD3303X / X-E data sheet: https://www.batronix.com/pdf/Siglent/SPD3303X/SPD3303X-Datasheet.pdf</t>
  </si>
  <si>
    <t>Keysight E36312A data sheet: https://docs.alltest.net/manual/Alltest-Agilent-Keysight-E36312A-Datasheet-29381-.pdf</t>
  </si>
  <si>
    <t>ATmega328P data sheet, ADC characteristics (INL typical 0.5 LSB)</t>
  </si>
  <si>
    <t>How the firmware was tested</t>
  </si>
  <si>
    <t>Firmware under test</t>
  </si>
  <si>
    <t>v0.3.0: 2_channel_dual_voltage_current_meter_fw_v0.3.0.ino. v1.0.0: 2_channel_dual_voltage_current_meter_fw_v1.0.0.ino (release file; compiles to exactly the binary every suite ran on).</t>
  </si>
  <si>
    <t>avr-gcc 7.3.0, Arduino AVR core 1.8.6, LiquidCrystal 1.0.7, target ATmega328P at 16 MHz (Arduino Nano, eightanaloginputs variant). Strict C++ without Arduino IDE auto-prototypes, -Wall -Wextra.</t>
  </si>
  <si>
    <t>Simulator</t>
  </si>
  <si>
    <t>simavr: cycle-accurate ATmega328P. Float math, timers, watchdog and UART behave as on the chip.</t>
  </si>
  <si>
    <t>Functional test bench</t>
  </si>
  <si>
    <t>Both sketches compiled unmodified. analogRead, analogReference, pinMode, digitalWrite, millis, delay and delayMicroseconds replaced by instrumented versions. The LCD is a model of the HD44780 memory built on the real Arduino Print class, so every print() formats exactly as on the real display.</t>
  </si>
  <si>
    <t>Input models</t>
  </si>
  <si>
    <t>Exact ADC codes (sweeps); dithered fractional codes (ramps); uniform random noise; random single-sample dropouts; channel crosstalk (first 1 or 2 reads after a switch return the previous channel value).</t>
  </si>
  <si>
    <t>Timing and stack</t>
  </si>
  <si>
    <t>Real firmware with the real ADC, real LCD library and real serial port; only main() replaced to time each cycle with micros(). Free RAM measured by filling unused RAM with a pattern before startup.</t>
  </si>
  <si>
    <t>Watchdog test</t>
  </si>
  <si>
    <t>Infinite loop injected inside analogRead(A2); the simulator performs a real watchdog reset and reboot.</t>
  </si>
  <si>
    <t>Independent models</t>
  </si>
  <si>
    <t>Python re-implementations (float32) of the v0.3.0 voltage algorithm, the v1.0.0 calibration-line voltage algorithm and a nearest-step current model, used to cross-check every ADC code, every unit case and a 51,151-point fine sweep.</t>
  </si>
  <si>
    <t>Limits</t>
  </si>
  <si>
    <t>The simulation proves the firmware logic, formatting and timing. It cannot check analog accuracy, real noise on your PCB, or the bootloader on your board: see Bench Test Plan.</t>
  </si>
  <si>
    <t>Unit tests</t>
  </si>
  <si>
    <t>The firmware functions are called directly on the simulated chip with scripted inputs (every step boundary, table midpoint, band edge and display value) and compared with independent float32 models.</t>
  </si>
  <si>
    <t>Edge scenarios</t>
  </si>
  <si>
    <t>Channel independence, large steps, noise at the OL limits, power-on with alert, alert during OL, watchdog register state, irregular loop() calls, and a 3,000-cycle random soak checked row by row.</t>
  </si>
  <si>
    <t>Static checks</t>
  </si>
  <si>
    <t>Extra compiler warnings, cppcheck static analysis, and negative tests that break each static_assert on purpose.</t>
  </si>
  <si>
    <t>2 x 1,024-code sweeps (voltage and current, both channels), 2,886 ramp cycles, 1,500 noise cycles, plus event scenarios: 6,473 result rows per version. Unit level: 234,322 function calls. Bench: 10-point voltage check against a Fluke 15B+.</t>
  </si>
  <si>
    <t>Bench check</t>
  </si>
  <si>
    <t>Real supply with the final firmware, 10 points 0.8-20 V, read with a Fluke 15B+ (±(0.5 % + 3 digits), Fluke 15B+ technical data). Evaluated on the Voltage Accuracy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</si>
</sst>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0.0"/>
    <numFmt numFmtId="166" formatCode="0.00\x"/>
    <numFmt numFmtId="167" formatCode="0%&quot; fewer&quot;"/>
    <numFmt numFmtId="168" formatCode="0.0\x"/>
    <numFmt numFmtId="169" formatCode="0.000"/>
  </numFmts>
  <fonts count="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F3864"/>
      <name val="Arial"/>
      <family val="2"/>
    </font>
    <font>
      <i/>
      <sz val="10"/>
      <color rgb="FF59595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name val="Courier New"/>
      <family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DEDED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5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center" wrapText="1"/>
    </xf>
    <xf numFmtId="0" fontId="5" fillId="0" borderId="0" xfId="0" applyFont="1"/>
    <xf numFmtId="0" fontId="4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5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vertical="top" wrapText="1"/>
    </xf>
    <xf numFmtId="3" fontId="4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0" fontId="4" fillId="0" borderId="0" xfId="0" applyFont="1"/>
    <xf numFmtId="0" fontId="6" fillId="3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167" fontId="5" fillId="0" borderId="1" xfId="0" applyNumberFormat="1" applyFont="1" applyBorder="1" applyAlignment="1">
      <alignment horizontal="center" vertical="top" wrapText="1"/>
    </xf>
    <xf numFmtId="168" fontId="5" fillId="0" borderId="1" xfId="0" applyNumberFormat="1" applyFont="1" applyBorder="1" applyAlignment="1">
      <alignment horizontal="center" vertical="top" wrapText="1"/>
    </xf>
    <xf numFmtId="3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165" fontId="5" fillId="0" borderId="0" xfId="0" applyNumberFormat="1" applyFont="1"/>
    <xf numFmtId="169" fontId="5" fillId="0" borderId="0" xfId="0" applyNumberFormat="1" applyFont="1"/>
    <xf numFmtId="2" fontId="5" fillId="0" borderId="0" xfId="0" applyNumberFormat="1" applyFont="1"/>
    <xf numFmtId="0" fontId="8" fillId="0" borderId="0" xfId="0" applyFont="1"/>
    <xf numFmtId="0" fontId="4" fillId="0" borderId="0" xfId="0" applyFont="1" applyAlignment="1">
      <alignment horizontal="center" vertical="top" wrapText="1"/>
    </xf>
    <xf numFmtId="164" fontId="4" fillId="0" borderId="0" xfId="0" applyNumberFormat="1" applyFont="1"/>
    <xf numFmtId="0" fontId="6" fillId="3" borderId="0" xfId="0" applyFont="1" applyFill="1" applyAlignment="1">
      <alignment horizontal="center" vertical="top" wrapText="1"/>
    </xf>
    <xf numFmtId="169" fontId="5" fillId="0" borderId="1" xfId="0" applyNumberFormat="1" applyFont="1" applyBorder="1" applyAlignment="1">
      <alignment horizontal="center" vertical="top" wrapText="1"/>
    </xf>
    <xf numFmtId="0" fontId="8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horizontal="center" vertical="top" wrapText="1"/>
    </xf>
    <xf numFmtId="165" fontId="5" fillId="0" borderId="1" xfId="0" applyNumberFormat="1" applyFont="1" applyBorder="1" applyAlignment="1">
      <alignment horizontal="center" vertical="top" wrapText="1"/>
    </xf>
    <xf numFmtId="0" fontId="7" fillId="4" borderId="0" xfId="0" applyFont="1" applyFill="1"/>
    <xf numFmtId="164" fontId="7" fillId="4" borderId="0" xfId="0" applyNumberFormat="1" applyFont="1" applyFill="1"/>
    <xf numFmtId="0" fontId="5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vertical="top" wrapText="1"/>
    </xf>
    <xf numFmtId="169" fontId="5" fillId="5" borderId="1" xfId="0" applyNumberFormat="1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169" fontId="7" fillId="4" borderId="1" xfId="0" applyNumberFormat="1" applyFont="1" applyFill="1" applyBorder="1" applyAlignment="1">
      <alignment horizontal="center" vertical="top" wrapText="1"/>
    </xf>
    <xf numFmtId="169" fontId="7" fillId="4" borderId="0" xfId="0" applyNumberFormat="1" applyFont="1" applyFill="1"/>
    <xf numFmtId="0" fontId="6" fillId="3" borderId="1" xfId="0" applyFont="1" applyFill="1" applyBorder="1" applyAlignment="1">
      <alignment vertical="center" wrapText="1"/>
    </xf>
    <xf numFmtId="169" fontId="7" fillId="4" borderId="1" xfId="0" applyNumberFormat="1" applyFont="1" applyFill="1" applyBorder="1"/>
    <xf numFmtId="165" fontId="5" fillId="0" borderId="1" xfId="0" applyNumberFormat="1" applyFont="1" applyBorder="1" applyAlignment="1">
      <alignment vertical="top" wrapText="1"/>
    </xf>
    <xf numFmtId="169" fontId="5" fillId="0" borderId="1" xfId="0" applyNumberFormat="1" applyFont="1" applyBorder="1" applyAlignment="1">
      <alignment vertical="top" wrapText="1"/>
    </xf>
    <xf numFmtId="1" fontId="5" fillId="0" borderId="1" xfId="0" applyNumberFormat="1" applyFont="1" applyBorder="1" applyAlignment="1">
      <alignment vertical="top" wrapText="1"/>
    </xf>
    <xf numFmtId="10" fontId="5" fillId="0" borderId="1" xfId="0" applyNumberFormat="1" applyFont="1" applyBorder="1" applyAlignment="1">
      <alignment vertical="top" wrapText="1"/>
    </xf>
    <xf numFmtId="166" fontId="5" fillId="0" borderId="1" xfId="0" applyNumberFormat="1" applyFont="1" applyBorder="1" applyAlignment="1">
      <alignment vertical="top" wrapText="1"/>
    </xf>
    <xf numFmtId="10" fontId="4" fillId="0" borderId="1" xfId="0" applyNumberFormat="1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166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35">
    <dxf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80"/>
  <sheetViews>
    <sheetView showGridLines="0" tabSelected="1" zoomScaleNormal="100" workbookViewId="0"/>
  </sheetViews>
  <sheetFormatPr baseColWidth="10" defaultColWidth="8.6640625" defaultRowHeight="15" x14ac:dyDescent="0.2"/>
  <cols>
    <col min="1" max="1" width="44" customWidth="1"/>
    <col min="2" max="3" width="18" customWidth="1"/>
    <col min="4" max="4" width="60" customWidth="1"/>
  </cols>
  <sheetData>
    <row r="1" spans="1:4" ht="17.25" customHeight="1" x14ac:dyDescent="0.2">
      <c r="A1" s="5" t="s">
        <v>0</v>
      </c>
    </row>
    <row r="2" spans="1:4" ht="15" customHeight="1" x14ac:dyDescent="0.2">
      <c r="A2" s="6" t="s">
        <v>1</v>
      </c>
    </row>
    <row r="4" spans="1:4" ht="15" customHeight="1" x14ac:dyDescent="0.2">
      <c r="A4" s="7" t="s">
        <v>2</v>
      </c>
      <c r="B4" s="8"/>
      <c r="C4" s="8"/>
      <c r="D4" s="8"/>
    </row>
    <row r="5" spans="1:4" ht="15" customHeight="1" x14ac:dyDescent="0.2">
      <c r="A5" s="9" t="s">
        <v>3</v>
      </c>
      <c r="B5" s="4" t="s">
        <v>4</v>
      </c>
      <c r="C5" s="4"/>
      <c r="D5" s="4"/>
    </row>
    <row r="6" spans="1:4" ht="15" customHeight="1" x14ac:dyDescent="0.2">
      <c r="A6" s="9" t="s">
        <v>5</v>
      </c>
      <c r="B6" s="4" t="s">
        <v>6</v>
      </c>
      <c r="C6" s="4"/>
      <c r="D6" s="4"/>
    </row>
    <row r="7" spans="1:4" ht="15" customHeight="1" x14ac:dyDescent="0.2">
      <c r="A7" s="9" t="s">
        <v>7</v>
      </c>
      <c r="B7" s="4" t="s">
        <v>8</v>
      </c>
      <c r="C7" s="4"/>
      <c r="D7" s="4"/>
    </row>
    <row r="8" spans="1:4" ht="15" customHeight="1" x14ac:dyDescent="0.2">
      <c r="A8" s="9" t="s">
        <v>9</v>
      </c>
      <c r="B8" s="4" t="s">
        <v>10</v>
      </c>
      <c r="C8" s="4"/>
      <c r="D8" s="4"/>
    </row>
    <row r="9" spans="1:4" ht="15" customHeight="1" x14ac:dyDescent="0.2">
      <c r="A9" s="9" t="s">
        <v>11</v>
      </c>
      <c r="B9" s="4" t="s">
        <v>12</v>
      </c>
      <c r="C9" s="4"/>
      <c r="D9" s="4"/>
    </row>
    <row r="10" spans="1:4" ht="15" customHeight="1" x14ac:dyDescent="0.2">
      <c r="A10" s="9" t="s">
        <v>13</v>
      </c>
      <c r="B10" s="4" t="s">
        <v>14</v>
      </c>
      <c r="C10" s="4"/>
      <c r="D10" s="4"/>
    </row>
    <row r="11" spans="1:4" ht="15" customHeight="1" x14ac:dyDescent="0.2"/>
    <row r="12" spans="1:4" ht="15" customHeight="1" x14ac:dyDescent="0.2">
      <c r="A12" s="7" t="s">
        <v>15</v>
      </c>
      <c r="B12" s="8"/>
      <c r="C12" s="8"/>
      <c r="D12" s="8"/>
    </row>
    <row r="13" spans="1:4" ht="15" customHeight="1" x14ac:dyDescent="0.2">
      <c r="A13" s="9" t="s">
        <v>16</v>
      </c>
      <c r="B13" s="10">
        <f>COUNTA('Test Cases'!A5:A105)</f>
        <v>101</v>
      </c>
    </row>
    <row r="14" spans="1:4" ht="15" customHeight="1" x14ac:dyDescent="0.2">
      <c r="A14" s="9" t="s">
        <v>17</v>
      </c>
      <c r="B14" s="10">
        <f>COUNTIF('Test Cases'!H5:H105,"PASS")</f>
        <v>98</v>
      </c>
    </row>
    <row r="15" spans="1:4" ht="15" customHeight="1" x14ac:dyDescent="0.2">
      <c r="A15" s="9" t="s">
        <v>18</v>
      </c>
      <c r="B15" s="10">
        <f>COUNTIF('Test Cases'!H5:H105,"FAIL")</f>
        <v>0</v>
      </c>
    </row>
    <row r="16" spans="1:4" ht="15" customHeight="1" x14ac:dyDescent="0.2">
      <c r="A16" s="9" t="s">
        <v>19</v>
      </c>
      <c r="B16" s="10">
        <f>COUNTIF('Test Cases'!H5:H105,"OBSERVATION")</f>
        <v>3</v>
      </c>
      <c r="D16" s="11" t="s">
        <v>20</v>
      </c>
    </row>
    <row r="17" spans="1:4" ht="15" customHeight="1" x14ac:dyDescent="0.2"/>
    <row r="18" spans="1:4" ht="15" customHeight="1" x14ac:dyDescent="0.2">
      <c r="A18" s="7" t="s">
        <v>21</v>
      </c>
      <c r="B18" s="8"/>
      <c r="C18" s="8"/>
      <c r="D18" s="8"/>
    </row>
    <row r="19" spans="1:4" ht="15" customHeight="1" x14ac:dyDescent="0.2">
      <c r="A19" s="9" t="s">
        <v>22</v>
      </c>
      <c r="B19" s="12">
        <f>'Unit Tests'!C14</f>
        <v>234322</v>
      </c>
    </row>
    <row r="20" spans="1:4" ht="15" customHeight="1" x14ac:dyDescent="0.2">
      <c r="A20" s="9" t="s">
        <v>23</v>
      </c>
      <c r="B20" s="10">
        <f>'Unit Tests'!D14</f>
        <v>0</v>
      </c>
      <c r="D20" s="11" t="s">
        <v>24</v>
      </c>
    </row>
    <row r="21" spans="1:4" ht="15" customHeight="1" x14ac:dyDescent="0.2"/>
    <row r="22" spans="1:4" ht="15" customHeight="1" x14ac:dyDescent="0.2">
      <c r="A22" s="7" t="s">
        <v>25</v>
      </c>
      <c r="B22" s="8"/>
      <c r="C22" s="8"/>
      <c r="D22" s="8"/>
    </row>
    <row r="23" spans="1:4" ht="15" customHeight="1" x14ac:dyDescent="0.2">
      <c r="A23" s="9" t="s">
        <v>26</v>
      </c>
      <c r="B23" s="10">
        <f>COUNTIF('ADC Parity'!F5:F1028,"Identical")</f>
        <v>595</v>
      </c>
    </row>
    <row r="24" spans="1:4" ht="15" customHeight="1" x14ac:dyDescent="0.2">
      <c r="A24" s="9" t="s">
        <v>27</v>
      </c>
      <c r="B24" s="10">
        <f>COUNTIF('ADC Parity'!F5:F1028,"Within 10 mV (calibration line)")</f>
        <v>423</v>
      </c>
      <c r="D24" s="11" t="s">
        <v>28</v>
      </c>
    </row>
    <row r="25" spans="1:4" ht="15" customHeight="1" x14ac:dyDescent="0.2">
      <c r="A25" s="9" t="s">
        <v>29</v>
      </c>
      <c r="B25" s="10">
        <f>COUNTIF('ADC Parity'!F5:F1028,"-20 mV (end of old +30 mV band)")</f>
        <v>3</v>
      </c>
      <c r="D25" s="11" t="s">
        <v>30</v>
      </c>
    </row>
    <row r="26" spans="1:4" ht="15" customHeight="1" x14ac:dyDescent="0.2">
      <c r="A26" s="9" t="s">
        <v>31</v>
      </c>
      <c r="B26" s="10">
        <f>COUNTIF('ADC Parity'!F5:F1028,"Low range fixed (F-02)")</f>
        <v>2</v>
      </c>
      <c r="D26" s="11" t="s">
        <v>32</v>
      </c>
    </row>
    <row r="27" spans="1:4" ht="15" customHeight="1" x14ac:dyDescent="0.2">
      <c r="A27" s="9" t="s">
        <v>33</v>
      </c>
      <c r="B27" s="10">
        <f>COUNTIF('ADC Parity'!F5:F1028,"ADC full scale: now OL")</f>
        <v>1</v>
      </c>
    </row>
    <row r="28" spans="1:4" ht="15" customHeight="1" x14ac:dyDescent="0.2">
      <c r="A28" s="9" t="s">
        <v>34</v>
      </c>
      <c r="B28" s="10">
        <f>COUNTIF('ADC Parity'!J5:J1028,"Identical")</f>
        <v>852</v>
      </c>
    </row>
    <row r="29" spans="1:4" ht="15" customHeight="1" x14ac:dyDescent="0.2">
      <c r="A29" s="9" t="s">
        <v>35</v>
      </c>
      <c r="B29" s="10">
        <f>COUNTIF('ADC Parity'!J5:J1028,"+0.01 A (nearest step)")</f>
        <v>58</v>
      </c>
      <c r="D29" s="11" t="s">
        <v>36</v>
      </c>
    </row>
    <row r="30" spans="1:4" ht="15" customHeight="1" x14ac:dyDescent="0.2">
      <c r="A30" s="9" t="s">
        <v>37</v>
      </c>
      <c r="B30" s="10">
        <f>COUNTIF('ADC Parity'!J5:J1028,"Gap bug fixed")</f>
        <v>2</v>
      </c>
    </row>
    <row r="31" spans="1:4" ht="15" customHeight="1" x14ac:dyDescent="0.2">
      <c r="A31" s="9" t="s">
        <v>38</v>
      </c>
      <c r="B31" s="10">
        <f>COUNTIF('ADC Parity'!J5:J1028,"Above 5.00 A: now OL")</f>
        <v>112</v>
      </c>
    </row>
    <row r="32" spans="1:4" ht="15" customHeight="1" x14ac:dyDescent="0.2">
      <c r="A32" s="9" t="s">
        <v>39</v>
      </c>
      <c r="B32" s="10">
        <f>COUNTIF('ADC Parity'!F5:F1028,"Different")+COUNTIF('ADC Parity'!J5:J1028,"Different")</f>
        <v>0</v>
      </c>
      <c r="D32" s="11" t="s">
        <v>24</v>
      </c>
    </row>
    <row r="34" spans="1:4" ht="15" customHeight="1" x14ac:dyDescent="0.2">
      <c r="A34" s="7" t="s">
        <v>40</v>
      </c>
      <c r="B34" s="8"/>
      <c r="C34" s="8"/>
      <c r="D34" s="8"/>
    </row>
    <row r="35" spans="1:4" ht="15" customHeight="1" x14ac:dyDescent="0.2">
      <c r="A35" s="9" t="s">
        <v>41</v>
      </c>
      <c r="B35" s="10">
        <f>COUNTIF(Findings!C5:C18,"Open - check on bench")</f>
        <v>4</v>
      </c>
    </row>
    <row r="36" spans="1:4" ht="15" customHeight="1" x14ac:dyDescent="0.2">
      <c r="A36" s="9" t="s">
        <v>42</v>
      </c>
      <c r="B36" s="10">
        <f>COUNTIF(Findings!C5:C18,"Open - recommendation")</f>
        <v>8</v>
      </c>
    </row>
    <row r="37" spans="1:4" ht="15" customHeight="1" x14ac:dyDescent="0.2">
      <c r="A37" s="9" t="s">
        <v>43</v>
      </c>
      <c r="B37" s="10">
        <f>COUNTIF(Findings!C5:C18,"Fixed in final file")</f>
        <v>2</v>
      </c>
      <c r="D37" s="11" t="s">
        <v>44</v>
      </c>
    </row>
    <row r="39" spans="1:4" ht="15" customHeight="1" x14ac:dyDescent="0.2">
      <c r="A39" s="7" t="s">
        <v>45</v>
      </c>
      <c r="B39" s="8"/>
      <c r="C39" s="8"/>
      <c r="D39" s="8"/>
    </row>
    <row r="40" spans="1:4" ht="15" customHeight="1" x14ac:dyDescent="0.2">
      <c r="A40" s="9" t="s">
        <v>46</v>
      </c>
      <c r="B40" s="10">
        <f>'Stability Tests'!D10</f>
        <v>528</v>
      </c>
    </row>
    <row r="41" spans="1:4" ht="15" customHeight="1" x14ac:dyDescent="0.2">
      <c r="A41" s="9" t="s">
        <v>47</v>
      </c>
      <c r="B41" s="10">
        <f>'Stability Tests'!F10</f>
        <v>4</v>
      </c>
    </row>
    <row r="42" spans="1:4" ht="15" customHeight="1" x14ac:dyDescent="0.2">
      <c r="A42" s="9" t="s">
        <v>48</v>
      </c>
      <c r="B42" s="13">
        <f>'Stability Tests'!H10</f>
        <v>0.99242424242424243</v>
      </c>
    </row>
    <row r="43" spans="1:4" ht="15" customHeight="1" x14ac:dyDescent="0.2"/>
    <row r="44" spans="1:4" ht="15" customHeight="1" x14ac:dyDescent="0.2">
      <c r="A44" s="7" t="s">
        <v>49</v>
      </c>
      <c r="B44" s="8"/>
      <c r="C44" s="8"/>
      <c r="D44" s="8"/>
    </row>
    <row r="45" spans="1:4" ht="15" customHeight="1" x14ac:dyDescent="0.2">
      <c r="A45" s="9" t="s">
        <v>50</v>
      </c>
      <c r="B45" s="10" t="s">
        <v>51</v>
      </c>
      <c r="D45" s="11" t="s">
        <v>52</v>
      </c>
    </row>
    <row r="46" spans="1:4" ht="15" customHeight="1" x14ac:dyDescent="0.2">
      <c r="A46" s="9" t="s">
        <v>53</v>
      </c>
      <c r="B46" s="10" t="str">
        <f>'Voltage Accuracy'!B21</f>
        <v>10 of 10</v>
      </c>
    </row>
    <row r="47" spans="1:4" ht="15" customHeight="1" x14ac:dyDescent="0.2">
      <c r="A47" s="9" t="s">
        <v>54</v>
      </c>
      <c r="B47" s="14" t="e">
        <f>'Voltage Accuracy'!B23</f>
        <v>#VALUE!</v>
      </c>
      <c r="D47" s="11" t="s">
        <v>55</v>
      </c>
    </row>
    <row r="48" spans="1:4" ht="15" customHeight="1" x14ac:dyDescent="0.2">
      <c r="A48" s="9" t="s">
        <v>56</v>
      </c>
      <c r="B48" s="15">
        <f>'Voltage Accuracy'!I42</f>
        <v>0.24</v>
      </c>
      <c r="D48" s="11" t="s">
        <v>57</v>
      </c>
    </row>
    <row r="49" spans="1:4" ht="15" customHeight="1" x14ac:dyDescent="0.2"/>
    <row r="50" spans="1:4" ht="15" customHeight="1" x14ac:dyDescent="0.2">
      <c r="A50" s="7" t="s">
        <v>58</v>
      </c>
      <c r="B50" s="8"/>
      <c r="C50" s="8"/>
      <c r="D50" s="8"/>
    </row>
    <row r="51" spans="1:4" ht="15" customHeight="1" x14ac:dyDescent="0.2">
      <c r="A51" s="9" t="s">
        <v>59</v>
      </c>
      <c r="B51" s="12">
        <f>'Memory &amp; Timing'!C8</f>
        <v>9358</v>
      </c>
      <c r="D51" s="11" t="s">
        <v>60</v>
      </c>
    </row>
    <row r="52" spans="1:4" ht="15" customHeight="1" x14ac:dyDescent="0.2">
      <c r="A52" s="9" t="s">
        <v>61</v>
      </c>
      <c r="B52" s="12">
        <f>'Memory &amp; Timing'!C12</f>
        <v>1565</v>
      </c>
      <c r="D52" s="11" t="s">
        <v>60</v>
      </c>
    </row>
    <row r="53" spans="1:4" ht="15" customHeight="1" x14ac:dyDescent="0.2">
      <c r="A53" s="9" t="s">
        <v>62</v>
      </c>
      <c r="B53" s="12">
        <f>'Memory &amp; Timing'!B12</f>
        <v>596</v>
      </c>
      <c r="D53" s="11" t="s">
        <v>60</v>
      </c>
    </row>
    <row r="54" spans="1:4" ht="15" customHeight="1" x14ac:dyDescent="0.2">
      <c r="A54" s="9" t="s">
        <v>63</v>
      </c>
      <c r="B54" s="14">
        <f>'Memory &amp; Timing'!C13</f>
        <v>42.7</v>
      </c>
      <c r="D54" s="11" t="s">
        <v>64</v>
      </c>
    </row>
    <row r="55" spans="1:4" ht="15" customHeight="1" x14ac:dyDescent="0.2">
      <c r="A55" s="9" t="s">
        <v>65</v>
      </c>
      <c r="B55" s="14">
        <f>'Memory &amp; Timing'!C18</f>
        <v>56.603999999999999</v>
      </c>
      <c r="D55" s="11" t="s">
        <v>66</v>
      </c>
    </row>
    <row r="56" spans="1:4" ht="15" customHeight="1" x14ac:dyDescent="0.2"/>
    <row r="57" spans="1:4" ht="15" customHeight="1" x14ac:dyDescent="0.2">
      <c r="A57" s="7" t="s">
        <v>67</v>
      </c>
      <c r="B57" s="8"/>
      <c r="C57" s="8"/>
      <c r="D57" s="8"/>
    </row>
    <row r="58" spans="1:4" ht="15" customHeight="1" x14ac:dyDescent="0.2">
      <c r="A58" s="9" t="s">
        <v>17</v>
      </c>
      <c r="B58" s="10">
        <f>'Bench Test Plan'!E60</f>
        <v>0</v>
      </c>
    </row>
    <row r="59" spans="1:4" ht="15" customHeight="1" x14ac:dyDescent="0.2">
      <c r="A59" s="9" t="s">
        <v>18</v>
      </c>
      <c r="B59" s="10">
        <f>'Bench Test Plan'!E61</f>
        <v>0</v>
      </c>
    </row>
    <row r="60" spans="1:4" ht="15" customHeight="1" x14ac:dyDescent="0.2">
      <c r="A60" s="9" t="s">
        <v>68</v>
      </c>
      <c r="B60" s="10">
        <f>'Bench Test Plan'!E62</f>
        <v>49</v>
      </c>
    </row>
    <row r="61" spans="1:4" ht="15" customHeight="1" x14ac:dyDescent="0.2"/>
    <row r="62" spans="1:4" ht="15" customHeight="1" x14ac:dyDescent="0.2">
      <c r="A62" s="7" t="s">
        <v>69</v>
      </c>
      <c r="B62" s="8"/>
      <c r="C62" s="8"/>
      <c r="D62" s="8"/>
    </row>
    <row r="63" spans="1:4" ht="15" customHeight="1" x14ac:dyDescent="0.2">
      <c r="A63" s="3" t="s">
        <v>70</v>
      </c>
      <c r="B63" s="3"/>
      <c r="C63" s="3"/>
      <c r="D63" s="3"/>
    </row>
    <row r="64" spans="1:4" ht="15" customHeight="1" x14ac:dyDescent="0.2">
      <c r="A64" s="3" t="s">
        <v>71</v>
      </c>
      <c r="B64" s="3"/>
      <c r="C64" s="3"/>
      <c r="D64" s="3"/>
    </row>
    <row r="65" spans="1:4" ht="15" customHeight="1" x14ac:dyDescent="0.2">
      <c r="A65" s="3" t="s">
        <v>72</v>
      </c>
      <c r="B65" s="3"/>
      <c r="C65" s="3"/>
      <c r="D65" s="3"/>
    </row>
    <row r="66" spans="1:4" ht="15" customHeight="1" x14ac:dyDescent="0.2">
      <c r="A66" s="3" t="s">
        <v>73</v>
      </c>
      <c r="B66" s="3"/>
      <c r="C66" s="3"/>
      <c r="D66" s="3"/>
    </row>
    <row r="67" spans="1:4" ht="15" customHeight="1" x14ac:dyDescent="0.2"/>
    <row r="68" spans="1:4" ht="15" customHeight="1" x14ac:dyDescent="0.2">
      <c r="A68" s="7" t="s">
        <v>74</v>
      </c>
      <c r="B68" s="8"/>
      <c r="C68" s="8"/>
      <c r="D68" s="8"/>
    </row>
    <row r="69" spans="1:4" ht="15" customHeight="1" x14ac:dyDescent="0.2">
      <c r="A69" s="16" t="s">
        <v>75</v>
      </c>
      <c r="B69" s="3" t="s">
        <v>76</v>
      </c>
      <c r="C69" s="3"/>
      <c r="D69" s="3"/>
    </row>
    <row r="70" spans="1:4" ht="15" customHeight="1" x14ac:dyDescent="0.2">
      <c r="A70" s="16" t="s">
        <v>77</v>
      </c>
      <c r="B70" s="3" t="s">
        <v>78</v>
      </c>
      <c r="C70" s="3"/>
      <c r="D70" s="3"/>
    </row>
    <row r="71" spans="1:4" ht="15" customHeight="1" x14ac:dyDescent="0.2">
      <c r="A71" s="16" t="s">
        <v>79</v>
      </c>
      <c r="B71" s="3" t="s">
        <v>80</v>
      </c>
      <c r="C71" s="3"/>
      <c r="D71" s="3"/>
    </row>
    <row r="72" spans="1:4" ht="15" customHeight="1" x14ac:dyDescent="0.2">
      <c r="A72" s="16" t="s">
        <v>81</v>
      </c>
      <c r="B72" s="3" t="s">
        <v>82</v>
      </c>
      <c r="C72" s="3"/>
      <c r="D72" s="3"/>
    </row>
    <row r="73" spans="1:4" ht="15" customHeight="1" x14ac:dyDescent="0.2">
      <c r="A73" s="16" t="s">
        <v>83</v>
      </c>
      <c r="B73" s="3" t="s">
        <v>84</v>
      </c>
      <c r="C73" s="3"/>
      <c r="D73" s="3"/>
    </row>
    <row r="74" spans="1:4" ht="15" customHeight="1" x14ac:dyDescent="0.2">
      <c r="A74" s="16" t="s">
        <v>85</v>
      </c>
      <c r="B74" s="3" t="s">
        <v>86</v>
      </c>
      <c r="C74" s="3"/>
      <c r="D74" s="3"/>
    </row>
    <row r="75" spans="1:4" ht="15" customHeight="1" x14ac:dyDescent="0.2">
      <c r="A75" s="16" t="s">
        <v>87</v>
      </c>
      <c r="B75" s="3" t="s">
        <v>88</v>
      </c>
      <c r="C75" s="3"/>
      <c r="D75" s="3"/>
    </row>
    <row r="76" spans="1:4" ht="15" customHeight="1" x14ac:dyDescent="0.2">
      <c r="A76" s="16" t="s">
        <v>40</v>
      </c>
      <c r="B76" s="3" t="s">
        <v>89</v>
      </c>
      <c r="C76" s="3"/>
      <c r="D76" s="3"/>
    </row>
    <row r="77" spans="1:4" ht="15" customHeight="1" x14ac:dyDescent="0.2">
      <c r="A77" s="16" t="s">
        <v>90</v>
      </c>
      <c r="B77" s="3" t="s">
        <v>91</v>
      </c>
      <c r="C77" s="3"/>
      <c r="D77" s="3"/>
    </row>
    <row r="78" spans="1:4" ht="15" customHeight="1" x14ac:dyDescent="0.2">
      <c r="A78" s="16" t="s">
        <v>92</v>
      </c>
      <c r="B78" s="3" t="s">
        <v>93</v>
      </c>
      <c r="C78" s="3"/>
      <c r="D78" s="3"/>
    </row>
    <row r="79" spans="1:4" ht="15" customHeight="1" x14ac:dyDescent="0.2">
      <c r="A79" s="16" t="s">
        <v>94</v>
      </c>
      <c r="B79" s="3" t="s">
        <v>95</v>
      </c>
      <c r="C79" s="3"/>
      <c r="D79" s="3"/>
    </row>
    <row r="80" spans="1:4" ht="15" customHeight="1" x14ac:dyDescent="0.2">
      <c r="A80" s="16" t="s">
        <v>96</v>
      </c>
      <c r="B80" s="3" t="s">
        <v>97</v>
      </c>
      <c r="C80" s="3"/>
      <c r="D80" s="3"/>
    </row>
  </sheetData>
  <mergeCells count="22">
    <mergeCell ref="B79:D79"/>
    <mergeCell ref="B80:D80"/>
    <mergeCell ref="B74:D74"/>
    <mergeCell ref="B75:D75"/>
    <mergeCell ref="B76:D76"/>
    <mergeCell ref="B77:D77"/>
    <mergeCell ref="B78:D78"/>
    <mergeCell ref="B69:D69"/>
    <mergeCell ref="B70:D70"/>
    <mergeCell ref="B71:D71"/>
    <mergeCell ref="B72:D72"/>
    <mergeCell ref="B73:D73"/>
    <mergeCell ref="B10:D10"/>
    <mergeCell ref="A63:D63"/>
    <mergeCell ref="A64:D64"/>
    <mergeCell ref="A65:D65"/>
    <mergeCell ref="A66:D66"/>
    <mergeCell ref="B5:D5"/>
    <mergeCell ref="B6:D6"/>
    <mergeCell ref="B7:D7"/>
    <mergeCell ref="B8:D8"/>
    <mergeCell ref="B9:D9"/>
  </mergeCells>
  <pageMargins left="0.75" right="0.75" top="1" bottom="1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8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8" customWidth="1"/>
    <col min="2" max="2" width="12" customWidth="1"/>
    <col min="3" max="3" width="15" customWidth="1"/>
    <col min="4" max="4" width="48" customWidth="1"/>
    <col min="5" max="5" width="52" customWidth="1"/>
    <col min="6" max="6" width="14" customWidth="1"/>
    <col min="7" max="7" width="20" customWidth="1"/>
  </cols>
  <sheetData>
    <row r="1" spans="1:7" ht="17.25" customHeight="1" x14ac:dyDescent="0.2">
      <c r="A1" s="5" t="s">
        <v>98</v>
      </c>
    </row>
    <row r="2" spans="1:7" ht="15" customHeight="1" x14ac:dyDescent="0.2">
      <c r="A2" s="6" t="s">
        <v>99</v>
      </c>
    </row>
    <row r="4" spans="1:7" ht="15" customHeight="1" x14ac:dyDescent="0.2">
      <c r="A4" s="17" t="s">
        <v>100</v>
      </c>
      <c r="B4" s="17" t="s">
        <v>101</v>
      </c>
      <c r="C4" s="17" t="s">
        <v>102</v>
      </c>
      <c r="D4" s="17" t="s">
        <v>103</v>
      </c>
      <c r="E4" s="17" t="s">
        <v>104</v>
      </c>
      <c r="F4" s="17" t="s">
        <v>105</v>
      </c>
      <c r="G4" s="17" t="s">
        <v>106</v>
      </c>
    </row>
    <row r="5" spans="1:7" ht="23.25" customHeight="1" x14ac:dyDescent="0.2">
      <c r="A5" s="18" t="s">
        <v>107</v>
      </c>
      <c r="B5" s="19" t="s">
        <v>108</v>
      </c>
      <c r="C5" s="18" t="s">
        <v>109</v>
      </c>
      <c r="D5" s="19" t="s">
        <v>110</v>
      </c>
      <c r="E5" s="19" t="s">
        <v>111</v>
      </c>
      <c r="F5" s="18" t="s">
        <v>112</v>
      </c>
      <c r="G5" s="19" t="s">
        <v>113</v>
      </c>
    </row>
    <row r="6" spans="1:7" ht="15" customHeight="1" x14ac:dyDescent="0.2">
      <c r="A6" s="18" t="s">
        <v>114</v>
      </c>
      <c r="B6" s="19" t="s">
        <v>108</v>
      </c>
      <c r="C6" s="18" t="s">
        <v>115</v>
      </c>
      <c r="D6" s="19" t="s">
        <v>116</v>
      </c>
      <c r="E6" s="19" t="s">
        <v>117</v>
      </c>
      <c r="F6" s="18" t="s">
        <v>112</v>
      </c>
      <c r="G6" s="19" t="s">
        <v>118</v>
      </c>
    </row>
    <row r="7" spans="1:7" ht="15" customHeight="1" x14ac:dyDescent="0.2">
      <c r="A7" s="18" t="s">
        <v>119</v>
      </c>
      <c r="B7" s="19" t="s">
        <v>108</v>
      </c>
      <c r="C7" s="18" t="s">
        <v>109</v>
      </c>
      <c r="D7" s="19" t="s">
        <v>120</v>
      </c>
      <c r="E7" s="19" t="s">
        <v>121</v>
      </c>
      <c r="F7" s="18" t="s">
        <v>112</v>
      </c>
      <c r="G7" s="19" t="s">
        <v>122</v>
      </c>
    </row>
    <row r="8" spans="1:7" ht="15" customHeight="1" x14ac:dyDescent="0.2">
      <c r="A8" s="18" t="s">
        <v>123</v>
      </c>
      <c r="B8" s="19" t="s">
        <v>124</v>
      </c>
      <c r="C8" s="18" t="s">
        <v>125</v>
      </c>
      <c r="D8" s="19" t="s">
        <v>126</v>
      </c>
      <c r="E8" s="19" t="s">
        <v>127</v>
      </c>
      <c r="F8" s="18" t="s">
        <v>112</v>
      </c>
      <c r="G8" s="19" t="s">
        <v>128</v>
      </c>
    </row>
    <row r="9" spans="1:7" ht="23.25" customHeight="1" x14ac:dyDescent="0.2">
      <c r="A9" s="18" t="s">
        <v>129</v>
      </c>
      <c r="B9" s="19" t="s">
        <v>130</v>
      </c>
      <c r="C9" s="18" t="s">
        <v>125</v>
      </c>
      <c r="D9" s="19" t="s">
        <v>131</v>
      </c>
      <c r="E9" s="19" t="s">
        <v>132</v>
      </c>
      <c r="F9" s="18" t="s">
        <v>133</v>
      </c>
      <c r="G9" s="19" t="s">
        <v>134</v>
      </c>
    </row>
    <row r="10" spans="1:7" ht="23.25" customHeight="1" x14ac:dyDescent="0.2">
      <c r="A10" s="18" t="s">
        <v>135</v>
      </c>
      <c r="B10" s="19" t="s">
        <v>130</v>
      </c>
      <c r="C10" s="18" t="s">
        <v>125</v>
      </c>
      <c r="D10" s="19" t="s">
        <v>136</v>
      </c>
      <c r="E10" s="19" t="s">
        <v>137</v>
      </c>
      <c r="F10" s="18" t="s">
        <v>138</v>
      </c>
      <c r="G10" s="19" t="s">
        <v>139</v>
      </c>
    </row>
    <row r="11" spans="1:7" ht="15" customHeight="1" x14ac:dyDescent="0.2">
      <c r="A11" s="18" t="s">
        <v>140</v>
      </c>
      <c r="B11" s="19" t="s">
        <v>130</v>
      </c>
      <c r="C11" s="18" t="s">
        <v>125</v>
      </c>
      <c r="D11" s="19" t="s">
        <v>141</v>
      </c>
      <c r="E11" s="19" t="s">
        <v>142</v>
      </c>
      <c r="F11" s="18" t="s">
        <v>143</v>
      </c>
      <c r="G11" s="19" t="s">
        <v>144</v>
      </c>
    </row>
    <row r="12" spans="1:7" ht="15" customHeight="1" x14ac:dyDescent="0.2">
      <c r="A12" s="18" t="s">
        <v>145</v>
      </c>
      <c r="B12" s="19" t="s">
        <v>130</v>
      </c>
      <c r="C12" s="18" t="s">
        <v>125</v>
      </c>
      <c r="D12" s="19" t="s">
        <v>146</v>
      </c>
      <c r="E12" s="19" t="s">
        <v>147</v>
      </c>
      <c r="F12" s="18" t="s">
        <v>143</v>
      </c>
      <c r="G12" s="19" t="s">
        <v>148</v>
      </c>
    </row>
    <row r="13" spans="1:7" ht="15" customHeight="1" x14ac:dyDescent="0.2">
      <c r="A13" s="18" t="s">
        <v>149</v>
      </c>
      <c r="B13" s="19" t="s">
        <v>150</v>
      </c>
      <c r="C13" s="18" t="s">
        <v>125</v>
      </c>
      <c r="D13" s="19" t="s">
        <v>136</v>
      </c>
      <c r="E13" s="19" t="s">
        <v>151</v>
      </c>
      <c r="F13" s="18" t="s">
        <v>152</v>
      </c>
      <c r="G13" s="19" t="s">
        <v>153</v>
      </c>
    </row>
    <row r="14" spans="1:7" ht="23.25" customHeight="1" x14ac:dyDescent="0.2">
      <c r="A14" s="18" t="s">
        <v>154</v>
      </c>
      <c r="B14" s="19" t="s">
        <v>150</v>
      </c>
      <c r="C14" s="18" t="s">
        <v>125</v>
      </c>
      <c r="D14" s="19" t="s">
        <v>155</v>
      </c>
      <c r="E14" s="19" t="s">
        <v>156</v>
      </c>
      <c r="F14" s="18" t="s">
        <v>143</v>
      </c>
      <c r="G14" s="19" t="s">
        <v>157</v>
      </c>
    </row>
    <row r="15" spans="1:7" ht="15" customHeight="1" x14ac:dyDescent="0.2">
      <c r="A15" s="18" t="s">
        <v>158</v>
      </c>
      <c r="B15" s="19" t="s">
        <v>159</v>
      </c>
      <c r="C15" s="18" t="s">
        <v>125</v>
      </c>
      <c r="D15" s="19" t="s">
        <v>160</v>
      </c>
      <c r="E15" s="19" t="s">
        <v>161</v>
      </c>
      <c r="F15" s="18" t="s">
        <v>112</v>
      </c>
      <c r="G15" s="19" t="s">
        <v>162</v>
      </c>
    </row>
    <row r="16" spans="1:7" ht="23.25" customHeight="1" x14ac:dyDescent="0.2">
      <c r="A16" s="18" t="s">
        <v>163</v>
      </c>
      <c r="B16" s="19" t="s">
        <v>150</v>
      </c>
      <c r="C16" s="18" t="s">
        <v>109</v>
      </c>
      <c r="D16" s="19" t="s">
        <v>164</v>
      </c>
      <c r="E16" s="19" t="s">
        <v>165</v>
      </c>
      <c r="F16" s="18" t="s">
        <v>112</v>
      </c>
      <c r="G16" s="19" t="s">
        <v>166</v>
      </c>
    </row>
    <row r="17" spans="1:7" ht="15" customHeight="1" x14ac:dyDescent="0.2">
      <c r="A17" s="18" t="s">
        <v>167</v>
      </c>
      <c r="B17" s="19" t="s">
        <v>150</v>
      </c>
      <c r="C17" s="18" t="s">
        <v>115</v>
      </c>
      <c r="D17" s="19" t="s">
        <v>168</v>
      </c>
      <c r="E17" s="19" t="s">
        <v>169</v>
      </c>
      <c r="F17" s="18" t="s">
        <v>112</v>
      </c>
      <c r="G17" s="19" t="s">
        <v>170</v>
      </c>
    </row>
    <row r="18" spans="1:7" ht="23.25" customHeight="1" x14ac:dyDescent="0.2">
      <c r="A18" s="18" t="s">
        <v>171</v>
      </c>
      <c r="B18" s="19" t="s">
        <v>150</v>
      </c>
      <c r="C18" s="18" t="s">
        <v>109</v>
      </c>
      <c r="D18" s="19" t="s">
        <v>172</v>
      </c>
      <c r="E18" s="19" t="s">
        <v>173</v>
      </c>
      <c r="F18" s="18" t="s">
        <v>112</v>
      </c>
      <c r="G18" s="19" t="s">
        <v>174</v>
      </c>
    </row>
    <row r="19" spans="1:7" ht="15" customHeight="1" x14ac:dyDescent="0.2">
      <c r="A19" s="18" t="s">
        <v>175</v>
      </c>
      <c r="B19" s="19" t="s">
        <v>150</v>
      </c>
      <c r="C19" s="18" t="s">
        <v>115</v>
      </c>
      <c r="D19" s="19" t="s">
        <v>176</v>
      </c>
      <c r="E19" s="19" t="s">
        <v>177</v>
      </c>
      <c r="F19" s="18" t="s">
        <v>112</v>
      </c>
      <c r="G19" s="19" t="s">
        <v>178</v>
      </c>
    </row>
    <row r="20" spans="1:7" ht="15" customHeight="1" x14ac:dyDescent="0.2">
      <c r="A20" s="18" t="s">
        <v>179</v>
      </c>
      <c r="B20" s="19" t="s">
        <v>180</v>
      </c>
      <c r="C20" s="18" t="s">
        <v>125</v>
      </c>
      <c r="D20" s="19" t="s">
        <v>181</v>
      </c>
      <c r="E20" s="19" t="s">
        <v>182</v>
      </c>
      <c r="F20" s="18" t="s">
        <v>143</v>
      </c>
      <c r="G20" s="19" t="s">
        <v>183</v>
      </c>
    </row>
    <row r="21" spans="1:7" ht="23.25" customHeight="1" x14ac:dyDescent="0.2">
      <c r="A21" s="18" t="s">
        <v>184</v>
      </c>
      <c r="B21" s="19" t="s">
        <v>185</v>
      </c>
      <c r="C21" s="18" t="s">
        <v>125</v>
      </c>
      <c r="D21" s="19" t="s">
        <v>136</v>
      </c>
      <c r="E21" s="19" t="s">
        <v>186</v>
      </c>
      <c r="F21" s="18" t="s">
        <v>187</v>
      </c>
      <c r="G21" s="19" t="s">
        <v>188</v>
      </c>
    </row>
    <row r="22" spans="1:7" ht="23.25" customHeight="1" x14ac:dyDescent="0.2">
      <c r="A22" s="18" t="s">
        <v>189</v>
      </c>
      <c r="B22" s="19" t="s">
        <v>190</v>
      </c>
      <c r="C22" s="18" t="s">
        <v>125</v>
      </c>
      <c r="D22" s="19" t="s">
        <v>191</v>
      </c>
      <c r="E22" s="19" t="s">
        <v>192</v>
      </c>
      <c r="F22" s="18" t="s">
        <v>143</v>
      </c>
      <c r="G22" s="19" t="s">
        <v>193</v>
      </c>
    </row>
    <row r="23" spans="1:7" ht="15" customHeight="1" x14ac:dyDescent="0.2">
      <c r="A23" s="18" t="s">
        <v>194</v>
      </c>
      <c r="B23" s="19" t="s">
        <v>190</v>
      </c>
      <c r="C23" s="18" t="s">
        <v>109</v>
      </c>
      <c r="D23" s="19" t="s">
        <v>195</v>
      </c>
      <c r="E23" s="19" t="s">
        <v>196</v>
      </c>
      <c r="F23" s="18" t="s">
        <v>143</v>
      </c>
      <c r="G23" s="19" t="s">
        <v>197</v>
      </c>
    </row>
    <row r="24" spans="1:7" ht="23.25" customHeight="1" x14ac:dyDescent="0.2">
      <c r="A24" s="18" t="s">
        <v>198</v>
      </c>
      <c r="B24" s="19" t="s">
        <v>199</v>
      </c>
      <c r="C24" s="18" t="s">
        <v>125</v>
      </c>
      <c r="D24" s="19" t="s">
        <v>200</v>
      </c>
      <c r="E24" s="19" t="s">
        <v>201</v>
      </c>
      <c r="F24" s="18" t="s">
        <v>143</v>
      </c>
      <c r="G24" s="19" t="s">
        <v>202</v>
      </c>
    </row>
    <row r="25" spans="1:7" ht="23.25" customHeight="1" x14ac:dyDescent="0.2">
      <c r="A25" s="18" t="s">
        <v>203</v>
      </c>
      <c r="B25" s="19" t="s">
        <v>204</v>
      </c>
      <c r="C25" s="18" t="s">
        <v>125</v>
      </c>
      <c r="D25" s="19" t="s">
        <v>205</v>
      </c>
      <c r="E25" s="19" t="s">
        <v>206</v>
      </c>
      <c r="F25" s="18" t="s">
        <v>143</v>
      </c>
      <c r="G25" s="19" t="s">
        <v>207</v>
      </c>
    </row>
    <row r="26" spans="1:7" ht="23.25" customHeight="1" x14ac:dyDescent="0.2">
      <c r="A26" s="18" t="s">
        <v>208</v>
      </c>
      <c r="B26" s="19" t="s">
        <v>209</v>
      </c>
      <c r="C26" s="18" t="s">
        <v>210</v>
      </c>
      <c r="D26" s="19" t="s">
        <v>211</v>
      </c>
      <c r="E26" s="19" t="s">
        <v>212</v>
      </c>
      <c r="F26" s="18" t="s">
        <v>143</v>
      </c>
      <c r="G26" s="19" t="s">
        <v>213</v>
      </c>
    </row>
    <row r="27" spans="1:7" ht="15" customHeight="1" x14ac:dyDescent="0.2">
      <c r="A27" s="18" t="s">
        <v>214</v>
      </c>
      <c r="B27" s="19" t="s">
        <v>190</v>
      </c>
      <c r="C27" s="18" t="s">
        <v>210</v>
      </c>
      <c r="D27" s="19" t="s">
        <v>215</v>
      </c>
      <c r="E27" s="19" t="s">
        <v>216</v>
      </c>
      <c r="F27" s="18" t="s">
        <v>143</v>
      </c>
      <c r="G27" s="19" t="s">
        <v>217</v>
      </c>
    </row>
    <row r="28" spans="1:7" ht="15" customHeight="1" x14ac:dyDescent="0.2">
      <c r="A28" s="18" t="s">
        <v>218</v>
      </c>
      <c r="B28" s="19" t="s">
        <v>124</v>
      </c>
      <c r="C28" s="18" t="s">
        <v>219</v>
      </c>
      <c r="D28" s="19" t="s">
        <v>220</v>
      </c>
      <c r="E28" s="19" t="s">
        <v>221</v>
      </c>
      <c r="F28" s="18" t="s">
        <v>222</v>
      </c>
      <c r="G28" s="19" t="s">
        <v>223</v>
      </c>
    </row>
  </sheetData>
  <autoFilter ref="A4:G27" xr:uid="{00000000-0009-0000-0000-000001000000}"/>
  <pageMargins left="0.75" right="0.75" top="1" bottom="1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1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34" customWidth="1"/>
    <col min="2" max="2" width="44" customWidth="1"/>
    <col min="3" max="5" width="16" customWidth="1"/>
    <col min="6" max="6" width="30" customWidth="1"/>
  </cols>
  <sheetData>
    <row r="1" spans="1:6" ht="17.25" customHeight="1" x14ac:dyDescent="0.2">
      <c r="A1" s="5" t="s">
        <v>224</v>
      </c>
    </row>
    <row r="2" spans="1:6" ht="15" customHeight="1" x14ac:dyDescent="0.2">
      <c r="A2" s="6" t="s">
        <v>225</v>
      </c>
    </row>
    <row r="4" spans="1:6" ht="15" customHeight="1" x14ac:dyDescent="0.2">
      <c r="A4" s="17" t="s">
        <v>125</v>
      </c>
      <c r="B4" s="17" t="s">
        <v>226</v>
      </c>
      <c r="C4" s="17" t="s">
        <v>46</v>
      </c>
      <c r="D4" s="17" t="s">
        <v>47</v>
      </c>
      <c r="E4" s="17" t="s">
        <v>227</v>
      </c>
      <c r="F4" s="17" t="s">
        <v>228</v>
      </c>
    </row>
    <row r="5" spans="1:6" ht="15" customHeight="1" x14ac:dyDescent="0.2">
      <c r="A5" s="19" t="s">
        <v>229</v>
      </c>
      <c r="B5" s="19" t="s">
        <v>230</v>
      </c>
      <c r="C5" s="18">
        <v>158</v>
      </c>
      <c r="D5" s="18">
        <v>3</v>
      </c>
      <c r="E5" s="20">
        <f>IF(C5=0,0,1-D5/C5)</f>
        <v>0.98101265822784811</v>
      </c>
      <c r="F5" s="19" t="s">
        <v>231</v>
      </c>
    </row>
    <row r="6" spans="1:6" ht="15" customHeight="1" x14ac:dyDescent="0.2">
      <c r="A6" s="19" t="s">
        <v>229</v>
      </c>
      <c r="B6" s="19" t="s">
        <v>232</v>
      </c>
      <c r="C6" s="18">
        <v>188</v>
      </c>
      <c r="D6" s="18">
        <v>0</v>
      </c>
      <c r="E6" s="20">
        <f>IF(C6=0,0,1-D6/C6)</f>
        <v>1</v>
      </c>
      <c r="F6" s="19" t="s">
        <v>233</v>
      </c>
    </row>
    <row r="7" spans="1:6" ht="15" customHeight="1" x14ac:dyDescent="0.2">
      <c r="A7" s="19" t="s">
        <v>234</v>
      </c>
      <c r="B7" s="19" t="s">
        <v>235</v>
      </c>
      <c r="C7" s="18">
        <v>142</v>
      </c>
      <c r="D7" s="18">
        <v>1</v>
      </c>
      <c r="E7" s="20">
        <f>IF(C7=0,0,1-D7/C7)</f>
        <v>0.99295774647887325</v>
      </c>
      <c r="F7" s="19" t="s">
        <v>236</v>
      </c>
    </row>
    <row r="8" spans="1:6" ht="15" customHeight="1" x14ac:dyDescent="0.2">
      <c r="A8" s="19" t="s">
        <v>234</v>
      </c>
      <c r="B8" s="19" t="s">
        <v>237</v>
      </c>
      <c r="C8" s="18">
        <v>30</v>
      </c>
      <c r="D8" s="18">
        <v>0</v>
      </c>
      <c r="E8" s="20">
        <f>IF(C8=0,0,1-D8/C8)</f>
        <v>1</v>
      </c>
      <c r="F8" s="19" t="s">
        <v>238</v>
      </c>
    </row>
    <row r="9" spans="1:6" ht="15" customHeight="1" x14ac:dyDescent="0.2">
      <c r="A9" s="19" t="s">
        <v>239</v>
      </c>
      <c r="B9" s="19" t="s">
        <v>240</v>
      </c>
      <c r="C9" s="18">
        <v>5</v>
      </c>
      <c r="D9" s="18">
        <v>0</v>
      </c>
      <c r="E9" s="20">
        <f>IF(C9=0,0,1-D9/C9)</f>
        <v>1</v>
      </c>
      <c r="F9" s="19" t="s">
        <v>241</v>
      </c>
    </row>
    <row r="10" spans="1:6" ht="15" customHeight="1" x14ac:dyDescent="0.2">
      <c r="A10" s="19" t="s">
        <v>242</v>
      </c>
      <c r="B10" s="19" t="s">
        <v>243</v>
      </c>
      <c r="C10" s="18">
        <v>984</v>
      </c>
      <c r="D10" s="18">
        <v>1934</v>
      </c>
      <c r="E10" s="21">
        <f>IF(C10=0,0,D10/C10)</f>
        <v>1.9654471544715446</v>
      </c>
      <c r="F10" s="19" t="s">
        <v>244</v>
      </c>
    </row>
    <row r="11" spans="1:6" ht="15" customHeight="1" x14ac:dyDescent="0.2">
      <c r="A11" s="19" t="s">
        <v>245</v>
      </c>
      <c r="B11" s="19" t="s">
        <v>246</v>
      </c>
      <c r="C11" s="18">
        <v>2</v>
      </c>
      <c r="D11" s="18">
        <v>0</v>
      </c>
      <c r="E11" s="20">
        <f>IF(C11=0,0,1-D11/C11)</f>
        <v>1</v>
      </c>
      <c r="F11" s="19" t="s">
        <v>113</v>
      </c>
    </row>
    <row r="12" spans="1:6" ht="15" customHeight="1" x14ac:dyDescent="0.2">
      <c r="A12" s="19" t="s">
        <v>247</v>
      </c>
      <c r="B12" s="19" t="s">
        <v>248</v>
      </c>
      <c r="C12" s="18">
        <v>112</v>
      </c>
      <c r="D12" s="18">
        <v>0</v>
      </c>
      <c r="E12" s="20">
        <f>IF(C12=0,0,1-D12/C12)</f>
        <v>1</v>
      </c>
      <c r="F12" s="19" t="s">
        <v>249</v>
      </c>
    </row>
    <row r="13" spans="1:6" ht="15" customHeight="1" x14ac:dyDescent="0.2">
      <c r="A13" s="19" t="s">
        <v>250</v>
      </c>
      <c r="B13" s="19" t="s">
        <v>251</v>
      </c>
      <c r="C13" s="18">
        <v>569</v>
      </c>
      <c r="D13" s="18">
        <v>0</v>
      </c>
      <c r="E13" s="20">
        <f>IF(C13=0,0,1-D13/C13)</f>
        <v>1</v>
      </c>
      <c r="F13" s="19" t="s">
        <v>252</v>
      </c>
    </row>
    <row r="14" spans="1:6" ht="15" customHeight="1" x14ac:dyDescent="0.2">
      <c r="A14" s="19" t="s">
        <v>253</v>
      </c>
      <c r="B14" s="19" t="s">
        <v>254</v>
      </c>
      <c r="C14" s="18">
        <v>1</v>
      </c>
      <c r="D14" s="18">
        <v>0</v>
      </c>
      <c r="E14" s="20">
        <f>IF(C14=0,0,1-D14/C14)</f>
        <v>1</v>
      </c>
      <c r="F14" s="19" t="s">
        <v>170</v>
      </c>
    </row>
    <row r="15" spans="1:6" ht="23.25" customHeight="1" x14ac:dyDescent="0.2">
      <c r="A15" s="19" t="s">
        <v>255</v>
      </c>
      <c r="B15" s="19" t="s">
        <v>256</v>
      </c>
      <c r="C15" s="18">
        <v>3</v>
      </c>
      <c r="D15" s="18">
        <v>0</v>
      </c>
      <c r="E15" s="20">
        <f>IF(C15=0,0,1-D15/C15)</f>
        <v>1</v>
      </c>
      <c r="F15" s="19" t="s">
        <v>257</v>
      </c>
    </row>
    <row r="16" spans="1:6" ht="15" customHeight="1" x14ac:dyDescent="0.2">
      <c r="A16" s="19" t="s">
        <v>258</v>
      </c>
      <c r="B16" s="19" t="s">
        <v>259</v>
      </c>
      <c r="C16" s="18">
        <v>1</v>
      </c>
      <c r="D16" s="18">
        <v>2</v>
      </c>
      <c r="E16" s="21">
        <f>IF(C16=0,0,D16/C16)</f>
        <v>2</v>
      </c>
      <c r="F16" s="19" t="s">
        <v>260</v>
      </c>
    </row>
    <row r="17" spans="1:6" ht="15" customHeight="1" x14ac:dyDescent="0.2">
      <c r="A17" s="19" t="s">
        <v>261</v>
      </c>
      <c r="B17" s="19" t="s">
        <v>262</v>
      </c>
      <c r="C17" s="22">
        <f>'Memory &amp; Timing'!B12</f>
        <v>596</v>
      </c>
      <c r="D17" s="22">
        <f>'Memory &amp; Timing'!C12</f>
        <v>1565</v>
      </c>
      <c r="E17" s="21">
        <f>IF(C17=0,0,D17/C17)</f>
        <v>2.6258389261744965</v>
      </c>
      <c r="F17" s="19" t="s">
        <v>263</v>
      </c>
    </row>
    <row r="18" spans="1:6" ht="23.25" customHeight="1" x14ac:dyDescent="0.2">
      <c r="A18" s="19" t="s">
        <v>264</v>
      </c>
      <c r="B18" s="19" t="s">
        <v>265</v>
      </c>
      <c r="C18" s="18">
        <v>573</v>
      </c>
      <c r="D18" s="18">
        <v>560</v>
      </c>
      <c r="E18" s="18" t="s">
        <v>266</v>
      </c>
      <c r="F18" s="19" t="s">
        <v>267</v>
      </c>
    </row>
    <row r="19" spans="1:6" ht="23.25" customHeight="1" x14ac:dyDescent="0.2">
      <c r="A19" s="19" t="s">
        <v>268</v>
      </c>
      <c r="B19" s="19" t="s">
        <v>269</v>
      </c>
      <c r="C19" s="18" t="s">
        <v>270</v>
      </c>
      <c r="D19" s="18">
        <v>2029</v>
      </c>
      <c r="E19" s="18" t="s">
        <v>271</v>
      </c>
      <c r="F19" s="19" t="s">
        <v>272</v>
      </c>
    </row>
    <row r="20" spans="1:6" ht="28" x14ac:dyDescent="0.2">
      <c r="A20" s="19" t="s">
        <v>273</v>
      </c>
      <c r="B20" s="19" t="s">
        <v>274</v>
      </c>
      <c r="C20" s="18">
        <v>2</v>
      </c>
      <c r="D20" s="18">
        <v>0</v>
      </c>
      <c r="E20" s="20">
        <f>IF(C20=0,0,1-D20/C20)</f>
        <v>1</v>
      </c>
      <c r="F20" s="19" t="s">
        <v>275</v>
      </c>
    </row>
    <row r="21" spans="1:6" ht="15" customHeight="1" x14ac:dyDescent="0.2">
      <c r="A21" s="6" t="s">
        <v>276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05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8" customWidth="1"/>
    <col min="2" max="2" width="13" customWidth="1"/>
    <col min="3" max="3" width="34" customWidth="1"/>
    <col min="4" max="4" width="40" customWidth="1"/>
    <col min="5" max="5" width="30" customWidth="1"/>
    <col min="6" max="6" width="34" customWidth="1"/>
    <col min="7" max="7" width="40" customWidth="1"/>
    <col min="8" max="8" width="14" customWidth="1"/>
    <col min="9" max="9" width="20" customWidth="1"/>
  </cols>
  <sheetData>
    <row r="1" spans="1:9" ht="17.25" customHeight="1" x14ac:dyDescent="0.2">
      <c r="A1" s="5" t="s">
        <v>277</v>
      </c>
    </row>
    <row r="2" spans="1:9" ht="15" customHeight="1" x14ac:dyDescent="0.2">
      <c r="A2" s="6" t="s">
        <v>278</v>
      </c>
    </row>
    <row r="4" spans="1:9" ht="15" customHeight="1" x14ac:dyDescent="0.2">
      <c r="A4" s="17" t="s">
        <v>100</v>
      </c>
      <c r="B4" s="17" t="s">
        <v>279</v>
      </c>
      <c r="C4" s="17" t="s">
        <v>280</v>
      </c>
      <c r="D4" s="17" t="s">
        <v>281</v>
      </c>
      <c r="E4" s="17" t="s">
        <v>282</v>
      </c>
      <c r="F4" s="17" t="s">
        <v>283</v>
      </c>
      <c r="G4" s="17" t="s">
        <v>284</v>
      </c>
      <c r="H4" s="17" t="s">
        <v>285</v>
      </c>
      <c r="I4" s="17" t="s">
        <v>96</v>
      </c>
    </row>
    <row r="5" spans="1:9" ht="23.25" customHeight="1" x14ac:dyDescent="0.2">
      <c r="A5" s="18" t="s">
        <v>286</v>
      </c>
      <c r="B5" s="19" t="s">
        <v>287</v>
      </c>
      <c r="C5" s="19" t="s">
        <v>288</v>
      </c>
      <c r="D5" s="19" t="s">
        <v>289</v>
      </c>
      <c r="E5" s="19" t="s">
        <v>290</v>
      </c>
      <c r="F5" s="19" t="s">
        <v>291</v>
      </c>
      <c r="G5" s="19" t="s">
        <v>292</v>
      </c>
      <c r="H5" s="23" t="s">
        <v>293</v>
      </c>
      <c r="I5" s="19" t="s">
        <v>294</v>
      </c>
    </row>
    <row r="6" spans="1:9" ht="23.25" customHeight="1" x14ac:dyDescent="0.2">
      <c r="A6" s="18" t="s">
        <v>295</v>
      </c>
      <c r="B6" s="19" t="s">
        <v>287</v>
      </c>
      <c r="C6" s="19" t="s">
        <v>296</v>
      </c>
      <c r="D6" s="19" t="s">
        <v>297</v>
      </c>
      <c r="E6" s="19" t="s">
        <v>290</v>
      </c>
      <c r="F6" s="19" t="s">
        <v>298</v>
      </c>
      <c r="G6" s="19" t="s">
        <v>299</v>
      </c>
      <c r="H6" s="23" t="s">
        <v>293</v>
      </c>
      <c r="I6" s="19" t="s">
        <v>294</v>
      </c>
    </row>
    <row r="7" spans="1:9" ht="15" customHeight="1" x14ac:dyDescent="0.2">
      <c r="A7" s="18" t="s">
        <v>300</v>
      </c>
      <c r="B7" s="19" t="s">
        <v>287</v>
      </c>
      <c r="C7" s="19" t="s">
        <v>301</v>
      </c>
      <c r="D7" s="19" t="s">
        <v>302</v>
      </c>
      <c r="E7" s="19" t="s">
        <v>303</v>
      </c>
      <c r="F7" s="19" t="s">
        <v>155</v>
      </c>
      <c r="G7" s="19" t="s">
        <v>303</v>
      </c>
      <c r="H7" s="23" t="s">
        <v>293</v>
      </c>
      <c r="I7" s="19" t="s">
        <v>304</v>
      </c>
    </row>
    <row r="8" spans="1:9" ht="23.25" customHeight="1" x14ac:dyDescent="0.2">
      <c r="A8" s="18" t="s">
        <v>305</v>
      </c>
      <c r="B8" s="19" t="s">
        <v>287</v>
      </c>
      <c r="C8" s="19" t="s">
        <v>306</v>
      </c>
      <c r="D8" s="19" t="s">
        <v>307</v>
      </c>
      <c r="E8" s="19" t="s">
        <v>308</v>
      </c>
      <c r="F8" s="19" t="s">
        <v>309</v>
      </c>
      <c r="G8" s="19" t="s">
        <v>308</v>
      </c>
      <c r="H8" s="23" t="s">
        <v>293</v>
      </c>
      <c r="I8" s="19" t="s">
        <v>294</v>
      </c>
    </row>
    <row r="9" spans="1:9" ht="23.25" customHeight="1" x14ac:dyDescent="0.2">
      <c r="A9" s="18" t="s">
        <v>310</v>
      </c>
      <c r="B9" s="19" t="s">
        <v>190</v>
      </c>
      <c r="C9" s="19" t="s">
        <v>311</v>
      </c>
      <c r="D9" s="19" t="s">
        <v>312</v>
      </c>
      <c r="E9" s="19" t="s">
        <v>313</v>
      </c>
      <c r="F9" s="19" t="s">
        <v>314</v>
      </c>
      <c r="G9" s="19" t="s">
        <v>315</v>
      </c>
      <c r="H9" s="23" t="s">
        <v>293</v>
      </c>
      <c r="I9" s="19" t="s">
        <v>316</v>
      </c>
    </row>
    <row r="10" spans="1:9" ht="15" customHeight="1" x14ac:dyDescent="0.2">
      <c r="A10" s="18" t="s">
        <v>317</v>
      </c>
      <c r="B10" s="19" t="s">
        <v>190</v>
      </c>
      <c r="C10" s="19" t="s">
        <v>318</v>
      </c>
      <c r="D10" s="19" t="s">
        <v>319</v>
      </c>
      <c r="E10" s="19" t="s">
        <v>320</v>
      </c>
      <c r="F10" s="19" t="s">
        <v>321</v>
      </c>
      <c r="G10" s="19" t="s">
        <v>321</v>
      </c>
      <c r="H10" s="23" t="s">
        <v>293</v>
      </c>
      <c r="I10" s="19" t="s">
        <v>316</v>
      </c>
    </row>
    <row r="11" spans="1:9" ht="15" customHeight="1" x14ac:dyDescent="0.2">
      <c r="A11" s="18" t="s">
        <v>322</v>
      </c>
      <c r="B11" s="19" t="s">
        <v>190</v>
      </c>
      <c r="C11" s="19" t="s">
        <v>323</v>
      </c>
      <c r="D11" s="19" t="s">
        <v>324</v>
      </c>
      <c r="E11" s="19" t="s">
        <v>325</v>
      </c>
      <c r="F11" s="19" t="s">
        <v>326</v>
      </c>
      <c r="G11" s="19" t="s">
        <v>325</v>
      </c>
      <c r="H11" s="23" t="s">
        <v>293</v>
      </c>
      <c r="I11" s="19" t="s">
        <v>316</v>
      </c>
    </row>
    <row r="12" spans="1:9" ht="15" customHeight="1" x14ac:dyDescent="0.2">
      <c r="A12" s="18" t="s">
        <v>327</v>
      </c>
      <c r="B12" s="19" t="s">
        <v>190</v>
      </c>
      <c r="C12" s="19" t="s">
        <v>328</v>
      </c>
      <c r="D12" s="19" t="s">
        <v>329</v>
      </c>
      <c r="E12" s="19" t="s">
        <v>330</v>
      </c>
      <c r="F12" s="19" t="s">
        <v>331</v>
      </c>
      <c r="G12" s="19" t="s">
        <v>332</v>
      </c>
      <c r="H12" s="23" t="s">
        <v>293</v>
      </c>
      <c r="I12" s="19" t="s">
        <v>316</v>
      </c>
    </row>
    <row r="13" spans="1:9" ht="15" customHeight="1" x14ac:dyDescent="0.2">
      <c r="A13" s="18" t="s">
        <v>333</v>
      </c>
      <c r="B13" s="19" t="s">
        <v>190</v>
      </c>
      <c r="C13" s="19" t="s">
        <v>334</v>
      </c>
      <c r="D13" s="19" t="s">
        <v>335</v>
      </c>
      <c r="E13" s="19" t="s">
        <v>336</v>
      </c>
      <c r="F13" s="19" t="s">
        <v>337</v>
      </c>
      <c r="G13" s="19" t="s">
        <v>338</v>
      </c>
      <c r="H13" s="23" t="s">
        <v>293</v>
      </c>
      <c r="I13" s="19" t="s">
        <v>316</v>
      </c>
    </row>
    <row r="14" spans="1:9" ht="15" customHeight="1" x14ac:dyDescent="0.2">
      <c r="A14" s="18" t="s">
        <v>339</v>
      </c>
      <c r="B14" s="19" t="s">
        <v>190</v>
      </c>
      <c r="C14" s="19" t="s">
        <v>340</v>
      </c>
      <c r="D14" s="19" t="s">
        <v>329</v>
      </c>
      <c r="E14" s="19" t="s">
        <v>341</v>
      </c>
      <c r="F14" s="19" t="s">
        <v>342</v>
      </c>
      <c r="G14" s="19" t="s">
        <v>341</v>
      </c>
      <c r="H14" s="23" t="s">
        <v>293</v>
      </c>
      <c r="I14" s="19" t="s">
        <v>316</v>
      </c>
    </row>
    <row r="15" spans="1:9" ht="23.25" customHeight="1" x14ac:dyDescent="0.2">
      <c r="A15" s="18" t="s">
        <v>197</v>
      </c>
      <c r="B15" s="19" t="s">
        <v>190</v>
      </c>
      <c r="C15" s="19" t="s">
        <v>343</v>
      </c>
      <c r="D15" s="19" t="s">
        <v>344</v>
      </c>
      <c r="E15" s="19" t="s">
        <v>345</v>
      </c>
      <c r="F15" s="19" t="s">
        <v>346</v>
      </c>
      <c r="G15" s="19" t="s">
        <v>347</v>
      </c>
      <c r="H15" s="23" t="s">
        <v>293</v>
      </c>
      <c r="I15" s="19" t="s">
        <v>348</v>
      </c>
    </row>
    <row r="16" spans="1:9" ht="15" customHeight="1" x14ac:dyDescent="0.2">
      <c r="A16" s="18" t="s">
        <v>217</v>
      </c>
      <c r="B16" s="19" t="s">
        <v>190</v>
      </c>
      <c r="C16" s="19" t="s">
        <v>349</v>
      </c>
      <c r="D16" s="19" t="s">
        <v>350</v>
      </c>
      <c r="E16" s="19" t="s">
        <v>351</v>
      </c>
      <c r="F16" s="19" t="s">
        <v>352</v>
      </c>
      <c r="G16" s="19" t="s">
        <v>352</v>
      </c>
      <c r="H16" s="23" t="s">
        <v>293</v>
      </c>
      <c r="I16" s="19" t="s">
        <v>316</v>
      </c>
    </row>
    <row r="17" spans="1:9" ht="15" customHeight="1" x14ac:dyDescent="0.2">
      <c r="A17" s="18" t="s">
        <v>353</v>
      </c>
      <c r="B17" s="19" t="s">
        <v>190</v>
      </c>
      <c r="C17" s="19" t="s">
        <v>354</v>
      </c>
      <c r="D17" s="19" t="s">
        <v>355</v>
      </c>
      <c r="E17" s="19" t="s">
        <v>356</v>
      </c>
      <c r="F17" s="19" t="s">
        <v>357</v>
      </c>
      <c r="G17" s="19" t="s">
        <v>358</v>
      </c>
      <c r="H17" s="23" t="s">
        <v>293</v>
      </c>
      <c r="I17" s="19" t="s">
        <v>316</v>
      </c>
    </row>
    <row r="18" spans="1:9" ht="15" customHeight="1" x14ac:dyDescent="0.2">
      <c r="A18" s="18" t="s">
        <v>359</v>
      </c>
      <c r="B18" s="19" t="s">
        <v>130</v>
      </c>
      <c r="C18" s="19" t="s">
        <v>360</v>
      </c>
      <c r="D18" s="19" t="s">
        <v>361</v>
      </c>
      <c r="E18" s="19" t="s">
        <v>362</v>
      </c>
      <c r="F18" s="19" t="s">
        <v>363</v>
      </c>
      <c r="G18" s="19" t="s">
        <v>364</v>
      </c>
      <c r="H18" s="23" t="s">
        <v>293</v>
      </c>
      <c r="I18" s="19" t="s">
        <v>316</v>
      </c>
    </row>
    <row r="19" spans="1:9" ht="15" customHeight="1" x14ac:dyDescent="0.2">
      <c r="A19" s="18" t="s">
        <v>365</v>
      </c>
      <c r="B19" s="19" t="s">
        <v>130</v>
      </c>
      <c r="C19" s="19" t="s">
        <v>366</v>
      </c>
      <c r="D19" s="19" t="s">
        <v>367</v>
      </c>
      <c r="E19" s="19" t="s">
        <v>368</v>
      </c>
      <c r="F19" s="19" t="s">
        <v>369</v>
      </c>
      <c r="G19" s="19" t="s">
        <v>369</v>
      </c>
      <c r="H19" s="23" t="s">
        <v>293</v>
      </c>
      <c r="I19" s="19" t="s">
        <v>316</v>
      </c>
    </row>
    <row r="20" spans="1:9" ht="15" customHeight="1" x14ac:dyDescent="0.2">
      <c r="A20" s="18" t="s">
        <v>370</v>
      </c>
      <c r="B20" s="19" t="s">
        <v>130</v>
      </c>
      <c r="C20" s="19" t="s">
        <v>371</v>
      </c>
      <c r="D20" s="19" t="s">
        <v>372</v>
      </c>
      <c r="E20" s="19" t="s">
        <v>373</v>
      </c>
      <c r="F20" s="19" t="s">
        <v>374</v>
      </c>
      <c r="G20" s="19" t="s">
        <v>373</v>
      </c>
      <c r="H20" s="23" t="s">
        <v>293</v>
      </c>
      <c r="I20" s="19" t="s">
        <v>316</v>
      </c>
    </row>
    <row r="21" spans="1:9" ht="23.25" customHeight="1" x14ac:dyDescent="0.2">
      <c r="A21" s="18" t="s">
        <v>148</v>
      </c>
      <c r="B21" s="19" t="s">
        <v>130</v>
      </c>
      <c r="C21" s="19" t="s">
        <v>375</v>
      </c>
      <c r="D21" s="19" t="s">
        <v>376</v>
      </c>
      <c r="E21" s="19" t="s">
        <v>377</v>
      </c>
      <c r="F21" s="19" t="s">
        <v>155</v>
      </c>
      <c r="G21" s="19" t="s">
        <v>378</v>
      </c>
      <c r="H21" s="23" t="s">
        <v>293</v>
      </c>
      <c r="I21" s="19" t="s">
        <v>316</v>
      </c>
    </row>
    <row r="22" spans="1:9" ht="23.25" customHeight="1" x14ac:dyDescent="0.2">
      <c r="A22" s="18" t="s">
        <v>379</v>
      </c>
      <c r="B22" s="19" t="s">
        <v>130</v>
      </c>
      <c r="C22" s="19" t="s">
        <v>380</v>
      </c>
      <c r="D22" s="19" t="s">
        <v>381</v>
      </c>
      <c r="E22" s="19" t="s">
        <v>382</v>
      </c>
      <c r="F22" s="19" t="s">
        <v>383</v>
      </c>
      <c r="G22" s="19" t="s">
        <v>383</v>
      </c>
      <c r="H22" s="23" t="s">
        <v>293</v>
      </c>
      <c r="I22" s="19" t="s">
        <v>384</v>
      </c>
    </row>
    <row r="23" spans="1:9" ht="23.25" customHeight="1" x14ac:dyDescent="0.2">
      <c r="A23" s="18" t="s">
        <v>385</v>
      </c>
      <c r="B23" s="19" t="s">
        <v>130</v>
      </c>
      <c r="C23" s="19" t="s">
        <v>386</v>
      </c>
      <c r="D23" s="19" t="s">
        <v>387</v>
      </c>
      <c r="E23" s="19" t="s">
        <v>382</v>
      </c>
      <c r="F23" s="19" t="s">
        <v>388</v>
      </c>
      <c r="G23" s="19" t="s">
        <v>389</v>
      </c>
      <c r="H23" s="23" t="s">
        <v>293</v>
      </c>
      <c r="I23" s="19" t="s">
        <v>384</v>
      </c>
    </row>
    <row r="24" spans="1:9" ht="34.5" customHeight="1" x14ac:dyDescent="0.2">
      <c r="A24" s="18" t="s">
        <v>241</v>
      </c>
      <c r="B24" s="19" t="s">
        <v>130</v>
      </c>
      <c r="C24" s="19" t="s">
        <v>390</v>
      </c>
      <c r="D24" s="19" t="s">
        <v>391</v>
      </c>
      <c r="E24" s="19" t="s">
        <v>392</v>
      </c>
      <c r="F24" s="19" t="s">
        <v>393</v>
      </c>
      <c r="G24" s="19" t="s">
        <v>394</v>
      </c>
      <c r="H24" s="23" t="s">
        <v>293</v>
      </c>
      <c r="I24" s="19" t="s">
        <v>316</v>
      </c>
    </row>
    <row r="25" spans="1:9" ht="23.25" customHeight="1" x14ac:dyDescent="0.2">
      <c r="A25" s="18" t="s">
        <v>395</v>
      </c>
      <c r="B25" s="19" t="s">
        <v>130</v>
      </c>
      <c r="C25" s="19" t="s">
        <v>396</v>
      </c>
      <c r="D25" s="19" t="s">
        <v>397</v>
      </c>
      <c r="E25" s="19" t="s">
        <v>398</v>
      </c>
      <c r="F25" s="19" t="s">
        <v>155</v>
      </c>
      <c r="G25" s="19" t="s">
        <v>399</v>
      </c>
      <c r="H25" s="23" t="s">
        <v>293</v>
      </c>
      <c r="I25" s="19" t="s">
        <v>316</v>
      </c>
    </row>
    <row r="26" spans="1:9" ht="23.25" customHeight="1" x14ac:dyDescent="0.2">
      <c r="A26" s="18" t="s">
        <v>400</v>
      </c>
      <c r="B26" s="19" t="s">
        <v>130</v>
      </c>
      <c r="C26" s="19" t="s">
        <v>401</v>
      </c>
      <c r="D26" s="19" t="s">
        <v>402</v>
      </c>
      <c r="E26" s="19" t="s">
        <v>403</v>
      </c>
      <c r="F26" s="19" t="s">
        <v>155</v>
      </c>
      <c r="G26" s="19" t="s">
        <v>404</v>
      </c>
      <c r="H26" s="23" t="s">
        <v>293</v>
      </c>
      <c r="I26" s="19" t="s">
        <v>316</v>
      </c>
    </row>
    <row r="27" spans="1:9" ht="23.25" customHeight="1" x14ac:dyDescent="0.2">
      <c r="A27" s="18" t="s">
        <v>405</v>
      </c>
      <c r="B27" s="19" t="s">
        <v>124</v>
      </c>
      <c r="C27" s="19" t="s">
        <v>406</v>
      </c>
      <c r="D27" s="19" t="s">
        <v>407</v>
      </c>
      <c r="E27" s="19" t="s">
        <v>408</v>
      </c>
      <c r="F27" s="19" t="s">
        <v>409</v>
      </c>
      <c r="G27" s="19" t="s">
        <v>410</v>
      </c>
      <c r="H27" s="23" t="s">
        <v>293</v>
      </c>
      <c r="I27" s="19" t="s">
        <v>316</v>
      </c>
    </row>
    <row r="28" spans="1:9" ht="15" customHeight="1" x14ac:dyDescent="0.2">
      <c r="A28" s="18" t="s">
        <v>128</v>
      </c>
      <c r="B28" s="19" t="s">
        <v>124</v>
      </c>
      <c r="C28" s="19" t="s">
        <v>411</v>
      </c>
      <c r="D28" s="19" t="s">
        <v>412</v>
      </c>
      <c r="E28" s="19" t="s">
        <v>413</v>
      </c>
      <c r="F28" s="19" t="s">
        <v>414</v>
      </c>
      <c r="G28" s="19" t="s">
        <v>415</v>
      </c>
      <c r="H28" s="23" t="s">
        <v>293</v>
      </c>
      <c r="I28" s="19" t="s">
        <v>316</v>
      </c>
    </row>
    <row r="29" spans="1:9" ht="23.25" customHeight="1" x14ac:dyDescent="0.2">
      <c r="A29" s="18" t="s">
        <v>416</v>
      </c>
      <c r="B29" s="19" t="s">
        <v>124</v>
      </c>
      <c r="C29" s="19" t="s">
        <v>417</v>
      </c>
      <c r="D29" s="19" t="s">
        <v>418</v>
      </c>
      <c r="E29" s="19" t="s">
        <v>419</v>
      </c>
      <c r="F29" s="19" t="s">
        <v>420</v>
      </c>
      <c r="G29" s="19" t="s">
        <v>421</v>
      </c>
      <c r="H29" s="23" t="s">
        <v>293</v>
      </c>
      <c r="I29" s="19" t="s">
        <v>422</v>
      </c>
    </row>
    <row r="30" spans="1:9" ht="15" customHeight="1" x14ac:dyDescent="0.2">
      <c r="A30" s="18" t="s">
        <v>423</v>
      </c>
      <c r="B30" s="19" t="s">
        <v>124</v>
      </c>
      <c r="C30" s="19" t="s">
        <v>424</v>
      </c>
      <c r="D30" s="19" t="s">
        <v>425</v>
      </c>
      <c r="E30" s="19" t="s">
        <v>426</v>
      </c>
      <c r="F30" s="19" t="s">
        <v>427</v>
      </c>
      <c r="G30" s="19" t="s">
        <v>428</v>
      </c>
      <c r="H30" s="23" t="s">
        <v>293</v>
      </c>
      <c r="I30" s="19" t="s">
        <v>316</v>
      </c>
    </row>
    <row r="31" spans="1:9" ht="34.5" customHeight="1" x14ac:dyDescent="0.2">
      <c r="A31" s="18" t="s">
        <v>429</v>
      </c>
      <c r="B31" s="19" t="s">
        <v>124</v>
      </c>
      <c r="C31" s="19" t="s">
        <v>430</v>
      </c>
      <c r="D31" s="19" t="s">
        <v>431</v>
      </c>
      <c r="E31" s="19" t="s">
        <v>432</v>
      </c>
      <c r="F31" s="19" t="s">
        <v>433</v>
      </c>
      <c r="G31" s="19" t="s">
        <v>434</v>
      </c>
      <c r="H31" s="23" t="s">
        <v>293</v>
      </c>
      <c r="I31" s="19" t="s">
        <v>316</v>
      </c>
    </row>
    <row r="32" spans="1:9" ht="23.25" customHeight="1" x14ac:dyDescent="0.2">
      <c r="A32" s="18" t="s">
        <v>435</v>
      </c>
      <c r="B32" s="19" t="s">
        <v>124</v>
      </c>
      <c r="C32" s="19" t="s">
        <v>436</v>
      </c>
      <c r="D32" s="19" t="s">
        <v>437</v>
      </c>
      <c r="E32" s="19" t="s">
        <v>438</v>
      </c>
      <c r="F32" s="19" t="s">
        <v>439</v>
      </c>
      <c r="G32" s="19" t="s">
        <v>440</v>
      </c>
      <c r="H32" s="23" t="s">
        <v>293</v>
      </c>
      <c r="I32" s="19" t="s">
        <v>316</v>
      </c>
    </row>
    <row r="33" spans="1:9" ht="15" customHeight="1" x14ac:dyDescent="0.2">
      <c r="A33" s="18" t="s">
        <v>231</v>
      </c>
      <c r="B33" s="19" t="s">
        <v>124</v>
      </c>
      <c r="C33" s="19" t="s">
        <v>441</v>
      </c>
      <c r="D33" s="19" t="s">
        <v>442</v>
      </c>
      <c r="E33" s="19" t="s">
        <v>443</v>
      </c>
      <c r="F33" s="19" t="s">
        <v>444</v>
      </c>
      <c r="G33" s="19" t="s">
        <v>445</v>
      </c>
      <c r="H33" s="23" t="s">
        <v>293</v>
      </c>
      <c r="I33" s="19" t="s">
        <v>316</v>
      </c>
    </row>
    <row r="34" spans="1:9" ht="15" customHeight="1" x14ac:dyDescent="0.2">
      <c r="A34" s="18" t="s">
        <v>233</v>
      </c>
      <c r="B34" s="19" t="s">
        <v>124</v>
      </c>
      <c r="C34" s="19" t="s">
        <v>446</v>
      </c>
      <c r="D34" s="19" t="s">
        <v>447</v>
      </c>
      <c r="E34" s="19" t="s">
        <v>448</v>
      </c>
      <c r="F34" s="19" t="s">
        <v>449</v>
      </c>
      <c r="G34" s="19" t="s">
        <v>450</v>
      </c>
      <c r="H34" s="23" t="s">
        <v>293</v>
      </c>
      <c r="I34" s="19" t="s">
        <v>316</v>
      </c>
    </row>
    <row r="35" spans="1:9" ht="34.5" customHeight="1" x14ac:dyDescent="0.2">
      <c r="A35" s="18" t="s">
        <v>451</v>
      </c>
      <c r="B35" s="19" t="s">
        <v>124</v>
      </c>
      <c r="C35" s="19" t="s">
        <v>452</v>
      </c>
      <c r="D35" s="19" t="s">
        <v>453</v>
      </c>
      <c r="E35" s="19" t="s">
        <v>454</v>
      </c>
      <c r="F35" s="19" t="s">
        <v>155</v>
      </c>
      <c r="G35" s="19" t="s">
        <v>455</v>
      </c>
      <c r="H35" s="23" t="s">
        <v>293</v>
      </c>
      <c r="I35" s="19" t="s">
        <v>422</v>
      </c>
    </row>
    <row r="36" spans="1:9" ht="15" customHeight="1" x14ac:dyDescent="0.2">
      <c r="A36" s="18" t="s">
        <v>456</v>
      </c>
      <c r="B36" s="19" t="s">
        <v>124</v>
      </c>
      <c r="C36" s="19" t="s">
        <v>457</v>
      </c>
      <c r="D36" s="19" t="s">
        <v>458</v>
      </c>
      <c r="E36" s="19" t="s">
        <v>459</v>
      </c>
      <c r="F36" s="19" t="s">
        <v>460</v>
      </c>
      <c r="G36" s="19" t="s">
        <v>460</v>
      </c>
      <c r="H36" s="23" t="s">
        <v>293</v>
      </c>
      <c r="I36" s="19" t="s">
        <v>316</v>
      </c>
    </row>
    <row r="37" spans="1:9" ht="23.25" customHeight="1" x14ac:dyDescent="0.2">
      <c r="A37" s="18" t="s">
        <v>461</v>
      </c>
      <c r="B37" s="19" t="s">
        <v>108</v>
      </c>
      <c r="C37" s="19" t="s">
        <v>462</v>
      </c>
      <c r="D37" s="19" t="s">
        <v>463</v>
      </c>
      <c r="E37" s="19" t="s">
        <v>464</v>
      </c>
      <c r="F37" s="19" t="s">
        <v>409</v>
      </c>
      <c r="G37" s="19" t="s">
        <v>465</v>
      </c>
      <c r="H37" s="23" t="s">
        <v>293</v>
      </c>
      <c r="I37" s="19" t="s">
        <v>316</v>
      </c>
    </row>
    <row r="38" spans="1:9" ht="15" customHeight="1" x14ac:dyDescent="0.2">
      <c r="A38" s="18" t="s">
        <v>466</v>
      </c>
      <c r="B38" s="19" t="s">
        <v>108</v>
      </c>
      <c r="C38" s="19" t="s">
        <v>467</v>
      </c>
      <c r="D38" s="19" t="s">
        <v>468</v>
      </c>
      <c r="E38" s="19" t="s">
        <v>469</v>
      </c>
      <c r="F38" s="19" t="s">
        <v>470</v>
      </c>
      <c r="G38" s="19" t="s">
        <v>471</v>
      </c>
      <c r="H38" s="23" t="s">
        <v>293</v>
      </c>
      <c r="I38" s="19" t="s">
        <v>422</v>
      </c>
    </row>
    <row r="39" spans="1:9" ht="15" customHeight="1" x14ac:dyDescent="0.2">
      <c r="A39" s="18" t="s">
        <v>113</v>
      </c>
      <c r="B39" s="19" t="s">
        <v>108</v>
      </c>
      <c r="C39" s="19" t="s">
        <v>472</v>
      </c>
      <c r="D39" s="19" t="s">
        <v>473</v>
      </c>
      <c r="E39" s="19" t="s">
        <v>474</v>
      </c>
      <c r="F39" s="19" t="s">
        <v>475</v>
      </c>
      <c r="G39" s="19" t="s">
        <v>474</v>
      </c>
      <c r="H39" s="23" t="s">
        <v>293</v>
      </c>
      <c r="I39" s="19" t="s">
        <v>316</v>
      </c>
    </row>
    <row r="40" spans="1:9" ht="15" customHeight="1" x14ac:dyDescent="0.2">
      <c r="A40" s="18" t="s">
        <v>249</v>
      </c>
      <c r="B40" s="19" t="s">
        <v>108</v>
      </c>
      <c r="C40" s="19" t="s">
        <v>476</v>
      </c>
      <c r="D40" s="19" t="s">
        <v>477</v>
      </c>
      <c r="E40" s="19" t="s">
        <v>413</v>
      </c>
      <c r="F40" s="19" t="s">
        <v>478</v>
      </c>
      <c r="G40" s="19" t="s">
        <v>479</v>
      </c>
      <c r="H40" s="23" t="s">
        <v>293</v>
      </c>
      <c r="I40" s="19" t="s">
        <v>316</v>
      </c>
    </row>
    <row r="41" spans="1:9" ht="15" customHeight="1" x14ac:dyDescent="0.2">
      <c r="A41" s="18" t="s">
        <v>480</v>
      </c>
      <c r="B41" s="19" t="s">
        <v>108</v>
      </c>
      <c r="C41" s="19" t="s">
        <v>417</v>
      </c>
      <c r="D41" s="19" t="s">
        <v>481</v>
      </c>
      <c r="E41" s="19" t="s">
        <v>482</v>
      </c>
      <c r="F41" s="19" t="s">
        <v>155</v>
      </c>
      <c r="G41" s="19" t="s">
        <v>483</v>
      </c>
      <c r="H41" s="23" t="s">
        <v>293</v>
      </c>
      <c r="I41" s="19" t="s">
        <v>484</v>
      </c>
    </row>
    <row r="42" spans="1:9" ht="15" customHeight="1" x14ac:dyDescent="0.2">
      <c r="A42" s="18" t="s">
        <v>485</v>
      </c>
      <c r="B42" s="19" t="s">
        <v>108</v>
      </c>
      <c r="C42" s="19" t="s">
        <v>486</v>
      </c>
      <c r="D42" s="19" t="s">
        <v>487</v>
      </c>
      <c r="E42" s="19" t="s">
        <v>488</v>
      </c>
      <c r="F42" s="19" t="s">
        <v>489</v>
      </c>
      <c r="G42" s="19" t="s">
        <v>489</v>
      </c>
      <c r="H42" s="23" t="s">
        <v>293</v>
      </c>
      <c r="I42" s="19" t="s">
        <v>316</v>
      </c>
    </row>
    <row r="43" spans="1:9" ht="23.25" customHeight="1" x14ac:dyDescent="0.2">
      <c r="A43" s="18" t="s">
        <v>236</v>
      </c>
      <c r="B43" s="19" t="s">
        <v>108</v>
      </c>
      <c r="C43" s="19" t="s">
        <v>490</v>
      </c>
      <c r="D43" s="19" t="s">
        <v>491</v>
      </c>
      <c r="E43" s="19" t="s">
        <v>443</v>
      </c>
      <c r="F43" s="19" t="s">
        <v>492</v>
      </c>
      <c r="G43" s="19" t="s">
        <v>493</v>
      </c>
      <c r="H43" s="23" t="s">
        <v>293</v>
      </c>
      <c r="I43" s="19" t="s">
        <v>316</v>
      </c>
    </row>
    <row r="44" spans="1:9" ht="15" customHeight="1" x14ac:dyDescent="0.2">
      <c r="A44" s="18" t="s">
        <v>238</v>
      </c>
      <c r="B44" s="19" t="s">
        <v>108</v>
      </c>
      <c r="C44" s="19" t="s">
        <v>446</v>
      </c>
      <c r="D44" s="19" t="s">
        <v>494</v>
      </c>
      <c r="E44" s="19" t="s">
        <v>448</v>
      </c>
      <c r="F44" s="19" t="s">
        <v>495</v>
      </c>
      <c r="G44" s="19" t="s">
        <v>450</v>
      </c>
      <c r="H44" s="23" t="s">
        <v>293</v>
      </c>
      <c r="I44" s="19" t="s">
        <v>316</v>
      </c>
    </row>
    <row r="45" spans="1:9" ht="15" customHeight="1" x14ac:dyDescent="0.2">
      <c r="A45" s="18" t="s">
        <v>496</v>
      </c>
      <c r="B45" s="19" t="s">
        <v>108</v>
      </c>
      <c r="C45" s="19" t="s">
        <v>457</v>
      </c>
      <c r="D45" s="19" t="s">
        <v>497</v>
      </c>
      <c r="E45" s="19" t="s">
        <v>459</v>
      </c>
      <c r="F45" s="19" t="s">
        <v>460</v>
      </c>
      <c r="G45" s="19" t="s">
        <v>460</v>
      </c>
      <c r="H45" s="23" t="s">
        <v>293</v>
      </c>
      <c r="I45" s="19" t="s">
        <v>316</v>
      </c>
    </row>
    <row r="46" spans="1:9" ht="15" customHeight="1" x14ac:dyDescent="0.2">
      <c r="A46" s="18" t="s">
        <v>252</v>
      </c>
      <c r="B46" s="19" t="s">
        <v>150</v>
      </c>
      <c r="C46" s="19" t="s">
        <v>498</v>
      </c>
      <c r="D46" s="19" t="s">
        <v>499</v>
      </c>
      <c r="E46" s="19" t="s">
        <v>500</v>
      </c>
      <c r="F46" s="19" t="s">
        <v>501</v>
      </c>
      <c r="G46" s="19" t="s">
        <v>502</v>
      </c>
      <c r="H46" s="23" t="s">
        <v>293</v>
      </c>
      <c r="I46" s="19" t="s">
        <v>316</v>
      </c>
    </row>
    <row r="47" spans="1:9" ht="15" customHeight="1" x14ac:dyDescent="0.2">
      <c r="A47" s="18" t="s">
        <v>503</v>
      </c>
      <c r="B47" s="19" t="s">
        <v>150</v>
      </c>
      <c r="C47" s="19" t="s">
        <v>504</v>
      </c>
      <c r="D47" s="19" t="s">
        <v>505</v>
      </c>
      <c r="E47" s="19" t="s">
        <v>506</v>
      </c>
      <c r="F47" s="19" t="s">
        <v>507</v>
      </c>
      <c r="G47" s="19" t="s">
        <v>508</v>
      </c>
      <c r="H47" s="23" t="s">
        <v>293</v>
      </c>
      <c r="I47" s="19" t="s">
        <v>316</v>
      </c>
    </row>
    <row r="48" spans="1:9" ht="15" customHeight="1" x14ac:dyDescent="0.2">
      <c r="A48" s="18" t="s">
        <v>509</v>
      </c>
      <c r="B48" s="19" t="s">
        <v>150</v>
      </c>
      <c r="C48" s="19" t="s">
        <v>510</v>
      </c>
      <c r="D48" s="19" t="s">
        <v>511</v>
      </c>
      <c r="E48" s="19" t="s">
        <v>512</v>
      </c>
      <c r="F48" s="19" t="s">
        <v>513</v>
      </c>
      <c r="G48" s="19" t="s">
        <v>514</v>
      </c>
      <c r="H48" s="23" t="s">
        <v>293</v>
      </c>
      <c r="I48" s="19" t="s">
        <v>316</v>
      </c>
    </row>
    <row r="49" spans="1:9" ht="15" customHeight="1" x14ac:dyDescent="0.2">
      <c r="A49" s="18" t="s">
        <v>178</v>
      </c>
      <c r="B49" s="19" t="s">
        <v>150</v>
      </c>
      <c r="C49" s="19" t="s">
        <v>515</v>
      </c>
      <c r="D49" s="19" t="s">
        <v>516</v>
      </c>
      <c r="E49" s="19" t="s">
        <v>517</v>
      </c>
      <c r="F49" s="19" t="s">
        <v>518</v>
      </c>
      <c r="G49" s="19" t="s">
        <v>519</v>
      </c>
      <c r="H49" s="23" t="s">
        <v>293</v>
      </c>
      <c r="I49" s="19" t="s">
        <v>316</v>
      </c>
    </row>
    <row r="50" spans="1:9" ht="23.25" customHeight="1" x14ac:dyDescent="0.2">
      <c r="A50" s="18" t="s">
        <v>170</v>
      </c>
      <c r="B50" s="19" t="s">
        <v>150</v>
      </c>
      <c r="C50" s="19" t="s">
        <v>520</v>
      </c>
      <c r="D50" s="19" t="s">
        <v>521</v>
      </c>
      <c r="E50" s="19" t="s">
        <v>522</v>
      </c>
      <c r="F50" s="19" t="s">
        <v>523</v>
      </c>
      <c r="G50" s="19" t="s">
        <v>524</v>
      </c>
      <c r="H50" s="23" t="s">
        <v>293</v>
      </c>
      <c r="I50" s="19" t="s">
        <v>316</v>
      </c>
    </row>
    <row r="51" spans="1:9" ht="15" customHeight="1" x14ac:dyDescent="0.2">
      <c r="A51" s="18" t="s">
        <v>525</v>
      </c>
      <c r="B51" s="19" t="s">
        <v>150</v>
      </c>
      <c r="C51" s="19" t="s">
        <v>526</v>
      </c>
      <c r="D51" s="19" t="s">
        <v>527</v>
      </c>
      <c r="E51" s="19" t="s">
        <v>528</v>
      </c>
      <c r="F51" s="19" t="s">
        <v>529</v>
      </c>
      <c r="G51" s="19" t="s">
        <v>530</v>
      </c>
      <c r="H51" s="23" t="s">
        <v>293</v>
      </c>
      <c r="I51" s="19" t="s">
        <v>316</v>
      </c>
    </row>
    <row r="52" spans="1:9" ht="15" customHeight="1" x14ac:dyDescent="0.2">
      <c r="A52" s="18" t="s">
        <v>531</v>
      </c>
      <c r="B52" s="19" t="s">
        <v>532</v>
      </c>
      <c r="C52" s="19" t="s">
        <v>533</v>
      </c>
      <c r="D52" s="19" t="s">
        <v>534</v>
      </c>
      <c r="E52" s="19" t="s">
        <v>535</v>
      </c>
      <c r="F52" s="19" t="s">
        <v>535</v>
      </c>
      <c r="G52" s="19" t="s">
        <v>535</v>
      </c>
      <c r="H52" s="23" t="s">
        <v>293</v>
      </c>
      <c r="I52" s="19" t="s">
        <v>316</v>
      </c>
    </row>
    <row r="53" spans="1:9" ht="15" customHeight="1" x14ac:dyDescent="0.2">
      <c r="A53" s="18" t="s">
        <v>536</v>
      </c>
      <c r="B53" s="19" t="s">
        <v>532</v>
      </c>
      <c r="C53" s="19" t="s">
        <v>537</v>
      </c>
      <c r="D53" s="19" t="s">
        <v>538</v>
      </c>
      <c r="E53" s="19" t="s">
        <v>539</v>
      </c>
      <c r="F53" s="19" t="s">
        <v>539</v>
      </c>
      <c r="G53" s="19" t="s">
        <v>539</v>
      </c>
      <c r="H53" s="23" t="s">
        <v>293</v>
      </c>
      <c r="I53" s="19" t="s">
        <v>316</v>
      </c>
    </row>
    <row r="54" spans="1:9" ht="15" customHeight="1" x14ac:dyDescent="0.2">
      <c r="A54" s="18" t="s">
        <v>540</v>
      </c>
      <c r="B54" s="19" t="s">
        <v>532</v>
      </c>
      <c r="C54" s="19" t="s">
        <v>541</v>
      </c>
      <c r="D54" s="19" t="s">
        <v>542</v>
      </c>
      <c r="E54" s="19" t="s">
        <v>543</v>
      </c>
      <c r="F54" s="19" t="s">
        <v>535</v>
      </c>
      <c r="G54" s="19" t="s">
        <v>539</v>
      </c>
      <c r="H54" s="23" t="s">
        <v>293</v>
      </c>
      <c r="I54" s="19" t="s">
        <v>316</v>
      </c>
    </row>
    <row r="55" spans="1:9" ht="15" customHeight="1" x14ac:dyDescent="0.2">
      <c r="A55" s="18" t="s">
        <v>544</v>
      </c>
      <c r="B55" s="19" t="s">
        <v>532</v>
      </c>
      <c r="C55" s="19" t="s">
        <v>545</v>
      </c>
      <c r="D55" s="19" t="s">
        <v>546</v>
      </c>
      <c r="E55" s="19" t="s">
        <v>547</v>
      </c>
      <c r="F55" s="19" t="s">
        <v>548</v>
      </c>
      <c r="G55" s="19" t="s">
        <v>549</v>
      </c>
      <c r="H55" s="23" t="s">
        <v>550</v>
      </c>
      <c r="I55" s="19" t="s">
        <v>316</v>
      </c>
    </row>
    <row r="56" spans="1:9" ht="15" customHeight="1" x14ac:dyDescent="0.2">
      <c r="A56" s="18" t="s">
        <v>551</v>
      </c>
      <c r="B56" s="19" t="s">
        <v>159</v>
      </c>
      <c r="C56" s="19" t="s">
        <v>552</v>
      </c>
      <c r="D56" s="19" t="s">
        <v>553</v>
      </c>
      <c r="E56" s="19" t="s">
        <v>554</v>
      </c>
      <c r="F56" s="19" t="s">
        <v>539</v>
      </c>
      <c r="G56" s="19" t="s">
        <v>539</v>
      </c>
      <c r="H56" s="23" t="s">
        <v>293</v>
      </c>
      <c r="I56" s="19" t="s">
        <v>316</v>
      </c>
    </row>
    <row r="57" spans="1:9" ht="15" customHeight="1" x14ac:dyDescent="0.2">
      <c r="A57" s="18" t="s">
        <v>555</v>
      </c>
      <c r="B57" s="19" t="s">
        <v>159</v>
      </c>
      <c r="C57" s="19" t="s">
        <v>255</v>
      </c>
      <c r="D57" s="19" t="s">
        <v>556</v>
      </c>
      <c r="E57" s="19" t="s">
        <v>557</v>
      </c>
      <c r="F57" s="19" t="s">
        <v>558</v>
      </c>
      <c r="G57" s="19" t="s">
        <v>559</v>
      </c>
      <c r="H57" s="23" t="s">
        <v>293</v>
      </c>
      <c r="I57" s="19" t="s">
        <v>316</v>
      </c>
    </row>
    <row r="58" spans="1:9" ht="15" customHeight="1" x14ac:dyDescent="0.2">
      <c r="A58" s="18" t="s">
        <v>257</v>
      </c>
      <c r="B58" s="19" t="s">
        <v>159</v>
      </c>
      <c r="C58" s="19" t="s">
        <v>560</v>
      </c>
      <c r="D58" s="19" t="s">
        <v>561</v>
      </c>
      <c r="E58" s="19" t="s">
        <v>562</v>
      </c>
      <c r="F58" s="19" t="s">
        <v>563</v>
      </c>
      <c r="G58" s="19" t="s">
        <v>564</v>
      </c>
      <c r="H58" s="23" t="s">
        <v>293</v>
      </c>
      <c r="I58" s="19" t="s">
        <v>316</v>
      </c>
    </row>
    <row r="59" spans="1:9" ht="15" customHeight="1" x14ac:dyDescent="0.2">
      <c r="A59" s="18" t="s">
        <v>565</v>
      </c>
      <c r="B59" s="19" t="s">
        <v>159</v>
      </c>
      <c r="C59" s="19" t="s">
        <v>566</v>
      </c>
      <c r="D59" s="19" t="s">
        <v>567</v>
      </c>
      <c r="E59" s="19" t="s">
        <v>568</v>
      </c>
      <c r="F59" s="19" t="s">
        <v>569</v>
      </c>
      <c r="G59" s="19" t="s">
        <v>570</v>
      </c>
      <c r="H59" s="23" t="s">
        <v>293</v>
      </c>
      <c r="I59" s="19" t="s">
        <v>316</v>
      </c>
    </row>
    <row r="60" spans="1:9" ht="23.25" customHeight="1" x14ac:dyDescent="0.2">
      <c r="A60" s="18" t="s">
        <v>157</v>
      </c>
      <c r="B60" s="19" t="s">
        <v>159</v>
      </c>
      <c r="C60" s="19" t="s">
        <v>571</v>
      </c>
      <c r="D60" s="19" t="s">
        <v>572</v>
      </c>
      <c r="E60" s="19" t="s">
        <v>573</v>
      </c>
      <c r="F60" s="19" t="s">
        <v>155</v>
      </c>
      <c r="G60" s="19" t="s">
        <v>574</v>
      </c>
      <c r="H60" s="23" t="s">
        <v>293</v>
      </c>
      <c r="I60" s="19" t="s">
        <v>575</v>
      </c>
    </row>
    <row r="61" spans="1:9" ht="15" customHeight="1" x14ac:dyDescent="0.2">
      <c r="A61" s="18" t="s">
        <v>576</v>
      </c>
      <c r="B61" s="19" t="s">
        <v>180</v>
      </c>
      <c r="C61" s="19" t="s">
        <v>577</v>
      </c>
      <c r="D61" s="19" t="s">
        <v>578</v>
      </c>
      <c r="E61" s="19" t="s">
        <v>579</v>
      </c>
      <c r="F61" s="19" t="s">
        <v>580</v>
      </c>
      <c r="G61" s="19" t="s">
        <v>581</v>
      </c>
      <c r="H61" s="23" t="s">
        <v>293</v>
      </c>
      <c r="I61" s="19" t="s">
        <v>316</v>
      </c>
    </row>
    <row r="62" spans="1:9" ht="23.25" customHeight="1" x14ac:dyDescent="0.2">
      <c r="A62" s="18" t="s">
        <v>582</v>
      </c>
      <c r="B62" s="19" t="s">
        <v>180</v>
      </c>
      <c r="C62" s="19" t="s">
        <v>583</v>
      </c>
      <c r="D62" s="19" t="s">
        <v>584</v>
      </c>
      <c r="E62" s="19" t="s">
        <v>585</v>
      </c>
      <c r="F62" s="19" t="s">
        <v>155</v>
      </c>
      <c r="G62" s="19" t="s">
        <v>383</v>
      </c>
      <c r="H62" s="23" t="s">
        <v>293</v>
      </c>
      <c r="I62" s="19" t="s">
        <v>316</v>
      </c>
    </row>
    <row r="63" spans="1:9" ht="23.25" customHeight="1" x14ac:dyDescent="0.2">
      <c r="A63" s="18" t="s">
        <v>586</v>
      </c>
      <c r="B63" s="19" t="s">
        <v>180</v>
      </c>
      <c r="C63" s="19" t="s">
        <v>587</v>
      </c>
      <c r="D63" s="19" t="s">
        <v>588</v>
      </c>
      <c r="E63" s="19" t="s">
        <v>589</v>
      </c>
      <c r="F63" s="19" t="s">
        <v>590</v>
      </c>
      <c r="G63" s="19" t="s">
        <v>591</v>
      </c>
      <c r="H63" s="23" t="s">
        <v>293</v>
      </c>
      <c r="I63" s="19" t="s">
        <v>592</v>
      </c>
    </row>
    <row r="64" spans="1:9" ht="23.25" customHeight="1" x14ac:dyDescent="0.2">
      <c r="A64" s="18" t="s">
        <v>272</v>
      </c>
      <c r="B64" s="19" t="s">
        <v>593</v>
      </c>
      <c r="C64" s="19" t="s">
        <v>594</v>
      </c>
      <c r="D64" s="19" t="s">
        <v>595</v>
      </c>
      <c r="E64" s="19" t="s">
        <v>596</v>
      </c>
      <c r="F64" s="19" t="s">
        <v>597</v>
      </c>
      <c r="G64" s="19" t="s">
        <v>598</v>
      </c>
      <c r="H64" s="23" t="s">
        <v>293</v>
      </c>
      <c r="I64" s="19" t="s">
        <v>316</v>
      </c>
    </row>
    <row r="65" spans="1:9" ht="15" customHeight="1" x14ac:dyDescent="0.2">
      <c r="A65" s="18" t="s">
        <v>599</v>
      </c>
      <c r="B65" s="19" t="s">
        <v>593</v>
      </c>
      <c r="C65" s="19" t="s">
        <v>600</v>
      </c>
      <c r="D65" s="19" t="s">
        <v>601</v>
      </c>
      <c r="E65" s="19" t="s">
        <v>602</v>
      </c>
      <c r="F65" s="19" t="s">
        <v>155</v>
      </c>
      <c r="G65" s="19" t="s">
        <v>136</v>
      </c>
      <c r="H65" s="23" t="s">
        <v>293</v>
      </c>
      <c r="I65" s="19" t="s">
        <v>316</v>
      </c>
    </row>
    <row r="66" spans="1:9" ht="15" customHeight="1" x14ac:dyDescent="0.2">
      <c r="A66" s="18" t="s">
        <v>603</v>
      </c>
      <c r="B66" s="19" t="s">
        <v>199</v>
      </c>
      <c r="C66" s="19" t="s">
        <v>604</v>
      </c>
      <c r="D66" s="19" t="s">
        <v>605</v>
      </c>
      <c r="E66" s="19" t="s">
        <v>606</v>
      </c>
      <c r="F66" s="19" t="s">
        <v>607</v>
      </c>
      <c r="G66" s="19" t="s">
        <v>608</v>
      </c>
      <c r="H66" s="23" t="s">
        <v>293</v>
      </c>
      <c r="I66" s="19" t="s">
        <v>294</v>
      </c>
    </row>
    <row r="67" spans="1:9" ht="23.25" customHeight="1" x14ac:dyDescent="0.2">
      <c r="A67" s="18" t="s">
        <v>263</v>
      </c>
      <c r="B67" s="19" t="s">
        <v>199</v>
      </c>
      <c r="C67" s="19" t="s">
        <v>609</v>
      </c>
      <c r="D67" s="19" t="s">
        <v>610</v>
      </c>
      <c r="E67" s="19" t="s">
        <v>611</v>
      </c>
      <c r="F67" s="19" t="s">
        <v>612</v>
      </c>
      <c r="G67" s="19" t="s">
        <v>613</v>
      </c>
      <c r="H67" s="23" t="s">
        <v>293</v>
      </c>
      <c r="I67" s="19" t="s">
        <v>592</v>
      </c>
    </row>
    <row r="68" spans="1:9" ht="23.25" customHeight="1" x14ac:dyDescent="0.2">
      <c r="A68" s="18" t="s">
        <v>614</v>
      </c>
      <c r="B68" s="19" t="s">
        <v>287</v>
      </c>
      <c r="C68" s="19" t="s">
        <v>615</v>
      </c>
      <c r="D68" s="19" t="s">
        <v>616</v>
      </c>
      <c r="E68" s="19" t="s">
        <v>617</v>
      </c>
      <c r="F68" s="19" t="s">
        <v>155</v>
      </c>
      <c r="G68" s="19" t="s">
        <v>618</v>
      </c>
      <c r="H68" s="23" t="s">
        <v>293</v>
      </c>
      <c r="I68" s="19" t="s">
        <v>294</v>
      </c>
    </row>
    <row r="69" spans="1:9" ht="34.5" customHeight="1" x14ac:dyDescent="0.2">
      <c r="A69" s="18" t="s">
        <v>619</v>
      </c>
      <c r="B69" s="19" t="s">
        <v>287</v>
      </c>
      <c r="C69" s="19" t="s">
        <v>620</v>
      </c>
      <c r="D69" s="19" t="s">
        <v>621</v>
      </c>
      <c r="E69" s="19" t="s">
        <v>622</v>
      </c>
      <c r="F69" s="19" t="s">
        <v>155</v>
      </c>
      <c r="G69" s="19" t="s">
        <v>623</v>
      </c>
      <c r="H69" s="23" t="s">
        <v>293</v>
      </c>
      <c r="I69" s="19" t="s">
        <v>294</v>
      </c>
    </row>
    <row r="70" spans="1:9" ht="34.5" customHeight="1" x14ac:dyDescent="0.2">
      <c r="A70" s="18" t="s">
        <v>624</v>
      </c>
      <c r="B70" s="19" t="s">
        <v>287</v>
      </c>
      <c r="C70" s="19" t="s">
        <v>625</v>
      </c>
      <c r="D70" s="19" t="s">
        <v>626</v>
      </c>
      <c r="E70" s="19" t="s">
        <v>627</v>
      </c>
      <c r="F70" s="19" t="s">
        <v>155</v>
      </c>
      <c r="G70" s="19" t="s">
        <v>628</v>
      </c>
      <c r="H70" s="23" t="s">
        <v>293</v>
      </c>
      <c r="I70" s="19" t="s">
        <v>625</v>
      </c>
    </row>
    <row r="71" spans="1:9" ht="34.5" customHeight="1" x14ac:dyDescent="0.2">
      <c r="A71" s="18" t="s">
        <v>629</v>
      </c>
      <c r="B71" s="19" t="s">
        <v>287</v>
      </c>
      <c r="C71" s="19" t="s">
        <v>630</v>
      </c>
      <c r="D71" s="19" t="s">
        <v>631</v>
      </c>
      <c r="E71" s="19" t="s">
        <v>632</v>
      </c>
      <c r="F71" s="19" t="s">
        <v>155</v>
      </c>
      <c r="G71" s="19" t="s">
        <v>633</v>
      </c>
      <c r="H71" s="23" t="s">
        <v>293</v>
      </c>
      <c r="I71" s="19" t="s">
        <v>294</v>
      </c>
    </row>
    <row r="72" spans="1:9" ht="23.25" customHeight="1" x14ac:dyDescent="0.2">
      <c r="A72" s="18" t="s">
        <v>634</v>
      </c>
      <c r="B72" s="19" t="s">
        <v>635</v>
      </c>
      <c r="C72" s="19" t="s">
        <v>636</v>
      </c>
      <c r="D72" s="19" t="s">
        <v>637</v>
      </c>
      <c r="E72" s="19" t="s">
        <v>638</v>
      </c>
      <c r="F72" s="19" t="s">
        <v>155</v>
      </c>
      <c r="G72" s="19" t="s">
        <v>639</v>
      </c>
      <c r="H72" s="23" t="s">
        <v>293</v>
      </c>
      <c r="I72" s="19" t="s">
        <v>316</v>
      </c>
    </row>
    <row r="73" spans="1:9" ht="23.25" customHeight="1" x14ac:dyDescent="0.2">
      <c r="A73" s="18" t="s">
        <v>640</v>
      </c>
      <c r="B73" s="19" t="s">
        <v>635</v>
      </c>
      <c r="C73" s="19" t="s">
        <v>641</v>
      </c>
      <c r="D73" s="19" t="s">
        <v>642</v>
      </c>
      <c r="E73" s="19" t="s">
        <v>643</v>
      </c>
      <c r="F73" s="19" t="s">
        <v>155</v>
      </c>
      <c r="G73" s="19" t="s">
        <v>644</v>
      </c>
      <c r="H73" s="23" t="s">
        <v>293</v>
      </c>
      <c r="I73" s="19" t="s">
        <v>316</v>
      </c>
    </row>
    <row r="74" spans="1:9" ht="15" customHeight="1" x14ac:dyDescent="0.2">
      <c r="A74" s="18" t="s">
        <v>645</v>
      </c>
      <c r="B74" s="19" t="s">
        <v>646</v>
      </c>
      <c r="C74" s="19" t="s">
        <v>647</v>
      </c>
      <c r="D74" s="19" t="s">
        <v>648</v>
      </c>
      <c r="E74" s="19" t="s">
        <v>649</v>
      </c>
      <c r="F74" s="19" t="s">
        <v>155</v>
      </c>
      <c r="G74" s="19" t="s">
        <v>650</v>
      </c>
      <c r="H74" s="23" t="s">
        <v>293</v>
      </c>
      <c r="I74" s="19" t="s">
        <v>651</v>
      </c>
    </row>
    <row r="75" spans="1:9" ht="15" customHeight="1" x14ac:dyDescent="0.2">
      <c r="A75" s="18" t="s">
        <v>652</v>
      </c>
      <c r="B75" s="19" t="s">
        <v>646</v>
      </c>
      <c r="C75" s="19" t="s">
        <v>653</v>
      </c>
      <c r="D75" s="19" t="s">
        <v>654</v>
      </c>
      <c r="E75" s="19" t="s">
        <v>655</v>
      </c>
      <c r="F75" s="19" t="s">
        <v>155</v>
      </c>
      <c r="G75" s="19" t="s">
        <v>656</v>
      </c>
      <c r="H75" s="23" t="s">
        <v>293</v>
      </c>
      <c r="I75" s="19" t="s">
        <v>651</v>
      </c>
    </row>
    <row r="76" spans="1:9" ht="15" customHeight="1" x14ac:dyDescent="0.2">
      <c r="A76" s="18" t="s">
        <v>657</v>
      </c>
      <c r="B76" s="19" t="s">
        <v>646</v>
      </c>
      <c r="C76" s="19" t="s">
        <v>658</v>
      </c>
      <c r="D76" s="19" t="s">
        <v>659</v>
      </c>
      <c r="E76" s="19" t="s">
        <v>660</v>
      </c>
      <c r="F76" s="19" t="s">
        <v>155</v>
      </c>
      <c r="G76" s="19" t="s">
        <v>661</v>
      </c>
      <c r="H76" s="23" t="s">
        <v>293</v>
      </c>
      <c r="I76" s="19" t="s">
        <v>651</v>
      </c>
    </row>
    <row r="77" spans="1:9" ht="23.25" customHeight="1" x14ac:dyDescent="0.2">
      <c r="A77" s="18" t="s">
        <v>662</v>
      </c>
      <c r="B77" s="19" t="s">
        <v>646</v>
      </c>
      <c r="C77" s="19" t="s">
        <v>663</v>
      </c>
      <c r="D77" s="19" t="s">
        <v>664</v>
      </c>
      <c r="E77" s="19" t="s">
        <v>665</v>
      </c>
      <c r="F77" s="19" t="s">
        <v>155</v>
      </c>
      <c r="G77" s="19" t="s">
        <v>666</v>
      </c>
      <c r="H77" s="23" t="s">
        <v>293</v>
      </c>
      <c r="I77" s="19" t="s">
        <v>651</v>
      </c>
    </row>
    <row r="78" spans="1:9" ht="15" customHeight="1" x14ac:dyDescent="0.2">
      <c r="A78" s="18" t="s">
        <v>667</v>
      </c>
      <c r="B78" s="19" t="s">
        <v>646</v>
      </c>
      <c r="C78" s="19" t="s">
        <v>668</v>
      </c>
      <c r="D78" s="19" t="s">
        <v>669</v>
      </c>
      <c r="E78" s="19" t="s">
        <v>670</v>
      </c>
      <c r="F78" s="19" t="s">
        <v>155</v>
      </c>
      <c r="G78" s="19" t="s">
        <v>671</v>
      </c>
      <c r="H78" s="23" t="s">
        <v>293</v>
      </c>
      <c r="I78" s="19" t="s">
        <v>651</v>
      </c>
    </row>
    <row r="79" spans="1:9" ht="15" customHeight="1" x14ac:dyDescent="0.2">
      <c r="A79" s="18" t="s">
        <v>672</v>
      </c>
      <c r="B79" s="19" t="s">
        <v>646</v>
      </c>
      <c r="C79" s="19" t="s">
        <v>673</v>
      </c>
      <c r="D79" s="19" t="s">
        <v>674</v>
      </c>
      <c r="E79" s="19" t="s">
        <v>675</v>
      </c>
      <c r="F79" s="19" t="s">
        <v>155</v>
      </c>
      <c r="G79" s="19" t="s">
        <v>676</v>
      </c>
      <c r="H79" s="23" t="s">
        <v>293</v>
      </c>
      <c r="I79" s="19" t="s">
        <v>651</v>
      </c>
    </row>
    <row r="80" spans="1:9" ht="15" customHeight="1" x14ac:dyDescent="0.2">
      <c r="A80" s="18" t="s">
        <v>677</v>
      </c>
      <c r="B80" s="19" t="s">
        <v>646</v>
      </c>
      <c r="C80" s="19" t="s">
        <v>678</v>
      </c>
      <c r="D80" s="19" t="s">
        <v>679</v>
      </c>
      <c r="E80" s="19" t="s">
        <v>680</v>
      </c>
      <c r="F80" s="19" t="s">
        <v>155</v>
      </c>
      <c r="G80" s="19" t="s">
        <v>681</v>
      </c>
      <c r="H80" s="23" t="s">
        <v>293</v>
      </c>
      <c r="I80" s="19" t="s">
        <v>651</v>
      </c>
    </row>
    <row r="81" spans="1:9" ht="15" customHeight="1" x14ac:dyDescent="0.2">
      <c r="A81" s="18" t="s">
        <v>682</v>
      </c>
      <c r="B81" s="19" t="s">
        <v>646</v>
      </c>
      <c r="C81" s="19" t="s">
        <v>683</v>
      </c>
      <c r="D81" s="19" t="s">
        <v>684</v>
      </c>
      <c r="E81" s="19" t="s">
        <v>685</v>
      </c>
      <c r="F81" s="19" t="s">
        <v>155</v>
      </c>
      <c r="G81" s="19" t="s">
        <v>686</v>
      </c>
      <c r="H81" s="23" t="s">
        <v>293</v>
      </c>
      <c r="I81" s="19" t="s">
        <v>651</v>
      </c>
    </row>
    <row r="82" spans="1:9" ht="23.25" customHeight="1" x14ac:dyDescent="0.2">
      <c r="A82" s="18" t="s">
        <v>687</v>
      </c>
      <c r="B82" s="19" t="s">
        <v>646</v>
      </c>
      <c r="C82" s="19" t="s">
        <v>688</v>
      </c>
      <c r="D82" s="19" t="s">
        <v>689</v>
      </c>
      <c r="E82" s="19" t="s">
        <v>690</v>
      </c>
      <c r="F82" s="19" t="s">
        <v>155</v>
      </c>
      <c r="G82" s="19" t="s">
        <v>691</v>
      </c>
      <c r="H82" s="23" t="s">
        <v>293</v>
      </c>
      <c r="I82" s="19" t="s">
        <v>651</v>
      </c>
    </row>
    <row r="83" spans="1:9" ht="23.25" customHeight="1" x14ac:dyDescent="0.2">
      <c r="A83" s="18" t="s">
        <v>692</v>
      </c>
      <c r="B83" s="19" t="s">
        <v>693</v>
      </c>
      <c r="C83" s="19" t="s">
        <v>694</v>
      </c>
      <c r="D83" s="19" t="s">
        <v>695</v>
      </c>
      <c r="E83" s="19" t="s">
        <v>696</v>
      </c>
      <c r="F83" s="19" t="s">
        <v>155</v>
      </c>
      <c r="G83" s="19" t="s">
        <v>697</v>
      </c>
      <c r="H83" s="23" t="s">
        <v>293</v>
      </c>
      <c r="I83" s="19" t="s">
        <v>698</v>
      </c>
    </row>
    <row r="84" spans="1:9" ht="23.25" customHeight="1" x14ac:dyDescent="0.2">
      <c r="A84" s="18" t="s">
        <v>699</v>
      </c>
      <c r="B84" s="19" t="s">
        <v>700</v>
      </c>
      <c r="C84" s="19" t="s">
        <v>701</v>
      </c>
      <c r="D84" s="19" t="s">
        <v>702</v>
      </c>
      <c r="E84" s="19" t="s">
        <v>696</v>
      </c>
      <c r="F84" s="19" t="s">
        <v>155</v>
      </c>
      <c r="G84" s="19" t="s">
        <v>703</v>
      </c>
      <c r="H84" s="23" t="s">
        <v>293</v>
      </c>
      <c r="I84" s="19" t="s">
        <v>698</v>
      </c>
    </row>
    <row r="85" spans="1:9" ht="15" customHeight="1" x14ac:dyDescent="0.2">
      <c r="A85" s="18" t="s">
        <v>704</v>
      </c>
      <c r="B85" s="19" t="s">
        <v>700</v>
      </c>
      <c r="C85" s="19" t="s">
        <v>705</v>
      </c>
      <c r="D85" s="19" t="s">
        <v>706</v>
      </c>
      <c r="E85" s="19" t="s">
        <v>707</v>
      </c>
      <c r="F85" s="19" t="s">
        <v>155</v>
      </c>
      <c r="G85" s="19" t="s">
        <v>708</v>
      </c>
      <c r="H85" s="23" t="s">
        <v>293</v>
      </c>
      <c r="I85" s="19" t="s">
        <v>698</v>
      </c>
    </row>
    <row r="86" spans="1:9" ht="23.25" customHeight="1" x14ac:dyDescent="0.2">
      <c r="A86" s="18" t="s">
        <v>709</v>
      </c>
      <c r="B86" s="19" t="s">
        <v>710</v>
      </c>
      <c r="C86" s="19" t="s">
        <v>711</v>
      </c>
      <c r="D86" s="19" t="s">
        <v>712</v>
      </c>
      <c r="E86" s="19" t="s">
        <v>713</v>
      </c>
      <c r="F86" s="19" t="s">
        <v>155</v>
      </c>
      <c r="G86" s="19" t="s">
        <v>714</v>
      </c>
      <c r="H86" s="23" t="s">
        <v>293</v>
      </c>
      <c r="I86" s="19" t="s">
        <v>698</v>
      </c>
    </row>
    <row r="87" spans="1:9" ht="15" customHeight="1" x14ac:dyDescent="0.2">
      <c r="A87" s="18" t="s">
        <v>715</v>
      </c>
      <c r="B87" s="19" t="s">
        <v>693</v>
      </c>
      <c r="C87" s="19" t="s">
        <v>716</v>
      </c>
      <c r="D87" s="19" t="s">
        <v>717</v>
      </c>
      <c r="E87" s="19" t="s">
        <v>718</v>
      </c>
      <c r="F87" s="19" t="s">
        <v>155</v>
      </c>
      <c r="G87" s="19" t="s">
        <v>719</v>
      </c>
      <c r="H87" s="23" t="s">
        <v>293</v>
      </c>
      <c r="I87" s="19" t="s">
        <v>698</v>
      </c>
    </row>
    <row r="88" spans="1:9" ht="15" customHeight="1" x14ac:dyDescent="0.2">
      <c r="A88" s="18" t="s">
        <v>720</v>
      </c>
      <c r="B88" s="19" t="s">
        <v>693</v>
      </c>
      <c r="C88" s="19" t="s">
        <v>721</v>
      </c>
      <c r="D88" s="19" t="s">
        <v>722</v>
      </c>
      <c r="E88" s="19" t="s">
        <v>723</v>
      </c>
      <c r="F88" s="19" t="s">
        <v>155</v>
      </c>
      <c r="G88" s="19" t="s">
        <v>724</v>
      </c>
      <c r="H88" s="23" t="s">
        <v>293</v>
      </c>
      <c r="I88" s="19" t="s">
        <v>698</v>
      </c>
    </row>
    <row r="89" spans="1:9" ht="23.25" customHeight="1" x14ac:dyDescent="0.2">
      <c r="A89" s="18" t="s">
        <v>725</v>
      </c>
      <c r="B89" s="19" t="s">
        <v>726</v>
      </c>
      <c r="C89" s="19" t="s">
        <v>727</v>
      </c>
      <c r="D89" s="19" t="s">
        <v>728</v>
      </c>
      <c r="E89" s="19" t="s">
        <v>729</v>
      </c>
      <c r="F89" s="19" t="s">
        <v>155</v>
      </c>
      <c r="G89" s="19" t="s">
        <v>730</v>
      </c>
      <c r="H89" s="23" t="s">
        <v>293</v>
      </c>
      <c r="I89" s="19" t="s">
        <v>651</v>
      </c>
    </row>
    <row r="90" spans="1:9" ht="15" customHeight="1" x14ac:dyDescent="0.2">
      <c r="A90" s="18" t="s">
        <v>731</v>
      </c>
      <c r="B90" s="19" t="s">
        <v>732</v>
      </c>
      <c r="C90" s="19" t="s">
        <v>733</v>
      </c>
      <c r="D90" s="19" t="s">
        <v>734</v>
      </c>
      <c r="E90" s="19" t="s">
        <v>735</v>
      </c>
      <c r="F90" s="19" t="s">
        <v>155</v>
      </c>
      <c r="G90" s="19" t="s">
        <v>736</v>
      </c>
      <c r="H90" s="23" t="s">
        <v>293</v>
      </c>
      <c r="I90" s="19" t="s">
        <v>651</v>
      </c>
    </row>
    <row r="91" spans="1:9" ht="23.25" customHeight="1" x14ac:dyDescent="0.2">
      <c r="A91" s="18" t="s">
        <v>737</v>
      </c>
      <c r="B91" s="19" t="s">
        <v>732</v>
      </c>
      <c r="C91" s="19" t="s">
        <v>738</v>
      </c>
      <c r="D91" s="19" t="s">
        <v>739</v>
      </c>
      <c r="E91" s="19" t="s">
        <v>740</v>
      </c>
      <c r="F91" s="19" t="s">
        <v>155</v>
      </c>
      <c r="G91" s="19" t="s">
        <v>741</v>
      </c>
      <c r="H91" s="23" t="s">
        <v>293</v>
      </c>
      <c r="I91" s="19" t="s">
        <v>651</v>
      </c>
    </row>
    <row r="92" spans="1:9" ht="23.25" customHeight="1" x14ac:dyDescent="0.2">
      <c r="A92" s="18" t="s">
        <v>742</v>
      </c>
      <c r="B92" s="19" t="s">
        <v>743</v>
      </c>
      <c r="C92" s="19" t="s">
        <v>744</v>
      </c>
      <c r="D92" s="19" t="s">
        <v>745</v>
      </c>
      <c r="E92" s="19" t="s">
        <v>746</v>
      </c>
      <c r="F92" s="19" t="s">
        <v>155</v>
      </c>
      <c r="G92" s="19" t="s">
        <v>747</v>
      </c>
      <c r="H92" s="23" t="s">
        <v>293</v>
      </c>
      <c r="I92" s="19" t="s">
        <v>316</v>
      </c>
    </row>
    <row r="93" spans="1:9" ht="23.25" customHeight="1" x14ac:dyDescent="0.2">
      <c r="A93" s="18" t="s">
        <v>748</v>
      </c>
      <c r="B93" s="19" t="s">
        <v>743</v>
      </c>
      <c r="C93" s="19" t="s">
        <v>749</v>
      </c>
      <c r="D93" s="19" t="s">
        <v>750</v>
      </c>
      <c r="E93" s="19" t="s">
        <v>751</v>
      </c>
      <c r="F93" s="19" t="s">
        <v>155</v>
      </c>
      <c r="G93" s="19" t="s">
        <v>752</v>
      </c>
      <c r="H93" s="23" t="s">
        <v>293</v>
      </c>
      <c r="I93" s="19" t="s">
        <v>316</v>
      </c>
    </row>
    <row r="94" spans="1:9" ht="23.25" customHeight="1" x14ac:dyDescent="0.2">
      <c r="A94" s="18" t="s">
        <v>753</v>
      </c>
      <c r="B94" s="19" t="s">
        <v>743</v>
      </c>
      <c r="C94" s="19" t="s">
        <v>754</v>
      </c>
      <c r="D94" s="19" t="s">
        <v>755</v>
      </c>
      <c r="E94" s="19" t="s">
        <v>547</v>
      </c>
      <c r="F94" s="19" t="s">
        <v>155</v>
      </c>
      <c r="G94" s="19" t="s">
        <v>756</v>
      </c>
      <c r="H94" s="23" t="s">
        <v>550</v>
      </c>
      <c r="I94" s="19" t="s">
        <v>316</v>
      </c>
    </row>
    <row r="95" spans="1:9" ht="23.25" customHeight="1" x14ac:dyDescent="0.2">
      <c r="A95" s="18" t="s">
        <v>757</v>
      </c>
      <c r="B95" s="19" t="s">
        <v>743</v>
      </c>
      <c r="C95" s="19" t="s">
        <v>758</v>
      </c>
      <c r="D95" s="19" t="s">
        <v>759</v>
      </c>
      <c r="E95" s="19" t="s">
        <v>547</v>
      </c>
      <c r="F95" s="19" t="s">
        <v>155</v>
      </c>
      <c r="G95" s="19" t="s">
        <v>760</v>
      </c>
      <c r="H95" s="23" t="s">
        <v>550</v>
      </c>
      <c r="I95" s="19" t="s">
        <v>316</v>
      </c>
    </row>
    <row r="96" spans="1:9" ht="15" customHeight="1" x14ac:dyDescent="0.2">
      <c r="A96" s="18" t="s">
        <v>761</v>
      </c>
      <c r="B96" s="19" t="s">
        <v>743</v>
      </c>
      <c r="C96" s="19" t="s">
        <v>762</v>
      </c>
      <c r="D96" s="19" t="s">
        <v>763</v>
      </c>
      <c r="E96" s="19" t="s">
        <v>764</v>
      </c>
      <c r="F96" s="19" t="s">
        <v>155</v>
      </c>
      <c r="G96" s="19" t="s">
        <v>765</v>
      </c>
      <c r="H96" s="23" t="s">
        <v>293</v>
      </c>
      <c r="I96" s="19" t="s">
        <v>316</v>
      </c>
    </row>
    <row r="97" spans="1:9" ht="23.25" customHeight="1" x14ac:dyDescent="0.2">
      <c r="A97" s="18" t="s">
        <v>766</v>
      </c>
      <c r="B97" s="19" t="s">
        <v>743</v>
      </c>
      <c r="C97" s="19" t="s">
        <v>767</v>
      </c>
      <c r="D97" s="19" t="s">
        <v>768</v>
      </c>
      <c r="E97" s="19" t="s">
        <v>769</v>
      </c>
      <c r="F97" s="19" t="s">
        <v>155</v>
      </c>
      <c r="G97" s="19" t="s">
        <v>770</v>
      </c>
      <c r="H97" s="23" t="s">
        <v>293</v>
      </c>
      <c r="I97" s="19" t="s">
        <v>316</v>
      </c>
    </row>
    <row r="98" spans="1:9" ht="15" customHeight="1" x14ac:dyDescent="0.2">
      <c r="A98" s="18" t="s">
        <v>771</v>
      </c>
      <c r="B98" s="19" t="s">
        <v>743</v>
      </c>
      <c r="C98" s="19" t="s">
        <v>772</v>
      </c>
      <c r="D98" s="19" t="s">
        <v>773</v>
      </c>
      <c r="E98" s="19" t="s">
        <v>774</v>
      </c>
      <c r="F98" s="19" t="s">
        <v>155</v>
      </c>
      <c r="G98" s="19" t="s">
        <v>383</v>
      </c>
      <c r="H98" s="23" t="s">
        <v>293</v>
      </c>
      <c r="I98" s="19" t="s">
        <v>316</v>
      </c>
    </row>
    <row r="99" spans="1:9" ht="15" customHeight="1" x14ac:dyDescent="0.2">
      <c r="A99" s="18" t="s">
        <v>775</v>
      </c>
      <c r="B99" s="19" t="s">
        <v>743</v>
      </c>
      <c r="C99" s="19" t="s">
        <v>776</v>
      </c>
      <c r="D99" s="19" t="s">
        <v>777</v>
      </c>
      <c r="E99" s="19" t="s">
        <v>778</v>
      </c>
      <c r="F99" s="19" t="s">
        <v>155</v>
      </c>
      <c r="G99" s="19" t="s">
        <v>779</v>
      </c>
      <c r="H99" s="23" t="s">
        <v>293</v>
      </c>
      <c r="I99" s="19" t="s">
        <v>316</v>
      </c>
    </row>
    <row r="100" spans="1:9" ht="23.25" customHeight="1" x14ac:dyDescent="0.2">
      <c r="A100" s="18" t="s">
        <v>780</v>
      </c>
      <c r="B100" s="19" t="s">
        <v>743</v>
      </c>
      <c r="C100" s="19" t="s">
        <v>781</v>
      </c>
      <c r="D100" s="19" t="s">
        <v>782</v>
      </c>
      <c r="E100" s="19" t="s">
        <v>783</v>
      </c>
      <c r="F100" s="19" t="s">
        <v>155</v>
      </c>
      <c r="G100" s="19" t="s">
        <v>784</v>
      </c>
      <c r="H100" s="23" t="s">
        <v>293</v>
      </c>
      <c r="I100" s="19" t="s">
        <v>316</v>
      </c>
    </row>
    <row r="101" spans="1:9" ht="23.25" customHeight="1" x14ac:dyDescent="0.2">
      <c r="A101" s="18" t="s">
        <v>785</v>
      </c>
      <c r="B101" s="19" t="s">
        <v>743</v>
      </c>
      <c r="C101" s="19" t="s">
        <v>786</v>
      </c>
      <c r="D101" s="19" t="s">
        <v>787</v>
      </c>
      <c r="E101" s="19" t="s">
        <v>788</v>
      </c>
      <c r="F101" s="19" t="s">
        <v>155</v>
      </c>
      <c r="G101" s="19" t="s">
        <v>789</v>
      </c>
      <c r="H101" s="23" t="s">
        <v>293</v>
      </c>
      <c r="I101" s="19" t="s">
        <v>316</v>
      </c>
    </row>
    <row r="102" spans="1:9" ht="23.25" customHeight="1" x14ac:dyDescent="0.2">
      <c r="A102" s="18" t="s">
        <v>790</v>
      </c>
      <c r="B102" s="19" t="s">
        <v>743</v>
      </c>
      <c r="C102" s="19" t="s">
        <v>791</v>
      </c>
      <c r="D102" s="19" t="s">
        <v>792</v>
      </c>
      <c r="E102" s="19" t="s">
        <v>793</v>
      </c>
      <c r="F102" s="19" t="s">
        <v>155</v>
      </c>
      <c r="G102" s="19" t="s">
        <v>794</v>
      </c>
      <c r="H102" s="23" t="s">
        <v>293</v>
      </c>
      <c r="I102" s="19" t="s">
        <v>316</v>
      </c>
    </row>
    <row r="103" spans="1:9" ht="23.25" customHeight="1" x14ac:dyDescent="0.2">
      <c r="A103" s="18" t="s">
        <v>207</v>
      </c>
      <c r="B103" s="19" t="s">
        <v>795</v>
      </c>
      <c r="C103" s="19" t="s">
        <v>796</v>
      </c>
      <c r="D103" s="19" t="s">
        <v>797</v>
      </c>
      <c r="E103" s="19" t="s">
        <v>798</v>
      </c>
      <c r="F103" s="19" t="s">
        <v>155</v>
      </c>
      <c r="G103" s="19" t="s">
        <v>799</v>
      </c>
      <c r="H103" s="23" t="s">
        <v>293</v>
      </c>
      <c r="I103" s="19" t="s">
        <v>316</v>
      </c>
    </row>
    <row r="104" spans="1:9" ht="23.25" customHeight="1" x14ac:dyDescent="0.2">
      <c r="A104" s="18" t="s">
        <v>800</v>
      </c>
      <c r="B104" s="19" t="s">
        <v>124</v>
      </c>
      <c r="C104" s="19" t="s">
        <v>801</v>
      </c>
      <c r="D104" s="19" t="s">
        <v>802</v>
      </c>
      <c r="E104" s="19" t="s">
        <v>803</v>
      </c>
      <c r="F104" s="19" t="s">
        <v>804</v>
      </c>
      <c r="G104" s="19" t="s">
        <v>805</v>
      </c>
      <c r="H104" s="23" t="s">
        <v>293</v>
      </c>
      <c r="I104" s="19" t="s">
        <v>422</v>
      </c>
    </row>
    <row r="105" spans="1:9" ht="23.25" customHeight="1" x14ac:dyDescent="0.2">
      <c r="A105" s="18" t="s">
        <v>806</v>
      </c>
      <c r="B105" s="19" t="s">
        <v>124</v>
      </c>
      <c r="C105" s="19" t="s">
        <v>807</v>
      </c>
      <c r="D105" s="19" t="s">
        <v>808</v>
      </c>
      <c r="E105" s="19" t="s">
        <v>809</v>
      </c>
      <c r="F105" s="19" t="s">
        <v>155</v>
      </c>
      <c r="G105" s="19" t="s">
        <v>810</v>
      </c>
      <c r="H105" s="23" t="s">
        <v>293</v>
      </c>
      <c r="I105" s="19" t="s">
        <v>811</v>
      </c>
    </row>
  </sheetData>
  <autoFilter ref="A4:I105" xr:uid="{00000000-0009-0000-0000-000003000000}"/>
  <conditionalFormatting sqref="H5:H105">
    <cfRule type="cellIs" dxfId="34" priority="2" operator="equal">
      <formula>"PASS"</formula>
    </cfRule>
    <cfRule type="cellIs" dxfId="33" priority="3" operator="equal">
      <formula>"FAIL"</formula>
    </cfRule>
    <cfRule type="cellIs" dxfId="32" priority="4" operator="equal">
      <formula>"OBSERVATION"</formula>
    </cfRule>
    <cfRule type="cellIs" dxfId="31" priority="5" operator="equal">
      <formula>"Fixed in final file"</formula>
    </cfRule>
    <cfRule type="cellIs" dxfId="30" priority="6" operator="equal">
      <formula>"Fixed and verified"</formula>
    </cfRule>
    <cfRule type="cellIs" dxfId="29" priority="7" operator="equal">
      <formula>"Applied"</formula>
    </cfRule>
    <cfRule type="cellIs" dxfId="28" priority="8" operator="equal">
      <formula>"Open - recommendation"</formula>
    </cfRule>
    <cfRule type="cellIs" dxfId="27" priority="9" operator="equal">
      <formula>"Open - check on bench"</formula>
    </cfRule>
  </conditionalFormatting>
  <pageMargins left="0.75" right="0.75" top="1" bottom="1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6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40" customWidth="1"/>
    <col min="2" max="2" width="70" customWidth="1"/>
    <col min="3" max="4" width="12" customWidth="1"/>
    <col min="5" max="5" width="10" customWidth="1"/>
  </cols>
  <sheetData>
    <row r="1" spans="1:5" ht="17.25" customHeight="1" x14ac:dyDescent="0.2">
      <c r="A1" s="5" t="s">
        <v>812</v>
      </c>
    </row>
    <row r="2" spans="1:5" ht="15" customHeight="1" x14ac:dyDescent="0.2">
      <c r="A2" s="6" t="s">
        <v>813</v>
      </c>
    </row>
    <row r="4" spans="1:5" ht="15" customHeight="1" x14ac:dyDescent="0.2">
      <c r="A4" s="17" t="s">
        <v>814</v>
      </c>
      <c r="B4" s="17" t="s">
        <v>815</v>
      </c>
      <c r="C4" s="17" t="s">
        <v>816</v>
      </c>
      <c r="D4" s="17" t="s">
        <v>817</v>
      </c>
      <c r="E4" s="17" t="s">
        <v>818</v>
      </c>
    </row>
    <row r="5" spans="1:5" ht="23.25" customHeight="1" x14ac:dyDescent="0.2">
      <c r="A5" s="24" t="s">
        <v>819</v>
      </c>
      <c r="B5" s="19" t="s">
        <v>820</v>
      </c>
      <c r="C5" s="22">
        <v>15</v>
      </c>
      <c r="D5" s="18">
        <v>0</v>
      </c>
      <c r="E5" s="18" t="str">
        <f t="shared" ref="E5:E14" si="0">IF(D5=0,"PASS","FAIL")</f>
        <v>PASS</v>
      </c>
    </row>
    <row r="6" spans="1:5" ht="23.25" customHeight="1" x14ac:dyDescent="0.2">
      <c r="A6" s="24" t="s">
        <v>821</v>
      </c>
      <c r="B6" s="19" t="s">
        <v>822</v>
      </c>
      <c r="C6" s="22">
        <v>96962</v>
      </c>
      <c r="D6" s="18">
        <v>0</v>
      </c>
      <c r="E6" s="18" t="str">
        <f t="shared" si="0"/>
        <v>PASS</v>
      </c>
    </row>
    <row r="7" spans="1:5" ht="23.25" customHeight="1" x14ac:dyDescent="0.2">
      <c r="A7" s="24" t="s">
        <v>823</v>
      </c>
      <c r="B7" s="19" t="s">
        <v>824</v>
      </c>
      <c r="C7" s="22">
        <v>25001</v>
      </c>
      <c r="D7" s="18">
        <v>0</v>
      </c>
      <c r="E7" s="18" t="str">
        <f t="shared" si="0"/>
        <v>PASS</v>
      </c>
    </row>
    <row r="8" spans="1:5" ht="15" customHeight="1" x14ac:dyDescent="0.2">
      <c r="A8" s="24" t="s">
        <v>705</v>
      </c>
      <c r="B8" s="19" t="s">
        <v>825</v>
      </c>
      <c r="C8" s="22">
        <v>17805</v>
      </c>
      <c r="D8" s="18">
        <v>0</v>
      </c>
      <c r="E8" s="18" t="str">
        <f t="shared" si="0"/>
        <v>PASS</v>
      </c>
    </row>
    <row r="9" spans="1:5" ht="15" customHeight="1" x14ac:dyDescent="0.2">
      <c r="A9" s="24" t="s">
        <v>826</v>
      </c>
      <c r="B9" s="19" t="s">
        <v>827</v>
      </c>
      <c r="C9" s="22">
        <v>2438</v>
      </c>
      <c r="D9" s="18">
        <v>0</v>
      </c>
      <c r="E9" s="18" t="str">
        <f t="shared" si="0"/>
        <v>PASS</v>
      </c>
    </row>
    <row r="10" spans="1:5" ht="15" customHeight="1" x14ac:dyDescent="0.2">
      <c r="A10" s="24" t="s">
        <v>828</v>
      </c>
      <c r="B10" s="19" t="s">
        <v>829</v>
      </c>
      <c r="C10" s="22">
        <v>51151</v>
      </c>
      <c r="D10" s="18">
        <v>0</v>
      </c>
      <c r="E10" s="18" t="str">
        <f t="shared" si="0"/>
        <v>PASS</v>
      </c>
    </row>
    <row r="11" spans="1:5" ht="15" customHeight="1" x14ac:dyDescent="0.2">
      <c r="A11" s="24" t="s">
        <v>830</v>
      </c>
      <c r="B11" s="19" t="s">
        <v>831</v>
      </c>
      <c r="C11" s="22">
        <v>40922</v>
      </c>
      <c r="D11" s="18">
        <v>0</v>
      </c>
      <c r="E11" s="18" t="str">
        <f t="shared" si="0"/>
        <v>PASS</v>
      </c>
    </row>
    <row r="12" spans="1:5" ht="15" customHeight="1" x14ac:dyDescent="0.2">
      <c r="A12" s="24" t="s">
        <v>832</v>
      </c>
      <c r="B12" s="19" t="s">
        <v>833</v>
      </c>
      <c r="C12" s="22">
        <v>16</v>
      </c>
      <c r="D12" s="18">
        <v>0</v>
      </c>
      <c r="E12" s="18" t="str">
        <f t="shared" si="0"/>
        <v>PASS</v>
      </c>
    </row>
    <row r="13" spans="1:5" ht="15" customHeight="1" x14ac:dyDescent="0.2">
      <c r="A13" s="24" t="s">
        <v>733</v>
      </c>
      <c r="B13" s="19" t="s">
        <v>834</v>
      </c>
      <c r="C13" s="22">
        <v>12</v>
      </c>
      <c r="D13" s="18">
        <v>0</v>
      </c>
      <c r="E13" s="18" t="str">
        <f t="shared" si="0"/>
        <v>PASS</v>
      </c>
    </row>
    <row r="14" spans="1:5" ht="15" customHeight="1" x14ac:dyDescent="0.2">
      <c r="A14" s="24" t="s">
        <v>835</v>
      </c>
      <c r="B14" s="19"/>
      <c r="C14" s="25">
        <f>SUM(C5:C13)</f>
        <v>234322</v>
      </c>
      <c r="D14" s="23">
        <f>SUM(D5:D13)</f>
        <v>0</v>
      </c>
      <c r="E14" s="23" t="str">
        <f t="shared" si="0"/>
        <v>PASS</v>
      </c>
    </row>
    <row r="16" spans="1:5" ht="15" customHeight="1" x14ac:dyDescent="0.2">
      <c r="A16" s="6" t="s">
        <v>836</v>
      </c>
    </row>
  </sheetData>
  <conditionalFormatting sqref="E5:E14">
    <cfRule type="cellIs" dxfId="26" priority="2" operator="equal">
      <formula>"PASS"</formula>
    </cfRule>
    <cfRule type="cellIs" dxfId="25" priority="3" operator="equal">
      <formula>"FAIL"</formula>
    </cfRule>
    <cfRule type="cellIs" dxfId="24" priority="4" operator="equal">
      <formula>"OBSERVATION"</formula>
    </cfRule>
    <cfRule type="cellIs" dxfId="23" priority="5" operator="equal">
      <formula>"Fixed in final file"</formula>
    </cfRule>
    <cfRule type="cellIs" dxfId="22" priority="6" operator="equal">
      <formula>"Fixed and verified"</formula>
    </cfRule>
    <cfRule type="cellIs" dxfId="21" priority="7" operator="equal">
      <formula>"Applied"</formula>
    </cfRule>
    <cfRule type="cellIs" dxfId="20" priority="8" operator="equal">
      <formula>"Open - recommendation"</formula>
    </cfRule>
    <cfRule type="cellIs" dxfId="19" priority="9" operator="equal">
      <formula>"Open - check on bench"</formula>
    </cfRule>
  </conditionalFormatting>
  <pageMargins left="0.75" right="0.75" top="1" bottom="1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1028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8" customWidth="1"/>
    <col min="2" max="2" width="12" customWidth="1"/>
    <col min="3" max="3" width="13" customWidth="1"/>
    <col min="4" max="5" width="12" customWidth="1"/>
    <col min="6" max="6" width="24" customWidth="1"/>
    <col min="7" max="8" width="13" customWidth="1"/>
    <col min="9" max="9" width="12" customWidth="1"/>
    <col min="10" max="10" width="26" customWidth="1"/>
    <col min="11" max="12" width="9" customWidth="1"/>
    <col min="13" max="13" width="10" customWidth="1"/>
    <col min="14" max="15" width="20" customWidth="1"/>
  </cols>
  <sheetData>
    <row r="1" spans="1:15" ht="17.25" customHeight="1" x14ac:dyDescent="0.2">
      <c r="A1" s="5" t="s">
        <v>837</v>
      </c>
    </row>
    <row r="2" spans="1:15" ht="15" customHeight="1" x14ac:dyDescent="0.2">
      <c r="A2" s="6" t="s">
        <v>838</v>
      </c>
    </row>
    <row r="3" spans="1:15" ht="15" customHeight="1" x14ac:dyDescent="0.2">
      <c r="A3" t="s">
        <v>839</v>
      </c>
      <c r="C3" s="26">
        <v>204.7</v>
      </c>
      <c r="D3" t="s">
        <v>840</v>
      </c>
      <c r="F3" s="26">
        <v>4.0359999999999996</v>
      </c>
      <c r="G3" s="6" t="s">
        <v>841</v>
      </c>
    </row>
    <row r="4" spans="1:15" ht="34.5" customHeight="1" x14ac:dyDescent="0.2">
      <c r="A4" s="17" t="s">
        <v>842</v>
      </c>
      <c r="B4" s="17" t="s">
        <v>843</v>
      </c>
      <c r="C4" s="17" t="s">
        <v>844</v>
      </c>
      <c r="D4" s="17" t="s">
        <v>845</v>
      </c>
      <c r="E4" s="17" t="s">
        <v>846</v>
      </c>
      <c r="F4" s="17" t="s">
        <v>847</v>
      </c>
      <c r="G4" s="17" t="s">
        <v>848</v>
      </c>
      <c r="H4" s="17" t="s">
        <v>849</v>
      </c>
      <c r="I4" s="17" t="s">
        <v>850</v>
      </c>
      <c r="J4" s="17" t="s">
        <v>851</v>
      </c>
      <c r="K4" s="17" t="s">
        <v>852</v>
      </c>
      <c r="L4" s="17" t="s">
        <v>853</v>
      </c>
      <c r="M4" s="17" t="s">
        <v>854</v>
      </c>
      <c r="N4" s="17" t="s">
        <v>855</v>
      </c>
      <c r="O4" s="17" t="s">
        <v>856</v>
      </c>
    </row>
    <row r="5" spans="1:15" ht="15" customHeight="1" x14ac:dyDescent="0.2">
      <c r="A5" s="9">
        <v>0</v>
      </c>
      <c r="B5" s="27">
        <f t="shared" ref="B5:B68" si="0">A5/$C$3*1000</f>
        <v>0</v>
      </c>
      <c r="C5" s="27">
        <f t="shared" ref="C5:C68" si="1">B5*$F$3</f>
        <v>0</v>
      </c>
      <c r="D5" s="28">
        <v>0</v>
      </c>
      <c r="E5" s="28">
        <v>0</v>
      </c>
      <c r="F5" s="9" t="str">
        <f t="shared" ref="F5:F68" si="2">IF(D5=E5,"Identical",IF(E5="OL","ADC full scale: now OL",IF(ABS(E5-D5)&lt;0.0105,"Within 10 mV (calibration line)",IF(AND(C5&lt;4200,ABS(E5-D5)&lt;0.0205),"-20 mV (end of old +30 mV band)",IF(C5&lt;830,"Low range fixed (F-02)","Different")))))</f>
        <v>Identical</v>
      </c>
      <c r="G5" s="27">
        <f t="shared" ref="G5:G68" si="3">B5</f>
        <v>0</v>
      </c>
      <c r="H5" s="29">
        <v>0</v>
      </c>
      <c r="I5" s="29">
        <v>0</v>
      </c>
      <c r="J5" s="9" t="str">
        <f t="shared" ref="J5:J68" si="4">IF(H5=I5,"Identical",IF(I5="OL","Above 5.00 A: now OL",IF(H5="ERR (999.23)","Gap bug fixed",IF(ABS(I5-H5-0.01)&lt;0.0001,"+0.01 A (nearest step)","Different"))))</f>
        <v>Identical</v>
      </c>
      <c r="K5" s="9" t="s">
        <v>535</v>
      </c>
      <c r="L5" s="9" t="s">
        <v>535</v>
      </c>
      <c r="M5" s="9" t="str">
        <f t="shared" ref="M5:M68" si="5">IF(K5=L5,"Same","Different")</f>
        <v>Same</v>
      </c>
      <c r="N5" s="30" t="s">
        <v>857</v>
      </c>
      <c r="O5" s="30" t="s">
        <v>857</v>
      </c>
    </row>
    <row r="6" spans="1:15" ht="15" customHeight="1" x14ac:dyDescent="0.2">
      <c r="A6" s="9">
        <v>1</v>
      </c>
      <c r="B6" s="27">
        <f t="shared" si="0"/>
        <v>4.8851978505129452</v>
      </c>
      <c r="C6" s="27">
        <f t="shared" si="1"/>
        <v>19.716658524670244</v>
      </c>
      <c r="D6" s="28">
        <v>0</v>
      </c>
      <c r="E6" s="28">
        <v>0</v>
      </c>
      <c r="F6" s="9" t="str">
        <f t="shared" si="2"/>
        <v>Identical</v>
      </c>
      <c r="G6" s="27">
        <f t="shared" si="3"/>
        <v>4.8851978505129452</v>
      </c>
      <c r="H6" s="29">
        <v>0</v>
      </c>
      <c r="I6" s="29">
        <v>0</v>
      </c>
      <c r="J6" s="9" t="str">
        <f t="shared" si="4"/>
        <v>Identical</v>
      </c>
      <c r="K6" s="9" t="s">
        <v>535</v>
      </c>
      <c r="L6" s="9" t="s">
        <v>535</v>
      </c>
      <c r="M6" s="9" t="str">
        <f t="shared" si="5"/>
        <v>Same</v>
      </c>
      <c r="N6" s="30" t="s">
        <v>857</v>
      </c>
      <c r="O6" s="30" t="s">
        <v>857</v>
      </c>
    </row>
    <row r="7" spans="1:15" ht="15" customHeight="1" x14ac:dyDescent="0.2">
      <c r="A7" s="9">
        <v>2</v>
      </c>
      <c r="B7" s="27">
        <f t="shared" si="0"/>
        <v>9.7703957010258904</v>
      </c>
      <c r="C7" s="27">
        <f t="shared" si="1"/>
        <v>39.433317049340488</v>
      </c>
      <c r="D7" s="28">
        <v>0</v>
      </c>
      <c r="E7" s="28">
        <v>0</v>
      </c>
      <c r="F7" s="9" t="str">
        <f t="shared" si="2"/>
        <v>Identical</v>
      </c>
      <c r="G7" s="27">
        <f t="shared" si="3"/>
        <v>9.7703957010258904</v>
      </c>
      <c r="H7" s="29">
        <v>0.01</v>
      </c>
      <c r="I7" s="29">
        <v>0.01</v>
      </c>
      <c r="J7" s="9" t="str">
        <f t="shared" si="4"/>
        <v>Identical</v>
      </c>
      <c r="K7" s="9" t="s">
        <v>539</v>
      </c>
      <c r="L7" s="9" t="s">
        <v>539</v>
      </c>
      <c r="M7" s="9" t="str">
        <f t="shared" si="5"/>
        <v>Same</v>
      </c>
      <c r="N7" s="30" t="s">
        <v>858</v>
      </c>
      <c r="O7" s="30" t="s">
        <v>858</v>
      </c>
    </row>
    <row r="8" spans="1:15" ht="15" customHeight="1" x14ac:dyDescent="0.2">
      <c r="A8" s="9">
        <v>3</v>
      </c>
      <c r="B8" s="27">
        <f t="shared" si="0"/>
        <v>14.655593551538839</v>
      </c>
      <c r="C8" s="27">
        <f t="shared" si="1"/>
        <v>59.149975574010746</v>
      </c>
      <c r="D8" s="28">
        <v>0</v>
      </c>
      <c r="E8" s="28">
        <v>0</v>
      </c>
      <c r="F8" s="9" t="str">
        <f t="shared" si="2"/>
        <v>Identical</v>
      </c>
      <c r="G8" s="27">
        <f t="shared" si="3"/>
        <v>14.655593551538839</v>
      </c>
      <c r="H8" s="29">
        <v>0.01</v>
      </c>
      <c r="I8" s="29">
        <v>0.01</v>
      </c>
      <c r="J8" s="9" t="str">
        <f t="shared" si="4"/>
        <v>Identical</v>
      </c>
      <c r="K8" s="9" t="s">
        <v>539</v>
      </c>
      <c r="L8" s="9" t="s">
        <v>539</v>
      </c>
      <c r="M8" s="9" t="str">
        <f t="shared" si="5"/>
        <v>Same</v>
      </c>
      <c r="N8" s="30" t="s">
        <v>858</v>
      </c>
      <c r="O8" s="30" t="s">
        <v>858</v>
      </c>
    </row>
    <row r="9" spans="1:15" ht="15" customHeight="1" x14ac:dyDescent="0.2">
      <c r="A9" s="9">
        <v>4</v>
      </c>
      <c r="B9" s="27">
        <f t="shared" si="0"/>
        <v>19.540791402051781</v>
      </c>
      <c r="C9" s="27">
        <f t="shared" si="1"/>
        <v>78.866634098680976</v>
      </c>
      <c r="D9" s="28">
        <v>0</v>
      </c>
      <c r="E9" s="28">
        <v>0</v>
      </c>
      <c r="F9" s="9" t="str">
        <f t="shared" si="2"/>
        <v>Identical</v>
      </c>
      <c r="G9" s="27">
        <f t="shared" si="3"/>
        <v>19.540791402051781</v>
      </c>
      <c r="H9" s="29">
        <v>0.02</v>
      </c>
      <c r="I9" s="29">
        <v>0.02</v>
      </c>
      <c r="J9" s="9" t="str">
        <f t="shared" si="4"/>
        <v>Identical</v>
      </c>
      <c r="K9" s="9" t="s">
        <v>539</v>
      </c>
      <c r="L9" s="9" t="s">
        <v>539</v>
      </c>
      <c r="M9" s="9" t="str">
        <f t="shared" si="5"/>
        <v>Same</v>
      </c>
      <c r="N9" s="30" t="s">
        <v>859</v>
      </c>
      <c r="O9" s="30" t="s">
        <v>859</v>
      </c>
    </row>
    <row r="10" spans="1:15" ht="15" customHeight="1" x14ac:dyDescent="0.2">
      <c r="A10" s="9">
        <v>5</v>
      </c>
      <c r="B10" s="27">
        <f t="shared" si="0"/>
        <v>24.425989252564733</v>
      </c>
      <c r="C10" s="27">
        <f t="shared" si="1"/>
        <v>98.583292623351255</v>
      </c>
      <c r="D10" s="28">
        <v>0</v>
      </c>
      <c r="E10" s="28">
        <v>0</v>
      </c>
      <c r="F10" s="9" t="str">
        <f t="shared" si="2"/>
        <v>Identical</v>
      </c>
      <c r="G10" s="27">
        <f t="shared" si="3"/>
        <v>24.425989252564733</v>
      </c>
      <c r="H10" s="29">
        <v>0.02</v>
      </c>
      <c r="I10" s="29">
        <v>0.02</v>
      </c>
      <c r="J10" s="9" t="str">
        <f t="shared" si="4"/>
        <v>Identical</v>
      </c>
      <c r="K10" s="9" t="s">
        <v>539</v>
      </c>
      <c r="L10" s="9" t="s">
        <v>539</v>
      </c>
      <c r="M10" s="9" t="str">
        <f t="shared" si="5"/>
        <v>Same</v>
      </c>
      <c r="N10" s="30" t="s">
        <v>859</v>
      </c>
      <c r="O10" s="30" t="s">
        <v>859</v>
      </c>
    </row>
    <row r="11" spans="1:15" ht="15" customHeight="1" x14ac:dyDescent="0.2">
      <c r="A11" s="9">
        <v>6</v>
      </c>
      <c r="B11" s="27">
        <f t="shared" si="0"/>
        <v>29.311187103077678</v>
      </c>
      <c r="C11" s="27">
        <f t="shared" si="1"/>
        <v>118.29995114802149</v>
      </c>
      <c r="D11" s="28">
        <v>0</v>
      </c>
      <c r="E11" s="28">
        <v>0</v>
      </c>
      <c r="F11" s="9" t="str">
        <f t="shared" si="2"/>
        <v>Identical</v>
      </c>
      <c r="G11" s="27">
        <f t="shared" si="3"/>
        <v>29.311187103077678</v>
      </c>
      <c r="H11" s="29">
        <v>0.03</v>
      </c>
      <c r="I11" s="29">
        <v>0.03</v>
      </c>
      <c r="J11" s="9" t="str">
        <f t="shared" si="4"/>
        <v>Identical</v>
      </c>
      <c r="K11" s="9" t="s">
        <v>539</v>
      </c>
      <c r="L11" s="9" t="s">
        <v>539</v>
      </c>
      <c r="M11" s="9" t="str">
        <f t="shared" si="5"/>
        <v>Same</v>
      </c>
      <c r="N11" s="30" t="s">
        <v>860</v>
      </c>
      <c r="O11" s="30" t="s">
        <v>860</v>
      </c>
    </row>
    <row r="12" spans="1:15" ht="15" customHeight="1" x14ac:dyDescent="0.2">
      <c r="A12" s="9">
        <v>7</v>
      </c>
      <c r="B12" s="27">
        <f t="shared" si="0"/>
        <v>34.196384953590616</v>
      </c>
      <c r="C12" s="27">
        <f t="shared" si="1"/>
        <v>138.01660967269171</v>
      </c>
      <c r="D12" s="28">
        <v>0</v>
      </c>
      <c r="E12" s="28">
        <v>0</v>
      </c>
      <c r="F12" s="9" t="str">
        <f t="shared" si="2"/>
        <v>Identical</v>
      </c>
      <c r="G12" s="27">
        <f t="shared" si="3"/>
        <v>34.196384953590616</v>
      </c>
      <c r="H12" s="29">
        <v>0.03</v>
      </c>
      <c r="I12" s="29">
        <v>0.03</v>
      </c>
      <c r="J12" s="9" t="str">
        <f t="shared" si="4"/>
        <v>Identical</v>
      </c>
      <c r="K12" s="9" t="s">
        <v>539</v>
      </c>
      <c r="L12" s="9" t="s">
        <v>539</v>
      </c>
      <c r="M12" s="9" t="str">
        <f t="shared" si="5"/>
        <v>Same</v>
      </c>
      <c r="N12" s="30" t="s">
        <v>860</v>
      </c>
      <c r="O12" s="30" t="s">
        <v>860</v>
      </c>
    </row>
    <row r="13" spans="1:15" ht="15" customHeight="1" x14ac:dyDescent="0.2">
      <c r="A13" s="9">
        <v>8</v>
      </c>
      <c r="B13" s="27">
        <f t="shared" si="0"/>
        <v>39.081582804103562</v>
      </c>
      <c r="C13" s="27">
        <f t="shared" si="1"/>
        <v>157.73326819736195</v>
      </c>
      <c r="D13" s="28">
        <v>0</v>
      </c>
      <c r="E13" s="28">
        <v>0</v>
      </c>
      <c r="F13" s="9" t="str">
        <f t="shared" si="2"/>
        <v>Identical</v>
      </c>
      <c r="G13" s="27">
        <f t="shared" si="3"/>
        <v>39.081582804103562</v>
      </c>
      <c r="H13" s="29">
        <v>0.04</v>
      </c>
      <c r="I13" s="29">
        <v>0.04</v>
      </c>
      <c r="J13" s="9" t="str">
        <f t="shared" si="4"/>
        <v>Identical</v>
      </c>
      <c r="K13" s="9" t="s">
        <v>539</v>
      </c>
      <c r="L13" s="9" t="s">
        <v>539</v>
      </c>
      <c r="M13" s="9" t="str">
        <f t="shared" si="5"/>
        <v>Same</v>
      </c>
      <c r="N13" s="30" t="s">
        <v>861</v>
      </c>
      <c r="O13" s="30" t="s">
        <v>861</v>
      </c>
    </row>
    <row r="14" spans="1:15" ht="15" customHeight="1" x14ac:dyDescent="0.2">
      <c r="A14" s="9">
        <v>9</v>
      </c>
      <c r="B14" s="27">
        <f t="shared" si="0"/>
        <v>43.966780654616521</v>
      </c>
      <c r="C14" s="27">
        <f t="shared" si="1"/>
        <v>177.44992672203227</v>
      </c>
      <c r="D14" s="28">
        <v>0</v>
      </c>
      <c r="E14" s="28">
        <v>0</v>
      </c>
      <c r="F14" s="9" t="str">
        <f t="shared" si="2"/>
        <v>Identical</v>
      </c>
      <c r="G14" s="27">
        <f t="shared" si="3"/>
        <v>43.966780654616521</v>
      </c>
      <c r="H14" s="29">
        <v>0.04</v>
      </c>
      <c r="I14" s="29">
        <v>0.05</v>
      </c>
      <c r="J14" s="9" t="str">
        <f t="shared" si="4"/>
        <v>+0.01 A (nearest step)</v>
      </c>
      <c r="K14" s="9" t="s">
        <v>539</v>
      </c>
      <c r="L14" s="9" t="s">
        <v>539</v>
      </c>
      <c r="M14" s="9" t="str">
        <f t="shared" si="5"/>
        <v>Same</v>
      </c>
      <c r="N14" s="30" t="s">
        <v>861</v>
      </c>
      <c r="O14" s="30" t="s">
        <v>862</v>
      </c>
    </row>
    <row r="15" spans="1:15" ht="15" customHeight="1" x14ac:dyDescent="0.2">
      <c r="A15" s="9">
        <v>10</v>
      </c>
      <c r="B15" s="27">
        <f t="shared" si="0"/>
        <v>48.851978505129466</v>
      </c>
      <c r="C15" s="27">
        <f t="shared" si="1"/>
        <v>197.16658524670251</v>
      </c>
      <c r="D15" s="28">
        <v>0</v>
      </c>
      <c r="E15" s="28">
        <v>0</v>
      </c>
      <c r="F15" s="9" t="str">
        <f t="shared" si="2"/>
        <v>Identical</v>
      </c>
      <c r="G15" s="27">
        <f t="shared" si="3"/>
        <v>48.851978505129466</v>
      </c>
      <c r="H15" s="29">
        <v>0.05</v>
      </c>
      <c r="I15" s="29">
        <v>0.05</v>
      </c>
      <c r="J15" s="9" t="str">
        <f t="shared" si="4"/>
        <v>Identical</v>
      </c>
      <c r="K15" s="9" t="s">
        <v>539</v>
      </c>
      <c r="L15" s="9" t="s">
        <v>539</v>
      </c>
      <c r="M15" s="9" t="str">
        <f t="shared" si="5"/>
        <v>Same</v>
      </c>
      <c r="N15" s="30" t="s">
        <v>862</v>
      </c>
      <c r="O15" s="30" t="s">
        <v>862</v>
      </c>
    </row>
    <row r="16" spans="1:15" ht="15" customHeight="1" x14ac:dyDescent="0.2">
      <c r="A16" s="9">
        <v>11</v>
      </c>
      <c r="B16" s="27">
        <f t="shared" si="0"/>
        <v>53.737176355642411</v>
      </c>
      <c r="C16" s="27">
        <f t="shared" si="1"/>
        <v>216.88324377137275</v>
      </c>
      <c r="D16" s="28">
        <v>0</v>
      </c>
      <c r="E16" s="28">
        <v>0</v>
      </c>
      <c r="F16" s="9" t="str">
        <f t="shared" si="2"/>
        <v>Identical</v>
      </c>
      <c r="G16" s="27">
        <f t="shared" si="3"/>
        <v>53.737176355642411</v>
      </c>
      <c r="H16" s="29">
        <v>0.06</v>
      </c>
      <c r="I16" s="29">
        <v>0.06</v>
      </c>
      <c r="J16" s="9" t="str">
        <f t="shared" si="4"/>
        <v>Identical</v>
      </c>
      <c r="K16" s="9" t="s">
        <v>539</v>
      </c>
      <c r="L16" s="9" t="s">
        <v>539</v>
      </c>
      <c r="M16" s="9" t="str">
        <f t="shared" si="5"/>
        <v>Same</v>
      </c>
      <c r="N16" s="30" t="s">
        <v>863</v>
      </c>
      <c r="O16" s="30" t="s">
        <v>863</v>
      </c>
    </row>
    <row r="17" spans="1:15" ht="15" customHeight="1" x14ac:dyDescent="0.2">
      <c r="A17" s="9">
        <v>12</v>
      </c>
      <c r="B17" s="27">
        <f t="shared" si="0"/>
        <v>58.622374206155357</v>
      </c>
      <c r="C17" s="27">
        <f t="shared" si="1"/>
        <v>236.59990229604298</v>
      </c>
      <c r="D17" s="28">
        <v>0</v>
      </c>
      <c r="E17" s="28">
        <v>0</v>
      </c>
      <c r="F17" s="9" t="str">
        <f t="shared" si="2"/>
        <v>Identical</v>
      </c>
      <c r="G17" s="27">
        <f t="shared" si="3"/>
        <v>58.622374206155357</v>
      </c>
      <c r="H17" s="29">
        <v>0.06</v>
      </c>
      <c r="I17" s="29">
        <v>0.06</v>
      </c>
      <c r="J17" s="9" t="str">
        <f t="shared" si="4"/>
        <v>Identical</v>
      </c>
      <c r="K17" s="9" t="s">
        <v>539</v>
      </c>
      <c r="L17" s="9" t="s">
        <v>539</v>
      </c>
      <c r="M17" s="9" t="str">
        <f t="shared" si="5"/>
        <v>Same</v>
      </c>
      <c r="N17" s="30" t="s">
        <v>863</v>
      </c>
      <c r="O17" s="30" t="s">
        <v>863</v>
      </c>
    </row>
    <row r="18" spans="1:15" ht="15" customHeight="1" x14ac:dyDescent="0.2">
      <c r="A18" s="9">
        <v>13</v>
      </c>
      <c r="B18" s="27">
        <f t="shared" si="0"/>
        <v>63.507572056668295</v>
      </c>
      <c r="C18" s="27">
        <f t="shared" si="1"/>
        <v>256.31656082071322</v>
      </c>
      <c r="D18" s="28">
        <v>0</v>
      </c>
      <c r="E18" s="28">
        <v>0</v>
      </c>
      <c r="F18" s="9" t="str">
        <f t="shared" si="2"/>
        <v>Identical</v>
      </c>
      <c r="G18" s="27">
        <f t="shared" si="3"/>
        <v>63.507572056668295</v>
      </c>
      <c r="H18" s="29">
        <v>7.0000000000000007E-2</v>
      </c>
      <c r="I18" s="29">
        <v>7.0000000000000007E-2</v>
      </c>
      <c r="J18" s="9" t="str">
        <f t="shared" si="4"/>
        <v>Identical</v>
      </c>
      <c r="K18" s="9" t="s">
        <v>539</v>
      </c>
      <c r="L18" s="9" t="s">
        <v>539</v>
      </c>
      <c r="M18" s="9" t="str">
        <f t="shared" si="5"/>
        <v>Same</v>
      </c>
      <c r="N18" s="30" t="s">
        <v>864</v>
      </c>
      <c r="O18" s="30" t="s">
        <v>864</v>
      </c>
    </row>
    <row r="19" spans="1:15" ht="15" customHeight="1" x14ac:dyDescent="0.2">
      <c r="A19" s="9">
        <v>14</v>
      </c>
      <c r="B19" s="27">
        <f t="shared" si="0"/>
        <v>68.392769907181233</v>
      </c>
      <c r="C19" s="27">
        <f t="shared" si="1"/>
        <v>276.03321934538343</v>
      </c>
      <c r="D19" s="28">
        <v>0</v>
      </c>
      <c r="E19" s="28">
        <v>0</v>
      </c>
      <c r="F19" s="9" t="str">
        <f t="shared" si="2"/>
        <v>Identical</v>
      </c>
      <c r="G19" s="27">
        <f t="shared" si="3"/>
        <v>68.392769907181233</v>
      </c>
      <c r="H19" s="29">
        <v>7.0000000000000007E-2</v>
      </c>
      <c r="I19" s="29">
        <v>7.0000000000000007E-2</v>
      </c>
      <c r="J19" s="9" t="str">
        <f t="shared" si="4"/>
        <v>Identical</v>
      </c>
      <c r="K19" s="9" t="s">
        <v>539</v>
      </c>
      <c r="L19" s="9" t="s">
        <v>539</v>
      </c>
      <c r="M19" s="9" t="str">
        <f t="shared" si="5"/>
        <v>Same</v>
      </c>
      <c r="N19" s="30" t="s">
        <v>864</v>
      </c>
      <c r="O19" s="30" t="s">
        <v>864</v>
      </c>
    </row>
    <row r="20" spans="1:15" ht="15" customHeight="1" x14ac:dyDescent="0.2">
      <c r="A20" s="9">
        <v>15</v>
      </c>
      <c r="B20" s="27">
        <f t="shared" si="0"/>
        <v>73.277967757694185</v>
      </c>
      <c r="C20" s="27">
        <f t="shared" si="1"/>
        <v>295.74987787005369</v>
      </c>
      <c r="D20" s="28">
        <v>0</v>
      </c>
      <c r="E20" s="28">
        <v>0</v>
      </c>
      <c r="F20" s="9" t="str">
        <f t="shared" si="2"/>
        <v>Identical</v>
      </c>
      <c r="G20" s="27">
        <f t="shared" si="3"/>
        <v>73.277967757694185</v>
      </c>
      <c r="H20" s="29">
        <v>0.08</v>
      </c>
      <c r="I20" s="29">
        <v>0.08</v>
      </c>
      <c r="J20" s="9" t="str">
        <f t="shared" si="4"/>
        <v>Identical</v>
      </c>
      <c r="K20" s="9" t="s">
        <v>539</v>
      </c>
      <c r="L20" s="9" t="s">
        <v>539</v>
      </c>
      <c r="M20" s="9" t="str">
        <f t="shared" si="5"/>
        <v>Same</v>
      </c>
      <c r="N20" s="30" t="s">
        <v>865</v>
      </c>
      <c r="O20" s="30" t="s">
        <v>865</v>
      </c>
    </row>
    <row r="21" spans="1:15" ht="15" customHeight="1" x14ac:dyDescent="0.2">
      <c r="A21" s="9">
        <v>16</v>
      </c>
      <c r="B21" s="27">
        <f t="shared" si="0"/>
        <v>78.163165608207123</v>
      </c>
      <c r="C21" s="27">
        <f t="shared" si="1"/>
        <v>315.4665363947239</v>
      </c>
      <c r="D21" s="28">
        <v>0</v>
      </c>
      <c r="E21" s="28">
        <v>0</v>
      </c>
      <c r="F21" s="9" t="str">
        <f t="shared" si="2"/>
        <v>Identical</v>
      </c>
      <c r="G21" s="27">
        <f t="shared" si="3"/>
        <v>78.163165608207123</v>
      </c>
      <c r="H21" s="29">
        <v>0.08</v>
      </c>
      <c r="I21" s="29">
        <v>0.08</v>
      </c>
      <c r="J21" s="9" t="str">
        <f t="shared" si="4"/>
        <v>Identical</v>
      </c>
      <c r="K21" s="9" t="s">
        <v>539</v>
      </c>
      <c r="L21" s="9" t="s">
        <v>539</v>
      </c>
      <c r="M21" s="9" t="str">
        <f t="shared" si="5"/>
        <v>Same</v>
      </c>
      <c r="N21" s="30" t="s">
        <v>865</v>
      </c>
      <c r="O21" s="30" t="s">
        <v>865</v>
      </c>
    </row>
    <row r="22" spans="1:15" ht="15" customHeight="1" x14ac:dyDescent="0.2">
      <c r="A22" s="9">
        <v>17</v>
      </c>
      <c r="B22" s="27">
        <f t="shared" si="0"/>
        <v>83.048363458720075</v>
      </c>
      <c r="C22" s="27">
        <f t="shared" si="1"/>
        <v>335.18319491939417</v>
      </c>
      <c r="D22" s="28">
        <v>0</v>
      </c>
      <c r="E22" s="28">
        <v>0</v>
      </c>
      <c r="F22" s="9" t="str">
        <f t="shared" si="2"/>
        <v>Identical</v>
      </c>
      <c r="G22" s="27">
        <f t="shared" si="3"/>
        <v>83.048363458720075</v>
      </c>
      <c r="H22" s="29">
        <v>0.09</v>
      </c>
      <c r="I22" s="29">
        <v>0.09</v>
      </c>
      <c r="J22" s="9" t="str">
        <f t="shared" si="4"/>
        <v>Identical</v>
      </c>
      <c r="K22" s="9" t="s">
        <v>539</v>
      </c>
      <c r="L22" s="9" t="s">
        <v>539</v>
      </c>
      <c r="M22" s="9" t="str">
        <f t="shared" si="5"/>
        <v>Same</v>
      </c>
      <c r="N22" s="30" t="s">
        <v>866</v>
      </c>
      <c r="O22" s="30" t="s">
        <v>866</v>
      </c>
    </row>
    <row r="23" spans="1:15" ht="15" customHeight="1" x14ac:dyDescent="0.2">
      <c r="A23" s="9">
        <v>18</v>
      </c>
      <c r="B23" s="27">
        <f t="shared" si="0"/>
        <v>87.933561309233042</v>
      </c>
      <c r="C23" s="27">
        <f t="shared" si="1"/>
        <v>354.89985344406455</v>
      </c>
      <c r="D23" s="28">
        <v>0</v>
      </c>
      <c r="E23" s="28">
        <v>0</v>
      </c>
      <c r="F23" s="9" t="str">
        <f t="shared" si="2"/>
        <v>Identical</v>
      </c>
      <c r="G23" s="27">
        <f t="shared" si="3"/>
        <v>87.933561309233042</v>
      </c>
      <c r="H23" s="29">
        <v>0.09</v>
      </c>
      <c r="I23" s="29">
        <v>0.09</v>
      </c>
      <c r="J23" s="9" t="str">
        <f t="shared" si="4"/>
        <v>Identical</v>
      </c>
      <c r="K23" s="9" t="s">
        <v>539</v>
      </c>
      <c r="L23" s="9" t="s">
        <v>539</v>
      </c>
      <c r="M23" s="9" t="str">
        <f t="shared" si="5"/>
        <v>Same</v>
      </c>
      <c r="N23" s="30" t="s">
        <v>866</v>
      </c>
      <c r="O23" s="30" t="s">
        <v>866</v>
      </c>
    </row>
    <row r="24" spans="1:15" ht="15" customHeight="1" x14ac:dyDescent="0.2">
      <c r="A24" s="9">
        <v>19</v>
      </c>
      <c r="B24" s="27">
        <f t="shared" si="0"/>
        <v>92.81875915974598</v>
      </c>
      <c r="C24" s="27">
        <f t="shared" si="1"/>
        <v>374.61651196873476</v>
      </c>
      <c r="D24" s="28">
        <v>0</v>
      </c>
      <c r="E24" s="28">
        <v>0</v>
      </c>
      <c r="F24" s="9" t="str">
        <f t="shared" si="2"/>
        <v>Identical</v>
      </c>
      <c r="G24" s="27">
        <f t="shared" si="3"/>
        <v>92.81875915974598</v>
      </c>
      <c r="H24" s="29">
        <v>0.1</v>
      </c>
      <c r="I24" s="29">
        <v>0.1</v>
      </c>
      <c r="J24" s="9" t="str">
        <f t="shared" si="4"/>
        <v>Identical</v>
      </c>
      <c r="K24" s="9" t="s">
        <v>539</v>
      </c>
      <c r="L24" s="9" t="s">
        <v>539</v>
      </c>
      <c r="M24" s="9" t="str">
        <f t="shared" si="5"/>
        <v>Same</v>
      </c>
      <c r="N24" s="30" t="s">
        <v>867</v>
      </c>
      <c r="O24" s="30" t="s">
        <v>867</v>
      </c>
    </row>
    <row r="25" spans="1:15" ht="15" customHeight="1" x14ac:dyDescent="0.2">
      <c r="A25" s="9">
        <v>20</v>
      </c>
      <c r="B25" s="27">
        <f t="shared" si="0"/>
        <v>97.703957010258932</v>
      </c>
      <c r="C25" s="27">
        <f t="shared" si="1"/>
        <v>394.33317049340502</v>
      </c>
      <c r="D25" s="28">
        <v>0</v>
      </c>
      <c r="E25" s="28">
        <v>0</v>
      </c>
      <c r="F25" s="9" t="str">
        <f t="shared" si="2"/>
        <v>Identical</v>
      </c>
      <c r="G25" s="27">
        <f t="shared" si="3"/>
        <v>97.703957010258932</v>
      </c>
      <c r="H25" s="29">
        <v>0.1</v>
      </c>
      <c r="I25" s="29">
        <v>0.11</v>
      </c>
      <c r="J25" s="9" t="str">
        <f t="shared" si="4"/>
        <v>+0.01 A (nearest step)</v>
      </c>
      <c r="K25" s="9" t="s">
        <v>539</v>
      </c>
      <c r="L25" s="9" t="s">
        <v>539</v>
      </c>
      <c r="M25" s="9" t="str">
        <f t="shared" si="5"/>
        <v>Same</v>
      </c>
      <c r="N25" s="30" t="s">
        <v>867</v>
      </c>
      <c r="O25" s="30" t="s">
        <v>868</v>
      </c>
    </row>
    <row r="26" spans="1:15" ht="15" customHeight="1" x14ac:dyDescent="0.2">
      <c r="A26" s="9">
        <v>21</v>
      </c>
      <c r="B26" s="27">
        <f t="shared" si="0"/>
        <v>102.58915486077187</v>
      </c>
      <c r="C26" s="27">
        <f t="shared" si="1"/>
        <v>414.04982901807523</v>
      </c>
      <c r="D26" s="28">
        <v>0</v>
      </c>
      <c r="E26" s="28">
        <v>0</v>
      </c>
      <c r="F26" s="9" t="str">
        <f t="shared" si="2"/>
        <v>Identical</v>
      </c>
      <c r="G26" s="27">
        <f t="shared" si="3"/>
        <v>102.58915486077187</v>
      </c>
      <c r="H26" s="29">
        <v>0.11</v>
      </c>
      <c r="I26" s="29">
        <v>0.11</v>
      </c>
      <c r="J26" s="9" t="str">
        <f t="shared" si="4"/>
        <v>Identical</v>
      </c>
      <c r="K26" s="9" t="s">
        <v>539</v>
      </c>
      <c r="L26" s="9" t="s">
        <v>539</v>
      </c>
      <c r="M26" s="9" t="str">
        <f t="shared" si="5"/>
        <v>Same</v>
      </c>
      <c r="N26" s="30" t="s">
        <v>868</v>
      </c>
      <c r="O26" s="30" t="s">
        <v>868</v>
      </c>
    </row>
    <row r="27" spans="1:15" ht="15" customHeight="1" x14ac:dyDescent="0.2">
      <c r="A27" s="9">
        <v>22</v>
      </c>
      <c r="B27" s="27">
        <f t="shared" si="0"/>
        <v>107.47435271128482</v>
      </c>
      <c r="C27" s="27">
        <f t="shared" si="1"/>
        <v>433.76648754274549</v>
      </c>
      <c r="D27" s="28">
        <v>0</v>
      </c>
      <c r="E27" s="28">
        <v>0</v>
      </c>
      <c r="F27" s="9" t="str">
        <f t="shared" si="2"/>
        <v>Identical</v>
      </c>
      <c r="G27" s="27">
        <f t="shared" si="3"/>
        <v>107.47435271128482</v>
      </c>
      <c r="H27" s="29">
        <v>0.12</v>
      </c>
      <c r="I27" s="29">
        <v>0.12</v>
      </c>
      <c r="J27" s="9" t="str">
        <f t="shared" si="4"/>
        <v>Identical</v>
      </c>
      <c r="K27" s="9" t="s">
        <v>539</v>
      </c>
      <c r="L27" s="9" t="s">
        <v>539</v>
      </c>
      <c r="M27" s="9" t="str">
        <f t="shared" si="5"/>
        <v>Same</v>
      </c>
      <c r="N27" s="30" t="s">
        <v>869</v>
      </c>
      <c r="O27" s="30" t="s">
        <v>869</v>
      </c>
    </row>
    <row r="28" spans="1:15" ht="15" customHeight="1" x14ac:dyDescent="0.2">
      <c r="A28" s="9">
        <v>23</v>
      </c>
      <c r="B28" s="27">
        <f t="shared" si="0"/>
        <v>112.35955056179776</v>
      </c>
      <c r="C28" s="27">
        <f t="shared" si="1"/>
        <v>453.4831460674157</v>
      </c>
      <c r="D28" s="28">
        <v>0</v>
      </c>
      <c r="E28" s="28">
        <v>0</v>
      </c>
      <c r="F28" s="9" t="str">
        <f t="shared" si="2"/>
        <v>Identical</v>
      </c>
      <c r="G28" s="27">
        <f t="shared" si="3"/>
        <v>112.35955056179776</v>
      </c>
      <c r="H28" s="29">
        <v>0.12</v>
      </c>
      <c r="I28" s="29">
        <v>0.12</v>
      </c>
      <c r="J28" s="9" t="str">
        <f t="shared" si="4"/>
        <v>Identical</v>
      </c>
      <c r="K28" s="9" t="s">
        <v>539</v>
      </c>
      <c r="L28" s="9" t="s">
        <v>539</v>
      </c>
      <c r="M28" s="9" t="str">
        <f t="shared" si="5"/>
        <v>Same</v>
      </c>
      <c r="N28" s="30" t="s">
        <v>869</v>
      </c>
      <c r="O28" s="30" t="s">
        <v>869</v>
      </c>
    </row>
    <row r="29" spans="1:15" ht="15" customHeight="1" x14ac:dyDescent="0.2">
      <c r="A29" s="9">
        <v>24</v>
      </c>
      <c r="B29" s="27">
        <f t="shared" si="0"/>
        <v>117.24474841231071</v>
      </c>
      <c r="C29" s="27">
        <f t="shared" si="1"/>
        <v>473.19980459208597</v>
      </c>
      <c r="D29" s="28">
        <v>0</v>
      </c>
      <c r="E29" s="28">
        <v>0</v>
      </c>
      <c r="F29" s="9" t="str">
        <f t="shared" si="2"/>
        <v>Identical</v>
      </c>
      <c r="G29" s="27">
        <f t="shared" si="3"/>
        <v>117.24474841231071</v>
      </c>
      <c r="H29" s="29">
        <v>0.13</v>
      </c>
      <c r="I29" s="29">
        <v>0.13</v>
      </c>
      <c r="J29" s="9" t="str">
        <f t="shared" si="4"/>
        <v>Identical</v>
      </c>
      <c r="K29" s="9" t="s">
        <v>539</v>
      </c>
      <c r="L29" s="9" t="s">
        <v>539</v>
      </c>
      <c r="M29" s="9" t="str">
        <f t="shared" si="5"/>
        <v>Same</v>
      </c>
      <c r="N29" s="30" t="s">
        <v>870</v>
      </c>
      <c r="O29" s="30" t="s">
        <v>870</v>
      </c>
    </row>
    <row r="30" spans="1:15" ht="15" customHeight="1" x14ac:dyDescent="0.2">
      <c r="A30" s="9">
        <v>25</v>
      </c>
      <c r="B30" s="27">
        <f t="shared" si="0"/>
        <v>122.12994626282365</v>
      </c>
      <c r="C30" s="27">
        <f t="shared" si="1"/>
        <v>492.91646311675623</v>
      </c>
      <c r="D30" s="28">
        <v>0</v>
      </c>
      <c r="E30" s="28">
        <v>0</v>
      </c>
      <c r="F30" s="9" t="str">
        <f t="shared" si="2"/>
        <v>Identical</v>
      </c>
      <c r="G30" s="27">
        <f t="shared" si="3"/>
        <v>122.12994626282365</v>
      </c>
      <c r="H30" s="29">
        <v>0.13</v>
      </c>
      <c r="I30" s="29">
        <v>0.13</v>
      </c>
      <c r="J30" s="9" t="str">
        <f t="shared" si="4"/>
        <v>Identical</v>
      </c>
      <c r="K30" s="9" t="s">
        <v>539</v>
      </c>
      <c r="L30" s="9" t="s">
        <v>539</v>
      </c>
      <c r="M30" s="9" t="str">
        <f t="shared" si="5"/>
        <v>Same</v>
      </c>
      <c r="N30" s="30" t="s">
        <v>870</v>
      </c>
      <c r="O30" s="30" t="s">
        <v>870</v>
      </c>
    </row>
    <row r="31" spans="1:15" ht="15" customHeight="1" x14ac:dyDescent="0.2">
      <c r="A31" s="9">
        <v>26</v>
      </c>
      <c r="B31" s="27">
        <f t="shared" si="0"/>
        <v>127.01514411333659</v>
      </c>
      <c r="C31" s="27">
        <f t="shared" si="1"/>
        <v>512.63312164142644</v>
      </c>
      <c r="D31" s="28">
        <v>0</v>
      </c>
      <c r="E31" s="28">
        <v>0</v>
      </c>
      <c r="F31" s="9" t="str">
        <f t="shared" si="2"/>
        <v>Identical</v>
      </c>
      <c r="G31" s="27">
        <f t="shared" si="3"/>
        <v>127.01514411333659</v>
      </c>
      <c r="H31" s="29">
        <v>0.14000000000000001</v>
      </c>
      <c r="I31" s="29">
        <v>0.14000000000000001</v>
      </c>
      <c r="J31" s="9" t="str">
        <f t="shared" si="4"/>
        <v>Identical</v>
      </c>
      <c r="K31" s="9" t="s">
        <v>539</v>
      </c>
      <c r="L31" s="9" t="s">
        <v>539</v>
      </c>
      <c r="M31" s="9" t="str">
        <f t="shared" si="5"/>
        <v>Same</v>
      </c>
      <c r="N31" s="30" t="s">
        <v>871</v>
      </c>
      <c r="O31" s="30" t="s">
        <v>871</v>
      </c>
    </row>
    <row r="32" spans="1:15" ht="15" customHeight="1" x14ac:dyDescent="0.2">
      <c r="A32" s="9">
        <v>27</v>
      </c>
      <c r="B32" s="27">
        <f t="shared" si="0"/>
        <v>131.90034196384954</v>
      </c>
      <c r="C32" s="27">
        <f t="shared" si="1"/>
        <v>532.34978016609671</v>
      </c>
      <c r="D32" s="28">
        <v>0</v>
      </c>
      <c r="E32" s="28">
        <v>0</v>
      </c>
      <c r="F32" s="9" t="str">
        <f t="shared" si="2"/>
        <v>Identical</v>
      </c>
      <c r="G32" s="27">
        <f t="shared" si="3"/>
        <v>131.90034196384954</v>
      </c>
      <c r="H32" s="29">
        <v>0.14000000000000001</v>
      </c>
      <c r="I32" s="29">
        <v>0.14000000000000001</v>
      </c>
      <c r="J32" s="9" t="str">
        <f t="shared" si="4"/>
        <v>Identical</v>
      </c>
      <c r="K32" s="9" t="s">
        <v>539</v>
      </c>
      <c r="L32" s="9" t="s">
        <v>539</v>
      </c>
      <c r="M32" s="9" t="str">
        <f t="shared" si="5"/>
        <v>Same</v>
      </c>
      <c r="N32" s="30" t="s">
        <v>871</v>
      </c>
      <c r="O32" s="30" t="s">
        <v>871</v>
      </c>
    </row>
    <row r="33" spans="1:15" ht="15" customHeight="1" x14ac:dyDescent="0.2">
      <c r="A33" s="9">
        <v>28</v>
      </c>
      <c r="B33" s="27">
        <f t="shared" si="0"/>
        <v>136.78553981436247</v>
      </c>
      <c r="C33" s="27">
        <f t="shared" si="1"/>
        <v>552.06643869076686</v>
      </c>
      <c r="D33" s="28">
        <v>0</v>
      </c>
      <c r="E33" s="28">
        <v>0</v>
      </c>
      <c r="F33" s="9" t="str">
        <f t="shared" si="2"/>
        <v>Identical</v>
      </c>
      <c r="G33" s="27">
        <f t="shared" si="3"/>
        <v>136.78553981436247</v>
      </c>
      <c r="H33" s="29">
        <v>0.15</v>
      </c>
      <c r="I33" s="29">
        <v>0.15</v>
      </c>
      <c r="J33" s="9" t="str">
        <f t="shared" si="4"/>
        <v>Identical</v>
      </c>
      <c r="K33" s="9" t="s">
        <v>539</v>
      </c>
      <c r="L33" s="9" t="s">
        <v>539</v>
      </c>
      <c r="M33" s="9" t="str">
        <f t="shared" si="5"/>
        <v>Same</v>
      </c>
      <c r="N33" s="30" t="s">
        <v>872</v>
      </c>
      <c r="O33" s="30" t="s">
        <v>872</v>
      </c>
    </row>
    <row r="34" spans="1:15" ht="15" customHeight="1" x14ac:dyDescent="0.2">
      <c r="A34" s="9">
        <v>29</v>
      </c>
      <c r="B34" s="27">
        <f t="shared" si="0"/>
        <v>141.67073766487542</v>
      </c>
      <c r="C34" s="27">
        <f t="shared" si="1"/>
        <v>571.78309721543712</v>
      </c>
      <c r="D34" s="28">
        <v>0</v>
      </c>
      <c r="E34" s="28">
        <v>0</v>
      </c>
      <c r="F34" s="9" t="str">
        <f t="shared" si="2"/>
        <v>Identical</v>
      </c>
      <c r="G34" s="27">
        <f t="shared" si="3"/>
        <v>141.67073766487542</v>
      </c>
      <c r="H34" s="29">
        <v>0.15</v>
      </c>
      <c r="I34" s="29">
        <v>0.16</v>
      </c>
      <c r="J34" s="9" t="str">
        <f t="shared" si="4"/>
        <v>+0.01 A (nearest step)</v>
      </c>
      <c r="K34" s="9" t="s">
        <v>539</v>
      </c>
      <c r="L34" s="9" t="s">
        <v>539</v>
      </c>
      <c r="M34" s="9" t="str">
        <f t="shared" si="5"/>
        <v>Same</v>
      </c>
      <c r="N34" s="30" t="s">
        <v>872</v>
      </c>
      <c r="O34" s="30" t="s">
        <v>873</v>
      </c>
    </row>
    <row r="35" spans="1:15" ht="15" customHeight="1" x14ac:dyDescent="0.2">
      <c r="A35" s="9">
        <v>30</v>
      </c>
      <c r="B35" s="27">
        <f t="shared" si="0"/>
        <v>146.55593551538837</v>
      </c>
      <c r="C35" s="27">
        <f t="shared" si="1"/>
        <v>591.49975574010739</v>
      </c>
      <c r="D35" s="28">
        <v>0</v>
      </c>
      <c r="E35" s="28">
        <v>0</v>
      </c>
      <c r="F35" s="9" t="str">
        <f t="shared" si="2"/>
        <v>Identical</v>
      </c>
      <c r="G35" s="27">
        <f t="shared" si="3"/>
        <v>146.55593551538837</v>
      </c>
      <c r="H35" s="29">
        <v>0.16</v>
      </c>
      <c r="I35" s="29">
        <v>0.16</v>
      </c>
      <c r="J35" s="9" t="str">
        <f t="shared" si="4"/>
        <v>Identical</v>
      </c>
      <c r="K35" s="9" t="s">
        <v>539</v>
      </c>
      <c r="L35" s="9" t="s">
        <v>539</v>
      </c>
      <c r="M35" s="9" t="str">
        <f t="shared" si="5"/>
        <v>Same</v>
      </c>
      <c r="N35" s="30" t="s">
        <v>873</v>
      </c>
      <c r="O35" s="30" t="s">
        <v>873</v>
      </c>
    </row>
    <row r="36" spans="1:15" ht="15" customHeight="1" x14ac:dyDescent="0.2">
      <c r="A36" s="9">
        <v>31</v>
      </c>
      <c r="B36" s="27">
        <f t="shared" si="0"/>
        <v>151.44113336590132</v>
      </c>
      <c r="C36" s="27">
        <f t="shared" si="1"/>
        <v>611.21641426477765</v>
      </c>
      <c r="D36" s="28">
        <v>0</v>
      </c>
      <c r="E36" s="28">
        <v>0</v>
      </c>
      <c r="F36" s="9" t="str">
        <f t="shared" si="2"/>
        <v>Identical</v>
      </c>
      <c r="G36" s="27">
        <f t="shared" si="3"/>
        <v>151.44113336590132</v>
      </c>
      <c r="H36" s="29">
        <v>0.17</v>
      </c>
      <c r="I36" s="29">
        <v>0.17</v>
      </c>
      <c r="J36" s="9" t="str">
        <f t="shared" si="4"/>
        <v>Identical</v>
      </c>
      <c r="K36" s="9" t="s">
        <v>539</v>
      </c>
      <c r="L36" s="9" t="s">
        <v>539</v>
      </c>
      <c r="M36" s="9" t="str">
        <f t="shared" si="5"/>
        <v>Same</v>
      </c>
      <c r="N36" s="30" t="s">
        <v>874</v>
      </c>
      <c r="O36" s="30" t="s">
        <v>874</v>
      </c>
    </row>
    <row r="37" spans="1:15" ht="15" customHeight="1" x14ac:dyDescent="0.2">
      <c r="A37" s="9">
        <v>32</v>
      </c>
      <c r="B37" s="27">
        <f t="shared" si="0"/>
        <v>156.32633121641425</v>
      </c>
      <c r="C37" s="27">
        <f t="shared" si="1"/>
        <v>630.93307278944781</v>
      </c>
      <c r="D37" s="28">
        <v>0</v>
      </c>
      <c r="E37" s="28">
        <v>0</v>
      </c>
      <c r="F37" s="9" t="str">
        <f t="shared" si="2"/>
        <v>Identical</v>
      </c>
      <c r="G37" s="27">
        <f t="shared" si="3"/>
        <v>156.32633121641425</v>
      </c>
      <c r="H37" s="29">
        <v>0.17</v>
      </c>
      <c r="I37" s="29">
        <v>0.17</v>
      </c>
      <c r="J37" s="9" t="str">
        <f t="shared" si="4"/>
        <v>Identical</v>
      </c>
      <c r="K37" s="9" t="s">
        <v>539</v>
      </c>
      <c r="L37" s="9" t="s">
        <v>539</v>
      </c>
      <c r="M37" s="9" t="str">
        <f t="shared" si="5"/>
        <v>Same</v>
      </c>
      <c r="N37" s="30" t="s">
        <v>874</v>
      </c>
      <c r="O37" s="30" t="s">
        <v>874</v>
      </c>
    </row>
    <row r="38" spans="1:15" ht="15" customHeight="1" x14ac:dyDescent="0.2">
      <c r="A38" s="9">
        <v>33</v>
      </c>
      <c r="B38" s="27">
        <f t="shared" si="0"/>
        <v>161.2115290669272</v>
      </c>
      <c r="C38" s="27">
        <f t="shared" si="1"/>
        <v>650.64973131411807</v>
      </c>
      <c r="D38" s="28">
        <v>0</v>
      </c>
      <c r="E38" s="28">
        <v>0</v>
      </c>
      <c r="F38" s="9" t="str">
        <f t="shared" si="2"/>
        <v>Identical</v>
      </c>
      <c r="G38" s="27">
        <f t="shared" si="3"/>
        <v>161.2115290669272</v>
      </c>
      <c r="H38" s="29">
        <v>0.18</v>
      </c>
      <c r="I38" s="29">
        <v>0.18</v>
      </c>
      <c r="J38" s="9" t="str">
        <f t="shared" si="4"/>
        <v>Identical</v>
      </c>
      <c r="K38" s="9" t="s">
        <v>539</v>
      </c>
      <c r="L38" s="9" t="s">
        <v>539</v>
      </c>
      <c r="M38" s="9" t="str">
        <f t="shared" si="5"/>
        <v>Same</v>
      </c>
      <c r="N38" s="30" t="s">
        <v>875</v>
      </c>
      <c r="O38" s="30" t="s">
        <v>875</v>
      </c>
    </row>
    <row r="39" spans="1:15" ht="15" customHeight="1" x14ac:dyDescent="0.2">
      <c r="A39" s="9">
        <v>34</v>
      </c>
      <c r="B39" s="27">
        <f t="shared" si="0"/>
        <v>166.09672691744015</v>
      </c>
      <c r="C39" s="27">
        <f t="shared" si="1"/>
        <v>670.36638983878834</v>
      </c>
      <c r="D39" s="28">
        <v>0</v>
      </c>
      <c r="E39" s="28">
        <v>0</v>
      </c>
      <c r="F39" s="9" t="str">
        <f t="shared" si="2"/>
        <v>Identical</v>
      </c>
      <c r="G39" s="27">
        <f t="shared" si="3"/>
        <v>166.09672691744015</v>
      </c>
      <c r="H39" s="29">
        <v>0.18</v>
      </c>
      <c r="I39" s="29">
        <v>0.18</v>
      </c>
      <c r="J39" s="9" t="str">
        <f t="shared" si="4"/>
        <v>Identical</v>
      </c>
      <c r="K39" s="9" t="s">
        <v>539</v>
      </c>
      <c r="L39" s="9" t="s">
        <v>539</v>
      </c>
      <c r="M39" s="9" t="str">
        <f t="shared" si="5"/>
        <v>Same</v>
      </c>
      <c r="N39" s="30" t="s">
        <v>875</v>
      </c>
      <c r="O39" s="30" t="s">
        <v>875</v>
      </c>
    </row>
    <row r="40" spans="1:15" ht="15" customHeight="1" x14ac:dyDescent="0.2">
      <c r="A40" s="9">
        <v>35</v>
      </c>
      <c r="B40" s="27">
        <f t="shared" si="0"/>
        <v>170.98192476795313</v>
      </c>
      <c r="C40" s="27">
        <f t="shared" si="1"/>
        <v>690.08304836345872</v>
      </c>
      <c r="D40" s="28">
        <v>0</v>
      </c>
      <c r="E40" s="28">
        <v>0</v>
      </c>
      <c r="F40" s="9" t="str">
        <f t="shared" si="2"/>
        <v>Identical</v>
      </c>
      <c r="G40" s="27">
        <f t="shared" si="3"/>
        <v>170.98192476795313</v>
      </c>
      <c r="H40" s="29">
        <v>0.19</v>
      </c>
      <c r="I40" s="29">
        <v>0.19</v>
      </c>
      <c r="J40" s="9" t="str">
        <f t="shared" si="4"/>
        <v>Identical</v>
      </c>
      <c r="K40" s="9" t="s">
        <v>539</v>
      </c>
      <c r="L40" s="9" t="s">
        <v>539</v>
      </c>
      <c r="M40" s="9" t="str">
        <f t="shared" si="5"/>
        <v>Same</v>
      </c>
      <c r="N40" s="30" t="s">
        <v>876</v>
      </c>
      <c r="O40" s="30" t="s">
        <v>876</v>
      </c>
    </row>
    <row r="41" spans="1:15" ht="15" customHeight="1" x14ac:dyDescent="0.2">
      <c r="A41" s="9">
        <v>36</v>
      </c>
      <c r="B41" s="27">
        <f t="shared" si="0"/>
        <v>175.86712261846608</v>
      </c>
      <c r="C41" s="27">
        <f t="shared" si="1"/>
        <v>709.79970688812909</v>
      </c>
      <c r="D41" s="28">
        <v>0</v>
      </c>
      <c r="E41" s="28">
        <v>0</v>
      </c>
      <c r="F41" s="9" t="str">
        <f t="shared" si="2"/>
        <v>Identical</v>
      </c>
      <c r="G41" s="27">
        <f t="shared" si="3"/>
        <v>175.86712261846608</v>
      </c>
      <c r="H41" s="29">
        <v>0.19</v>
      </c>
      <c r="I41" s="29">
        <v>0.19</v>
      </c>
      <c r="J41" s="9" t="str">
        <f t="shared" si="4"/>
        <v>Identical</v>
      </c>
      <c r="K41" s="9" t="s">
        <v>539</v>
      </c>
      <c r="L41" s="9" t="s">
        <v>539</v>
      </c>
      <c r="M41" s="9" t="str">
        <f t="shared" si="5"/>
        <v>Same</v>
      </c>
      <c r="N41" s="30" t="s">
        <v>876</v>
      </c>
      <c r="O41" s="30" t="s">
        <v>876</v>
      </c>
    </row>
    <row r="42" spans="1:15" ht="15" customHeight="1" x14ac:dyDescent="0.2">
      <c r="A42" s="9">
        <v>37</v>
      </c>
      <c r="B42" s="27">
        <f t="shared" si="0"/>
        <v>180.75232046897901</v>
      </c>
      <c r="C42" s="27">
        <f t="shared" si="1"/>
        <v>729.51636541279925</v>
      </c>
      <c r="D42" s="28">
        <v>0</v>
      </c>
      <c r="E42" s="28">
        <v>0</v>
      </c>
      <c r="F42" s="9" t="str">
        <f t="shared" si="2"/>
        <v>Identical</v>
      </c>
      <c r="G42" s="27">
        <f t="shared" si="3"/>
        <v>180.75232046897901</v>
      </c>
      <c r="H42" s="29">
        <v>0.2</v>
      </c>
      <c r="I42" s="29">
        <v>0.2</v>
      </c>
      <c r="J42" s="9" t="str">
        <f t="shared" si="4"/>
        <v>Identical</v>
      </c>
      <c r="K42" s="9" t="s">
        <v>539</v>
      </c>
      <c r="L42" s="9" t="s">
        <v>539</v>
      </c>
      <c r="M42" s="9" t="str">
        <f t="shared" si="5"/>
        <v>Same</v>
      </c>
      <c r="N42" s="30" t="s">
        <v>877</v>
      </c>
      <c r="O42" s="30" t="s">
        <v>877</v>
      </c>
    </row>
    <row r="43" spans="1:15" ht="15" customHeight="1" x14ac:dyDescent="0.2">
      <c r="A43" s="9">
        <v>38</v>
      </c>
      <c r="B43" s="27">
        <f t="shared" si="0"/>
        <v>185.63751831949196</v>
      </c>
      <c r="C43" s="27">
        <f t="shared" si="1"/>
        <v>749.23302393746951</v>
      </c>
      <c r="D43" s="28">
        <v>0</v>
      </c>
      <c r="E43" s="28">
        <v>0</v>
      </c>
      <c r="F43" s="9" t="str">
        <f t="shared" si="2"/>
        <v>Identical</v>
      </c>
      <c r="G43" s="27">
        <f t="shared" si="3"/>
        <v>185.63751831949196</v>
      </c>
      <c r="H43" s="29">
        <v>0.2</v>
      </c>
      <c r="I43" s="29">
        <v>0.2</v>
      </c>
      <c r="J43" s="9" t="str">
        <f t="shared" si="4"/>
        <v>Identical</v>
      </c>
      <c r="K43" s="9" t="s">
        <v>539</v>
      </c>
      <c r="L43" s="9" t="s">
        <v>539</v>
      </c>
      <c r="M43" s="9" t="str">
        <f t="shared" si="5"/>
        <v>Same</v>
      </c>
      <c r="N43" s="30" t="s">
        <v>877</v>
      </c>
      <c r="O43" s="30" t="s">
        <v>877</v>
      </c>
    </row>
    <row r="44" spans="1:15" ht="15" customHeight="1" x14ac:dyDescent="0.2">
      <c r="A44" s="9">
        <v>39</v>
      </c>
      <c r="B44" s="27">
        <f t="shared" si="0"/>
        <v>190.52271617000491</v>
      </c>
      <c r="C44" s="27">
        <f t="shared" si="1"/>
        <v>768.94968246213978</v>
      </c>
      <c r="D44" s="28">
        <v>0.79</v>
      </c>
      <c r="E44" s="28">
        <v>0.8</v>
      </c>
      <c r="F44" s="9" t="str">
        <f t="shared" si="2"/>
        <v>Within 10 mV (calibration line)</v>
      </c>
      <c r="G44" s="27">
        <f t="shared" si="3"/>
        <v>190.52271617000491</v>
      </c>
      <c r="H44" s="29">
        <v>0.21</v>
      </c>
      <c r="I44" s="29">
        <v>0.21</v>
      </c>
      <c r="J44" s="9" t="str">
        <f t="shared" si="4"/>
        <v>Identical</v>
      </c>
      <c r="K44" s="9" t="s">
        <v>539</v>
      </c>
      <c r="L44" s="9" t="s">
        <v>539</v>
      </c>
      <c r="M44" s="9" t="str">
        <f t="shared" si="5"/>
        <v>Same</v>
      </c>
      <c r="N44" s="30" t="s">
        <v>878</v>
      </c>
      <c r="O44" s="30" t="s">
        <v>878</v>
      </c>
    </row>
    <row r="45" spans="1:15" ht="15" customHeight="1" x14ac:dyDescent="0.2">
      <c r="A45" s="9">
        <v>40</v>
      </c>
      <c r="B45" s="27">
        <f t="shared" si="0"/>
        <v>195.40791402051786</v>
      </c>
      <c r="C45" s="27">
        <f t="shared" si="1"/>
        <v>788.66634098681004</v>
      </c>
      <c r="D45" s="28">
        <v>0.79</v>
      </c>
      <c r="E45" s="28">
        <v>0.82</v>
      </c>
      <c r="F45" s="9" t="str">
        <f t="shared" si="2"/>
        <v>Low range fixed (F-02)</v>
      </c>
      <c r="G45" s="27">
        <f t="shared" si="3"/>
        <v>195.40791402051786</v>
      </c>
      <c r="H45" s="29">
        <v>0.21</v>
      </c>
      <c r="I45" s="29">
        <v>0.21</v>
      </c>
      <c r="J45" s="9" t="str">
        <f t="shared" si="4"/>
        <v>Identical</v>
      </c>
      <c r="K45" s="9" t="s">
        <v>539</v>
      </c>
      <c r="L45" s="9" t="s">
        <v>539</v>
      </c>
      <c r="M45" s="9" t="str">
        <f t="shared" si="5"/>
        <v>Same</v>
      </c>
      <c r="N45" s="30" t="s">
        <v>878</v>
      </c>
      <c r="O45" s="30" t="s">
        <v>878</v>
      </c>
    </row>
    <row r="46" spans="1:15" ht="15" customHeight="1" x14ac:dyDescent="0.2">
      <c r="A46" s="9">
        <v>41</v>
      </c>
      <c r="B46" s="27">
        <f t="shared" si="0"/>
        <v>200.29311187103079</v>
      </c>
      <c r="C46" s="27">
        <f t="shared" si="1"/>
        <v>808.38299951148019</v>
      </c>
      <c r="D46" s="28">
        <v>0.8</v>
      </c>
      <c r="E46" s="28">
        <v>0.84</v>
      </c>
      <c r="F46" s="9" t="str">
        <f t="shared" si="2"/>
        <v>Low range fixed (F-02)</v>
      </c>
      <c r="G46" s="27">
        <f t="shared" si="3"/>
        <v>200.29311187103079</v>
      </c>
      <c r="H46" s="29">
        <v>0.22</v>
      </c>
      <c r="I46" s="29">
        <v>0.22</v>
      </c>
      <c r="J46" s="9" t="str">
        <f t="shared" si="4"/>
        <v>Identical</v>
      </c>
      <c r="K46" s="9" t="s">
        <v>539</v>
      </c>
      <c r="L46" s="9" t="s">
        <v>539</v>
      </c>
      <c r="M46" s="9" t="str">
        <f t="shared" si="5"/>
        <v>Same</v>
      </c>
      <c r="N46" s="30" t="s">
        <v>879</v>
      </c>
      <c r="O46" s="30" t="s">
        <v>879</v>
      </c>
    </row>
    <row r="47" spans="1:15" ht="15" customHeight="1" x14ac:dyDescent="0.2">
      <c r="A47" s="9">
        <v>42</v>
      </c>
      <c r="B47" s="27">
        <f t="shared" si="0"/>
        <v>205.17830972154374</v>
      </c>
      <c r="C47" s="27">
        <f t="shared" si="1"/>
        <v>828.09965803615046</v>
      </c>
      <c r="D47" s="28">
        <v>0.85</v>
      </c>
      <c r="E47" s="28">
        <v>0.86</v>
      </c>
      <c r="F47" s="9" t="str">
        <f t="shared" si="2"/>
        <v>Within 10 mV (calibration line)</v>
      </c>
      <c r="G47" s="27">
        <f t="shared" si="3"/>
        <v>205.17830972154374</v>
      </c>
      <c r="H47" s="29">
        <v>0.22</v>
      </c>
      <c r="I47" s="29">
        <v>0.23</v>
      </c>
      <c r="J47" s="9" t="str">
        <f t="shared" si="4"/>
        <v>+0.01 A (nearest step)</v>
      </c>
      <c r="K47" s="9" t="s">
        <v>539</v>
      </c>
      <c r="L47" s="9" t="s">
        <v>539</v>
      </c>
      <c r="M47" s="9" t="str">
        <f t="shared" si="5"/>
        <v>Same</v>
      </c>
      <c r="N47" s="30" t="s">
        <v>879</v>
      </c>
      <c r="O47" s="30" t="s">
        <v>880</v>
      </c>
    </row>
    <row r="48" spans="1:15" ht="15" customHeight="1" x14ac:dyDescent="0.2">
      <c r="A48" s="9">
        <v>43</v>
      </c>
      <c r="B48" s="27">
        <f t="shared" si="0"/>
        <v>210.06350757205669</v>
      </c>
      <c r="C48" s="27">
        <f t="shared" si="1"/>
        <v>847.81631656082072</v>
      </c>
      <c r="D48" s="28">
        <v>0.87</v>
      </c>
      <c r="E48" s="28">
        <v>0.88</v>
      </c>
      <c r="F48" s="9" t="str">
        <f t="shared" si="2"/>
        <v>Within 10 mV (calibration line)</v>
      </c>
      <c r="G48" s="27">
        <f t="shared" si="3"/>
        <v>210.06350757205669</v>
      </c>
      <c r="H48" s="29">
        <v>0.23</v>
      </c>
      <c r="I48" s="29">
        <v>0.23</v>
      </c>
      <c r="J48" s="9" t="str">
        <f t="shared" si="4"/>
        <v>Identical</v>
      </c>
      <c r="K48" s="9" t="s">
        <v>539</v>
      </c>
      <c r="L48" s="9" t="s">
        <v>539</v>
      </c>
      <c r="M48" s="9" t="str">
        <f t="shared" si="5"/>
        <v>Same</v>
      </c>
      <c r="N48" s="30" t="s">
        <v>880</v>
      </c>
      <c r="O48" s="30" t="s">
        <v>880</v>
      </c>
    </row>
    <row r="49" spans="1:15" ht="15" customHeight="1" x14ac:dyDescent="0.2">
      <c r="A49" s="9">
        <v>44</v>
      </c>
      <c r="B49" s="27">
        <f t="shared" si="0"/>
        <v>214.94870542256965</v>
      </c>
      <c r="C49" s="27">
        <f t="shared" si="1"/>
        <v>867.53297508549099</v>
      </c>
      <c r="D49" s="28">
        <v>0.89</v>
      </c>
      <c r="E49" s="28">
        <v>0.89</v>
      </c>
      <c r="F49" s="9" t="str">
        <f t="shared" si="2"/>
        <v>Identical</v>
      </c>
      <c r="G49" s="27">
        <f t="shared" si="3"/>
        <v>214.94870542256965</v>
      </c>
      <c r="H49" s="29">
        <v>0.24</v>
      </c>
      <c r="I49" s="29">
        <v>0.24</v>
      </c>
      <c r="J49" s="9" t="str">
        <f t="shared" si="4"/>
        <v>Identical</v>
      </c>
      <c r="K49" s="9" t="s">
        <v>539</v>
      </c>
      <c r="L49" s="9" t="s">
        <v>539</v>
      </c>
      <c r="M49" s="9" t="str">
        <f t="shared" si="5"/>
        <v>Same</v>
      </c>
      <c r="N49" s="30" t="s">
        <v>881</v>
      </c>
      <c r="O49" s="30" t="s">
        <v>881</v>
      </c>
    </row>
    <row r="50" spans="1:15" ht="15" customHeight="1" x14ac:dyDescent="0.2">
      <c r="A50" s="9">
        <v>45</v>
      </c>
      <c r="B50" s="27">
        <f t="shared" si="0"/>
        <v>219.83390327308257</v>
      </c>
      <c r="C50" s="27">
        <f t="shared" si="1"/>
        <v>887.24963361016114</v>
      </c>
      <c r="D50" s="28">
        <v>0.91</v>
      </c>
      <c r="E50" s="28">
        <v>0.91</v>
      </c>
      <c r="F50" s="9" t="str">
        <f t="shared" si="2"/>
        <v>Identical</v>
      </c>
      <c r="G50" s="27">
        <f t="shared" si="3"/>
        <v>219.83390327308257</v>
      </c>
      <c r="H50" s="29">
        <v>0.24</v>
      </c>
      <c r="I50" s="29">
        <v>0.24</v>
      </c>
      <c r="J50" s="9" t="str">
        <f t="shared" si="4"/>
        <v>Identical</v>
      </c>
      <c r="K50" s="9" t="s">
        <v>539</v>
      </c>
      <c r="L50" s="9" t="s">
        <v>539</v>
      </c>
      <c r="M50" s="9" t="str">
        <f t="shared" si="5"/>
        <v>Same</v>
      </c>
      <c r="N50" s="30" t="s">
        <v>881</v>
      </c>
      <c r="O50" s="30" t="s">
        <v>881</v>
      </c>
    </row>
    <row r="51" spans="1:15" ht="15" customHeight="1" x14ac:dyDescent="0.2">
      <c r="A51" s="9">
        <v>46</v>
      </c>
      <c r="B51" s="27">
        <f t="shared" si="0"/>
        <v>224.71910112359552</v>
      </c>
      <c r="C51" s="27">
        <f t="shared" si="1"/>
        <v>906.96629213483141</v>
      </c>
      <c r="D51" s="28">
        <v>0.93</v>
      </c>
      <c r="E51" s="28">
        <v>0.93</v>
      </c>
      <c r="F51" s="9" t="str">
        <f t="shared" si="2"/>
        <v>Identical</v>
      </c>
      <c r="G51" s="27">
        <f t="shared" si="3"/>
        <v>224.71910112359552</v>
      </c>
      <c r="H51" s="29">
        <v>0.25</v>
      </c>
      <c r="I51" s="29">
        <v>0.25</v>
      </c>
      <c r="J51" s="9" t="str">
        <f t="shared" si="4"/>
        <v>Identical</v>
      </c>
      <c r="K51" s="9" t="s">
        <v>539</v>
      </c>
      <c r="L51" s="9" t="s">
        <v>539</v>
      </c>
      <c r="M51" s="9" t="str">
        <f t="shared" si="5"/>
        <v>Same</v>
      </c>
      <c r="N51" s="30" t="s">
        <v>882</v>
      </c>
      <c r="O51" s="30" t="s">
        <v>882</v>
      </c>
    </row>
    <row r="52" spans="1:15" ht="15" customHeight="1" x14ac:dyDescent="0.2">
      <c r="A52" s="9">
        <v>47</v>
      </c>
      <c r="B52" s="27">
        <f t="shared" si="0"/>
        <v>229.60429897410847</v>
      </c>
      <c r="C52" s="27">
        <f t="shared" si="1"/>
        <v>926.68295065950167</v>
      </c>
      <c r="D52" s="28">
        <v>0.95</v>
      </c>
      <c r="E52" s="28">
        <v>0.95</v>
      </c>
      <c r="F52" s="9" t="str">
        <f t="shared" si="2"/>
        <v>Identical</v>
      </c>
      <c r="G52" s="27">
        <f t="shared" si="3"/>
        <v>229.60429897410847</v>
      </c>
      <c r="H52" s="29">
        <v>0.25</v>
      </c>
      <c r="I52" s="29">
        <v>0.25</v>
      </c>
      <c r="J52" s="9" t="str">
        <f t="shared" si="4"/>
        <v>Identical</v>
      </c>
      <c r="K52" s="9" t="s">
        <v>539</v>
      </c>
      <c r="L52" s="9" t="s">
        <v>539</v>
      </c>
      <c r="M52" s="9" t="str">
        <f t="shared" si="5"/>
        <v>Same</v>
      </c>
      <c r="N52" s="30" t="s">
        <v>882</v>
      </c>
      <c r="O52" s="30" t="s">
        <v>882</v>
      </c>
    </row>
    <row r="53" spans="1:15" ht="15" customHeight="1" x14ac:dyDescent="0.2">
      <c r="A53" s="9">
        <v>48</v>
      </c>
      <c r="B53" s="27">
        <f t="shared" si="0"/>
        <v>234.48949682462143</v>
      </c>
      <c r="C53" s="27">
        <f t="shared" si="1"/>
        <v>946.39960918417194</v>
      </c>
      <c r="D53" s="28">
        <v>0.97</v>
      </c>
      <c r="E53" s="28">
        <v>0.97</v>
      </c>
      <c r="F53" s="9" t="str">
        <f t="shared" si="2"/>
        <v>Identical</v>
      </c>
      <c r="G53" s="27">
        <f t="shared" si="3"/>
        <v>234.48949682462143</v>
      </c>
      <c r="H53" s="29">
        <v>0.26</v>
      </c>
      <c r="I53" s="29">
        <v>0.26</v>
      </c>
      <c r="J53" s="9" t="str">
        <f t="shared" si="4"/>
        <v>Identical</v>
      </c>
      <c r="K53" s="9" t="s">
        <v>539</v>
      </c>
      <c r="L53" s="9" t="s">
        <v>539</v>
      </c>
      <c r="M53" s="9" t="str">
        <f t="shared" si="5"/>
        <v>Same</v>
      </c>
      <c r="N53" s="30" t="s">
        <v>883</v>
      </c>
      <c r="O53" s="30" t="s">
        <v>883</v>
      </c>
    </row>
    <row r="54" spans="1:15" ht="15" customHeight="1" x14ac:dyDescent="0.2">
      <c r="A54" s="9">
        <v>49</v>
      </c>
      <c r="B54" s="27">
        <f t="shared" si="0"/>
        <v>239.37469467513435</v>
      </c>
      <c r="C54" s="27">
        <f t="shared" si="1"/>
        <v>966.11626770884209</v>
      </c>
      <c r="D54" s="28">
        <v>0.99</v>
      </c>
      <c r="E54" s="28">
        <v>0.99</v>
      </c>
      <c r="F54" s="9" t="str">
        <f t="shared" si="2"/>
        <v>Identical</v>
      </c>
      <c r="G54" s="27">
        <f t="shared" si="3"/>
        <v>239.37469467513435</v>
      </c>
      <c r="H54" s="29">
        <v>0.26</v>
      </c>
      <c r="I54" s="29">
        <v>0.26</v>
      </c>
      <c r="J54" s="9" t="str">
        <f t="shared" si="4"/>
        <v>Identical</v>
      </c>
      <c r="K54" s="9" t="s">
        <v>539</v>
      </c>
      <c r="L54" s="9" t="s">
        <v>539</v>
      </c>
      <c r="M54" s="9" t="str">
        <f t="shared" si="5"/>
        <v>Same</v>
      </c>
      <c r="N54" s="30" t="s">
        <v>883</v>
      </c>
      <c r="O54" s="30" t="s">
        <v>883</v>
      </c>
    </row>
    <row r="55" spans="1:15" ht="15" customHeight="1" x14ac:dyDescent="0.2">
      <c r="A55" s="9">
        <v>50</v>
      </c>
      <c r="B55" s="27">
        <f t="shared" si="0"/>
        <v>244.2598925256473</v>
      </c>
      <c r="C55" s="27">
        <f t="shared" si="1"/>
        <v>985.83292623351247</v>
      </c>
      <c r="D55" s="28">
        <v>1.01</v>
      </c>
      <c r="E55" s="28">
        <v>1.01</v>
      </c>
      <c r="F55" s="9" t="str">
        <f t="shared" si="2"/>
        <v>Identical</v>
      </c>
      <c r="G55" s="27">
        <f t="shared" si="3"/>
        <v>244.2598925256473</v>
      </c>
      <c r="H55" s="29">
        <v>0.27</v>
      </c>
      <c r="I55" s="29">
        <v>0.27</v>
      </c>
      <c r="J55" s="9" t="str">
        <f t="shared" si="4"/>
        <v>Identical</v>
      </c>
      <c r="K55" s="9" t="s">
        <v>539</v>
      </c>
      <c r="L55" s="9" t="s">
        <v>539</v>
      </c>
      <c r="M55" s="9" t="str">
        <f t="shared" si="5"/>
        <v>Same</v>
      </c>
      <c r="N55" s="30" t="s">
        <v>884</v>
      </c>
      <c r="O55" s="30" t="s">
        <v>884</v>
      </c>
    </row>
    <row r="56" spans="1:15" ht="15" customHeight="1" x14ac:dyDescent="0.2">
      <c r="A56" s="9">
        <v>51</v>
      </c>
      <c r="B56" s="27">
        <f t="shared" si="0"/>
        <v>249.14509037616025</v>
      </c>
      <c r="C56" s="27">
        <f t="shared" si="1"/>
        <v>1005.5495847581827</v>
      </c>
      <c r="D56" s="28">
        <v>1.03</v>
      </c>
      <c r="E56" s="28">
        <v>1.03</v>
      </c>
      <c r="F56" s="9" t="str">
        <f t="shared" si="2"/>
        <v>Identical</v>
      </c>
      <c r="G56" s="27">
        <f t="shared" si="3"/>
        <v>249.14509037616025</v>
      </c>
      <c r="H56" s="29">
        <v>0.27</v>
      </c>
      <c r="I56" s="29">
        <v>0.27</v>
      </c>
      <c r="J56" s="9" t="str">
        <f t="shared" si="4"/>
        <v>Identical</v>
      </c>
      <c r="K56" s="9" t="s">
        <v>539</v>
      </c>
      <c r="L56" s="9" t="s">
        <v>539</v>
      </c>
      <c r="M56" s="9" t="str">
        <f t="shared" si="5"/>
        <v>Same</v>
      </c>
      <c r="N56" s="30" t="s">
        <v>884</v>
      </c>
      <c r="O56" s="30" t="s">
        <v>884</v>
      </c>
    </row>
    <row r="57" spans="1:15" ht="15" customHeight="1" x14ac:dyDescent="0.2">
      <c r="A57" s="9">
        <v>52</v>
      </c>
      <c r="B57" s="27">
        <f t="shared" si="0"/>
        <v>254.03028822667318</v>
      </c>
      <c r="C57" s="27">
        <f t="shared" si="1"/>
        <v>1025.2662432828529</v>
      </c>
      <c r="D57" s="28">
        <v>1.05</v>
      </c>
      <c r="E57" s="28">
        <v>1.05</v>
      </c>
      <c r="F57" s="9" t="str">
        <f t="shared" si="2"/>
        <v>Identical</v>
      </c>
      <c r="G57" s="27">
        <f t="shared" si="3"/>
        <v>254.03028822667318</v>
      </c>
      <c r="H57" s="29">
        <v>0.28000000000000003</v>
      </c>
      <c r="I57" s="29">
        <v>0.28000000000000003</v>
      </c>
      <c r="J57" s="9" t="str">
        <f t="shared" si="4"/>
        <v>Identical</v>
      </c>
      <c r="K57" s="9" t="s">
        <v>539</v>
      </c>
      <c r="L57" s="9" t="s">
        <v>539</v>
      </c>
      <c r="M57" s="9" t="str">
        <f t="shared" si="5"/>
        <v>Same</v>
      </c>
      <c r="N57" s="30" t="s">
        <v>885</v>
      </c>
      <c r="O57" s="30" t="s">
        <v>885</v>
      </c>
    </row>
    <row r="58" spans="1:15" ht="15" customHeight="1" x14ac:dyDescent="0.2">
      <c r="A58" s="9">
        <v>53</v>
      </c>
      <c r="B58" s="27">
        <f t="shared" si="0"/>
        <v>258.91548607718613</v>
      </c>
      <c r="C58" s="27">
        <f t="shared" si="1"/>
        <v>1044.9829018075231</v>
      </c>
      <c r="D58" s="28">
        <v>1.07</v>
      </c>
      <c r="E58" s="28">
        <v>1.07</v>
      </c>
      <c r="F58" s="9" t="str">
        <f t="shared" si="2"/>
        <v>Identical</v>
      </c>
      <c r="G58" s="27">
        <f t="shared" si="3"/>
        <v>258.91548607718613</v>
      </c>
      <c r="H58" s="29">
        <v>0.28000000000000003</v>
      </c>
      <c r="I58" s="29">
        <v>0.28999999999999998</v>
      </c>
      <c r="J58" s="9" t="str">
        <f t="shared" si="4"/>
        <v>+0.01 A (nearest step)</v>
      </c>
      <c r="K58" s="9" t="s">
        <v>539</v>
      </c>
      <c r="L58" s="9" t="s">
        <v>539</v>
      </c>
      <c r="M58" s="9" t="str">
        <f t="shared" si="5"/>
        <v>Same</v>
      </c>
      <c r="N58" s="30" t="s">
        <v>885</v>
      </c>
      <c r="O58" s="30" t="s">
        <v>886</v>
      </c>
    </row>
    <row r="59" spans="1:15" ht="15" customHeight="1" x14ac:dyDescent="0.2">
      <c r="A59" s="9">
        <v>54</v>
      </c>
      <c r="B59" s="27">
        <f t="shared" si="0"/>
        <v>263.80068392769908</v>
      </c>
      <c r="C59" s="27">
        <f t="shared" si="1"/>
        <v>1064.6995603321934</v>
      </c>
      <c r="D59" s="28">
        <v>1.0900000000000001</v>
      </c>
      <c r="E59" s="28">
        <v>1.0900000000000001</v>
      </c>
      <c r="F59" s="9" t="str">
        <f t="shared" si="2"/>
        <v>Identical</v>
      </c>
      <c r="G59" s="27">
        <f t="shared" si="3"/>
        <v>263.80068392769908</v>
      </c>
      <c r="H59" s="29">
        <v>0.28999999999999998</v>
      </c>
      <c r="I59" s="29">
        <v>0.28999999999999998</v>
      </c>
      <c r="J59" s="9" t="str">
        <f t="shared" si="4"/>
        <v>Identical</v>
      </c>
      <c r="K59" s="9" t="s">
        <v>539</v>
      </c>
      <c r="L59" s="9" t="s">
        <v>539</v>
      </c>
      <c r="M59" s="9" t="str">
        <f t="shared" si="5"/>
        <v>Same</v>
      </c>
      <c r="N59" s="30" t="s">
        <v>886</v>
      </c>
      <c r="O59" s="30" t="s">
        <v>886</v>
      </c>
    </row>
    <row r="60" spans="1:15" ht="15" customHeight="1" x14ac:dyDescent="0.2">
      <c r="A60" s="9">
        <v>55</v>
      </c>
      <c r="B60" s="27">
        <f t="shared" si="0"/>
        <v>268.68588177821204</v>
      </c>
      <c r="C60" s="27">
        <f t="shared" si="1"/>
        <v>1084.4162188568637</v>
      </c>
      <c r="D60" s="28">
        <v>1.1100000000000001</v>
      </c>
      <c r="E60" s="28">
        <v>1.1100000000000001</v>
      </c>
      <c r="F60" s="9" t="str">
        <f t="shared" si="2"/>
        <v>Identical</v>
      </c>
      <c r="G60" s="27">
        <f t="shared" si="3"/>
        <v>268.68588177821204</v>
      </c>
      <c r="H60" s="29">
        <v>0.3</v>
      </c>
      <c r="I60" s="29">
        <v>0.3</v>
      </c>
      <c r="J60" s="9" t="str">
        <f t="shared" si="4"/>
        <v>Identical</v>
      </c>
      <c r="K60" s="9" t="s">
        <v>539</v>
      </c>
      <c r="L60" s="9" t="s">
        <v>539</v>
      </c>
      <c r="M60" s="9" t="str">
        <f t="shared" si="5"/>
        <v>Same</v>
      </c>
      <c r="N60" s="30" t="s">
        <v>887</v>
      </c>
      <c r="O60" s="30" t="s">
        <v>887</v>
      </c>
    </row>
    <row r="61" spans="1:15" ht="15" customHeight="1" x14ac:dyDescent="0.2">
      <c r="A61" s="9">
        <v>56</v>
      </c>
      <c r="B61" s="27">
        <f t="shared" si="0"/>
        <v>273.57107962872493</v>
      </c>
      <c r="C61" s="27">
        <f t="shared" si="1"/>
        <v>1104.1328773815337</v>
      </c>
      <c r="D61" s="28">
        <v>1.1299999999999999</v>
      </c>
      <c r="E61" s="28">
        <v>1.1299999999999999</v>
      </c>
      <c r="F61" s="9" t="str">
        <f t="shared" si="2"/>
        <v>Identical</v>
      </c>
      <c r="G61" s="27">
        <f t="shared" si="3"/>
        <v>273.57107962872493</v>
      </c>
      <c r="H61" s="29">
        <v>0.3</v>
      </c>
      <c r="I61" s="29">
        <v>0.3</v>
      </c>
      <c r="J61" s="9" t="str">
        <f t="shared" si="4"/>
        <v>Identical</v>
      </c>
      <c r="K61" s="9" t="s">
        <v>539</v>
      </c>
      <c r="L61" s="9" t="s">
        <v>539</v>
      </c>
      <c r="M61" s="9" t="str">
        <f t="shared" si="5"/>
        <v>Same</v>
      </c>
      <c r="N61" s="30" t="s">
        <v>887</v>
      </c>
      <c r="O61" s="30" t="s">
        <v>887</v>
      </c>
    </row>
    <row r="62" spans="1:15" ht="15" customHeight="1" x14ac:dyDescent="0.2">
      <c r="A62" s="9">
        <v>57</v>
      </c>
      <c r="B62" s="27">
        <f t="shared" si="0"/>
        <v>278.45627747923788</v>
      </c>
      <c r="C62" s="27">
        <f t="shared" si="1"/>
        <v>1123.849535906204</v>
      </c>
      <c r="D62" s="28">
        <v>1.1499999999999999</v>
      </c>
      <c r="E62" s="28">
        <v>1.1499999999999999</v>
      </c>
      <c r="F62" s="9" t="str">
        <f t="shared" si="2"/>
        <v>Identical</v>
      </c>
      <c r="G62" s="27">
        <f t="shared" si="3"/>
        <v>278.45627747923788</v>
      </c>
      <c r="H62" s="29">
        <v>0.31</v>
      </c>
      <c r="I62" s="29">
        <v>0.31</v>
      </c>
      <c r="J62" s="9" t="str">
        <f t="shared" si="4"/>
        <v>Identical</v>
      </c>
      <c r="K62" s="9" t="s">
        <v>539</v>
      </c>
      <c r="L62" s="9" t="s">
        <v>539</v>
      </c>
      <c r="M62" s="9" t="str">
        <f t="shared" si="5"/>
        <v>Same</v>
      </c>
      <c r="N62" s="30" t="s">
        <v>888</v>
      </c>
      <c r="O62" s="30" t="s">
        <v>888</v>
      </c>
    </row>
    <row r="63" spans="1:15" ht="15" customHeight="1" x14ac:dyDescent="0.2">
      <c r="A63" s="9">
        <v>58</v>
      </c>
      <c r="B63" s="27">
        <f t="shared" si="0"/>
        <v>283.34147532975084</v>
      </c>
      <c r="C63" s="27">
        <f t="shared" si="1"/>
        <v>1143.5661944308742</v>
      </c>
      <c r="D63" s="28">
        <v>1.17</v>
      </c>
      <c r="E63" s="28">
        <v>1.17</v>
      </c>
      <c r="F63" s="9" t="str">
        <f t="shared" si="2"/>
        <v>Identical</v>
      </c>
      <c r="G63" s="27">
        <f t="shared" si="3"/>
        <v>283.34147532975084</v>
      </c>
      <c r="H63" s="29">
        <v>0.31</v>
      </c>
      <c r="I63" s="29">
        <v>0.31</v>
      </c>
      <c r="J63" s="9" t="str">
        <f t="shared" si="4"/>
        <v>Identical</v>
      </c>
      <c r="K63" s="9" t="s">
        <v>539</v>
      </c>
      <c r="L63" s="9" t="s">
        <v>539</v>
      </c>
      <c r="M63" s="9" t="str">
        <f t="shared" si="5"/>
        <v>Same</v>
      </c>
      <c r="N63" s="30" t="s">
        <v>888</v>
      </c>
      <c r="O63" s="30" t="s">
        <v>888</v>
      </c>
    </row>
    <row r="64" spans="1:15" ht="15" customHeight="1" x14ac:dyDescent="0.2">
      <c r="A64" s="9">
        <v>59</v>
      </c>
      <c r="B64" s="27">
        <f t="shared" si="0"/>
        <v>288.22667318026379</v>
      </c>
      <c r="C64" s="27">
        <f t="shared" si="1"/>
        <v>1163.2828529555445</v>
      </c>
      <c r="D64" s="28">
        <v>1.19</v>
      </c>
      <c r="E64" s="28">
        <v>1.19</v>
      </c>
      <c r="F64" s="9" t="str">
        <f t="shared" si="2"/>
        <v>Identical</v>
      </c>
      <c r="G64" s="27">
        <f t="shared" si="3"/>
        <v>288.22667318026379</v>
      </c>
      <c r="H64" s="29">
        <v>0.32</v>
      </c>
      <c r="I64" s="29">
        <v>0.32</v>
      </c>
      <c r="J64" s="9" t="str">
        <f t="shared" si="4"/>
        <v>Identical</v>
      </c>
      <c r="K64" s="9" t="s">
        <v>539</v>
      </c>
      <c r="L64" s="9" t="s">
        <v>539</v>
      </c>
      <c r="M64" s="9" t="str">
        <f t="shared" si="5"/>
        <v>Same</v>
      </c>
      <c r="N64" s="30" t="s">
        <v>889</v>
      </c>
      <c r="O64" s="30" t="s">
        <v>889</v>
      </c>
    </row>
    <row r="65" spans="1:15" ht="15" customHeight="1" x14ac:dyDescent="0.2">
      <c r="A65" s="9">
        <v>60</v>
      </c>
      <c r="B65" s="27">
        <f t="shared" si="0"/>
        <v>293.11187103077674</v>
      </c>
      <c r="C65" s="27">
        <f t="shared" si="1"/>
        <v>1182.9995114802148</v>
      </c>
      <c r="D65" s="28">
        <v>1.21</v>
      </c>
      <c r="E65" s="28">
        <v>1.21</v>
      </c>
      <c r="F65" s="9" t="str">
        <f t="shared" si="2"/>
        <v>Identical</v>
      </c>
      <c r="G65" s="27">
        <f t="shared" si="3"/>
        <v>293.11187103077674</v>
      </c>
      <c r="H65" s="29">
        <v>0.32</v>
      </c>
      <c r="I65" s="29">
        <v>0.32</v>
      </c>
      <c r="J65" s="9" t="str">
        <f t="shared" si="4"/>
        <v>Identical</v>
      </c>
      <c r="K65" s="9" t="s">
        <v>539</v>
      </c>
      <c r="L65" s="9" t="s">
        <v>539</v>
      </c>
      <c r="M65" s="9" t="str">
        <f t="shared" si="5"/>
        <v>Same</v>
      </c>
      <c r="N65" s="30" t="s">
        <v>889</v>
      </c>
      <c r="O65" s="30" t="s">
        <v>889</v>
      </c>
    </row>
    <row r="66" spans="1:15" ht="15" customHeight="1" x14ac:dyDescent="0.2">
      <c r="A66" s="9">
        <v>61</v>
      </c>
      <c r="B66" s="27">
        <f t="shared" si="0"/>
        <v>297.99706888128969</v>
      </c>
      <c r="C66" s="27">
        <f t="shared" si="1"/>
        <v>1202.716170004885</v>
      </c>
      <c r="D66" s="28">
        <v>1.23</v>
      </c>
      <c r="E66" s="28">
        <v>1.23</v>
      </c>
      <c r="F66" s="9" t="str">
        <f t="shared" si="2"/>
        <v>Identical</v>
      </c>
      <c r="G66" s="27">
        <f t="shared" si="3"/>
        <v>297.99706888128969</v>
      </c>
      <c r="H66" s="29">
        <v>0.33</v>
      </c>
      <c r="I66" s="29">
        <v>0.33</v>
      </c>
      <c r="J66" s="9" t="str">
        <f t="shared" si="4"/>
        <v>Identical</v>
      </c>
      <c r="K66" s="9" t="s">
        <v>539</v>
      </c>
      <c r="L66" s="9" t="s">
        <v>539</v>
      </c>
      <c r="M66" s="9" t="str">
        <f t="shared" si="5"/>
        <v>Same</v>
      </c>
      <c r="N66" s="30" t="s">
        <v>890</v>
      </c>
      <c r="O66" s="30" t="s">
        <v>890</v>
      </c>
    </row>
    <row r="67" spans="1:15" ht="15" customHeight="1" x14ac:dyDescent="0.2">
      <c r="A67" s="9">
        <v>62</v>
      </c>
      <c r="B67" s="27">
        <f t="shared" si="0"/>
        <v>302.88226673180264</v>
      </c>
      <c r="C67" s="27">
        <f t="shared" si="1"/>
        <v>1222.4328285295553</v>
      </c>
      <c r="D67" s="28">
        <v>1.25</v>
      </c>
      <c r="E67" s="28">
        <v>1.25</v>
      </c>
      <c r="F67" s="9" t="str">
        <f t="shared" si="2"/>
        <v>Identical</v>
      </c>
      <c r="G67" s="27">
        <f t="shared" si="3"/>
        <v>302.88226673180264</v>
      </c>
      <c r="H67" s="29">
        <v>0.33</v>
      </c>
      <c r="I67" s="29">
        <v>0.34</v>
      </c>
      <c r="J67" s="9" t="str">
        <f t="shared" si="4"/>
        <v>+0.01 A (nearest step)</v>
      </c>
      <c r="K67" s="9" t="s">
        <v>539</v>
      </c>
      <c r="L67" s="9" t="s">
        <v>539</v>
      </c>
      <c r="M67" s="9" t="str">
        <f t="shared" si="5"/>
        <v>Same</v>
      </c>
      <c r="N67" s="30" t="s">
        <v>890</v>
      </c>
      <c r="O67" s="30" t="s">
        <v>891</v>
      </c>
    </row>
    <row r="68" spans="1:15" ht="15" customHeight="1" x14ac:dyDescent="0.2">
      <c r="A68" s="9">
        <v>63</v>
      </c>
      <c r="B68" s="27">
        <f t="shared" si="0"/>
        <v>307.7674645823156</v>
      </c>
      <c r="C68" s="27">
        <f t="shared" si="1"/>
        <v>1242.1494870542256</v>
      </c>
      <c r="D68" s="28">
        <v>1.27</v>
      </c>
      <c r="E68" s="28">
        <v>1.27</v>
      </c>
      <c r="F68" s="9" t="str">
        <f t="shared" si="2"/>
        <v>Identical</v>
      </c>
      <c r="G68" s="27">
        <f t="shared" si="3"/>
        <v>307.7674645823156</v>
      </c>
      <c r="H68" s="29">
        <v>0.34</v>
      </c>
      <c r="I68" s="29">
        <v>0.34</v>
      </c>
      <c r="J68" s="9" t="str">
        <f t="shared" si="4"/>
        <v>Identical</v>
      </c>
      <c r="K68" s="9" t="s">
        <v>539</v>
      </c>
      <c r="L68" s="9" t="s">
        <v>539</v>
      </c>
      <c r="M68" s="9" t="str">
        <f t="shared" si="5"/>
        <v>Same</v>
      </c>
      <c r="N68" s="30" t="s">
        <v>891</v>
      </c>
      <c r="O68" s="30" t="s">
        <v>891</v>
      </c>
    </row>
    <row r="69" spans="1:15" ht="15" customHeight="1" x14ac:dyDescent="0.2">
      <c r="A69" s="9">
        <v>64</v>
      </c>
      <c r="B69" s="27">
        <f t="shared" ref="B69:B132" si="6">A69/$C$3*1000</f>
        <v>312.65266243282849</v>
      </c>
      <c r="C69" s="27">
        <f t="shared" ref="C69:C132" si="7">B69*$F$3</f>
        <v>1261.8661455788956</v>
      </c>
      <c r="D69" s="28">
        <v>1.29</v>
      </c>
      <c r="E69" s="28">
        <v>1.29</v>
      </c>
      <c r="F69" s="9" t="str">
        <f t="shared" ref="F69:F132" si="8">IF(D69=E69,"Identical",IF(E69="OL","ADC full scale: now OL",IF(ABS(E69-D69)&lt;0.0105,"Within 10 mV (calibration line)",IF(AND(C69&lt;4200,ABS(E69-D69)&lt;0.0205),"-20 mV (end of old +30 mV band)",IF(C69&lt;830,"Low range fixed (F-02)","Different")))))</f>
        <v>Identical</v>
      </c>
      <c r="G69" s="27">
        <f t="shared" ref="G69:G132" si="9">B69</f>
        <v>312.65266243282849</v>
      </c>
      <c r="H69" s="29">
        <v>0.35</v>
      </c>
      <c r="I69" s="29">
        <v>0.35</v>
      </c>
      <c r="J69" s="9" t="str">
        <f t="shared" ref="J69:J132" si="10">IF(H69=I69,"Identical",IF(I69="OL","Above 5.00 A: now OL",IF(H69="ERR (999.23)","Gap bug fixed",IF(ABS(I69-H69-0.01)&lt;0.0001,"+0.01 A (nearest step)","Different"))))</f>
        <v>Identical</v>
      </c>
      <c r="K69" s="9" t="s">
        <v>539</v>
      </c>
      <c r="L69" s="9" t="s">
        <v>539</v>
      </c>
      <c r="M69" s="9" t="str">
        <f t="shared" ref="M69:M132" si="11">IF(K69=L69,"Same","Different")</f>
        <v>Same</v>
      </c>
      <c r="N69" s="30" t="s">
        <v>892</v>
      </c>
      <c r="O69" s="30" t="s">
        <v>892</v>
      </c>
    </row>
    <row r="70" spans="1:15" ht="15" customHeight="1" x14ac:dyDescent="0.2">
      <c r="A70" s="9">
        <v>65</v>
      </c>
      <c r="B70" s="27">
        <f t="shared" si="6"/>
        <v>317.53786028334144</v>
      </c>
      <c r="C70" s="27">
        <f t="shared" si="7"/>
        <v>1281.5828041035659</v>
      </c>
      <c r="D70" s="28">
        <v>1.31</v>
      </c>
      <c r="E70" s="28">
        <v>1.31</v>
      </c>
      <c r="F70" s="9" t="str">
        <f t="shared" si="8"/>
        <v>Identical</v>
      </c>
      <c r="G70" s="27">
        <f t="shared" si="9"/>
        <v>317.53786028334144</v>
      </c>
      <c r="H70" s="29">
        <v>0.35</v>
      </c>
      <c r="I70" s="29">
        <v>0.35</v>
      </c>
      <c r="J70" s="9" t="str">
        <f t="shared" si="10"/>
        <v>Identical</v>
      </c>
      <c r="K70" s="9" t="s">
        <v>539</v>
      </c>
      <c r="L70" s="9" t="s">
        <v>539</v>
      </c>
      <c r="M70" s="9" t="str">
        <f t="shared" si="11"/>
        <v>Same</v>
      </c>
      <c r="N70" s="30" t="s">
        <v>892</v>
      </c>
      <c r="O70" s="30" t="s">
        <v>892</v>
      </c>
    </row>
    <row r="71" spans="1:15" ht="15" customHeight="1" x14ac:dyDescent="0.2">
      <c r="A71" s="9">
        <v>66</v>
      </c>
      <c r="B71" s="27">
        <f t="shared" si="6"/>
        <v>322.4230581338544</v>
      </c>
      <c r="C71" s="27">
        <f t="shared" si="7"/>
        <v>1301.2994626282361</v>
      </c>
      <c r="D71" s="28">
        <v>1.33</v>
      </c>
      <c r="E71" s="28">
        <v>1.33</v>
      </c>
      <c r="F71" s="9" t="str">
        <f t="shared" si="8"/>
        <v>Identical</v>
      </c>
      <c r="G71" s="27">
        <f t="shared" si="9"/>
        <v>322.4230581338544</v>
      </c>
      <c r="H71" s="29">
        <v>0.36</v>
      </c>
      <c r="I71" s="29">
        <v>0.36</v>
      </c>
      <c r="J71" s="9" t="str">
        <f t="shared" si="10"/>
        <v>Identical</v>
      </c>
      <c r="K71" s="9" t="s">
        <v>539</v>
      </c>
      <c r="L71" s="9" t="s">
        <v>539</v>
      </c>
      <c r="M71" s="9" t="str">
        <f t="shared" si="11"/>
        <v>Same</v>
      </c>
      <c r="N71" s="30" t="s">
        <v>893</v>
      </c>
      <c r="O71" s="30" t="s">
        <v>893</v>
      </c>
    </row>
    <row r="72" spans="1:15" ht="15" customHeight="1" x14ac:dyDescent="0.2">
      <c r="A72" s="9">
        <v>67</v>
      </c>
      <c r="B72" s="27">
        <f t="shared" si="6"/>
        <v>327.30825598436735</v>
      </c>
      <c r="C72" s="27">
        <f t="shared" si="7"/>
        <v>1321.0161211529064</v>
      </c>
      <c r="D72" s="28">
        <v>1.35</v>
      </c>
      <c r="E72" s="28">
        <v>1.35</v>
      </c>
      <c r="F72" s="9" t="str">
        <f t="shared" si="8"/>
        <v>Identical</v>
      </c>
      <c r="G72" s="27">
        <f t="shared" si="9"/>
        <v>327.30825598436735</v>
      </c>
      <c r="H72" s="29">
        <v>0.36</v>
      </c>
      <c r="I72" s="29">
        <v>0.36</v>
      </c>
      <c r="J72" s="9" t="str">
        <f t="shared" si="10"/>
        <v>Identical</v>
      </c>
      <c r="K72" s="9" t="s">
        <v>539</v>
      </c>
      <c r="L72" s="9" t="s">
        <v>539</v>
      </c>
      <c r="M72" s="9" t="str">
        <f t="shared" si="11"/>
        <v>Same</v>
      </c>
      <c r="N72" s="30" t="s">
        <v>893</v>
      </c>
      <c r="O72" s="30" t="s">
        <v>893</v>
      </c>
    </row>
    <row r="73" spans="1:15" ht="15" customHeight="1" x14ac:dyDescent="0.2">
      <c r="A73" s="9">
        <v>68</v>
      </c>
      <c r="B73" s="27">
        <f t="shared" si="6"/>
        <v>332.1934538348803</v>
      </c>
      <c r="C73" s="27">
        <f t="shared" si="7"/>
        <v>1340.7327796775767</v>
      </c>
      <c r="D73" s="28">
        <v>1.37</v>
      </c>
      <c r="E73" s="28">
        <v>1.37</v>
      </c>
      <c r="F73" s="9" t="str">
        <f t="shared" si="8"/>
        <v>Identical</v>
      </c>
      <c r="G73" s="27">
        <f t="shared" si="9"/>
        <v>332.1934538348803</v>
      </c>
      <c r="H73" s="29">
        <v>0.37</v>
      </c>
      <c r="I73" s="29">
        <v>0.37</v>
      </c>
      <c r="J73" s="9" t="str">
        <f t="shared" si="10"/>
        <v>Identical</v>
      </c>
      <c r="K73" s="9" t="s">
        <v>539</v>
      </c>
      <c r="L73" s="9" t="s">
        <v>539</v>
      </c>
      <c r="M73" s="9" t="str">
        <f t="shared" si="11"/>
        <v>Same</v>
      </c>
      <c r="N73" s="30" t="s">
        <v>894</v>
      </c>
      <c r="O73" s="30" t="s">
        <v>894</v>
      </c>
    </row>
    <row r="74" spans="1:15" ht="15" customHeight="1" x14ac:dyDescent="0.2">
      <c r="A74" s="9">
        <v>69</v>
      </c>
      <c r="B74" s="27">
        <f t="shared" si="6"/>
        <v>337.07865168539331</v>
      </c>
      <c r="C74" s="27">
        <f t="shared" si="7"/>
        <v>1360.4494382022472</v>
      </c>
      <c r="D74" s="28">
        <v>1.39</v>
      </c>
      <c r="E74" s="28">
        <v>1.39</v>
      </c>
      <c r="F74" s="9" t="str">
        <f t="shared" si="8"/>
        <v>Identical</v>
      </c>
      <c r="G74" s="27">
        <f t="shared" si="9"/>
        <v>337.07865168539331</v>
      </c>
      <c r="H74" s="29">
        <v>0.37</v>
      </c>
      <c r="I74" s="29">
        <v>0.37</v>
      </c>
      <c r="J74" s="9" t="str">
        <f t="shared" si="10"/>
        <v>Identical</v>
      </c>
      <c r="K74" s="9" t="s">
        <v>539</v>
      </c>
      <c r="L74" s="9" t="s">
        <v>539</v>
      </c>
      <c r="M74" s="9" t="str">
        <f t="shared" si="11"/>
        <v>Same</v>
      </c>
      <c r="N74" s="30" t="s">
        <v>894</v>
      </c>
      <c r="O74" s="30" t="s">
        <v>894</v>
      </c>
    </row>
    <row r="75" spans="1:15" ht="15" customHeight="1" x14ac:dyDescent="0.2">
      <c r="A75" s="9">
        <v>70</v>
      </c>
      <c r="B75" s="27">
        <f t="shared" si="6"/>
        <v>341.96384953590626</v>
      </c>
      <c r="C75" s="27">
        <f t="shared" si="7"/>
        <v>1380.1660967269174</v>
      </c>
      <c r="D75" s="28">
        <v>1.41</v>
      </c>
      <c r="E75" s="28">
        <v>1.41</v>
      </c>
      <c r="F75" s="9" t="str">
        <f t="shared" si="8"/>
        <v>Identical</v>
      </c>
      <c r="G75" s="27">
        <f t="shared" si="9"/>
        <v>341.96384953590626</v>
      </c>
      <c r="H75" s="29">
        <v>0.38</v>
      </c>
      <c r="I75" s="29">
        <v>0.38</v>
      </c>
      <c r="J75" s="9" t="str">
        <f t="shared" si="10"/>
        <v>Identical</v>
      </c>
      <c r="K75" s="9" t="s">
        <v>539</v>
      </c>
      <c r="L75" s="9" t="s">
        <v>539</v>
      </c>
      <c r="M75" s="9" t="str">
        <f t="shared" si="11"/>
        <v>Same</v>
      </c>
      <c r="N75" s="30" t="s">
        <v>895</v>
      </c>
      <c r="O75" s="30" t="s">
        <v>895</v>
      </c>
    </row>
    <row r="76" spans="1:15" ht="15" customHeight="1" x14ac:dyDescent="0.2">
      <c r="A76" s="9">
        <v>71</v>
      </c>
      <c r="B76" s="27">
        <f t="shared" si="6"/>
        <v>346.84904738641922</v>
      </c>
      <c r="C76" s="27">
        <f t="shared" si="7"/>
        <v>1399.8827552515879</v>
      </c>
      <c r="D76" s="28">
        <v>1.42</v>
      </c>
      <c r="E76" s="28">
        <v>1.42</v>
      </c>
      <c r="F76" s="9" t="str">
        <f t="shared" si="8"/>
        <v>Identical</v>
      </c>
      <c r="G76" s="27">
        <f t="shared" si="9"/>
        <v>346.84904738641922</v>
      </c>
      <c r="H76" s="29">
        <v>0.38</v>
      </c>
      <c r="I76" s="29">
        <v>0.38</v>
      </c>
      <c r="J76" s="9" t="str">
        <f t="shared" si="10"/>
        <v>Identical</v>
      </c>
      <c r="K76" s="9" t="s">
        <v>539</v>
      </c>
      <c r="L76" s="9" t="s">
        <v>539</v>
      </c>
      <c r="M76" s="9" t="str">
        <f t="shared" si="11"/>
        <v>Same</v>
      </c>
      <c r="N76" s="30" t="s">
        <v>895</v>
      </c>
      <c r="O76" s="30" t="s">
        <v>895</v>
      </c>
    </row>
    <row r="77" spans="1:15" ht="15" customHeight="1" x14ac:dyDescent="0.2">
      <c r="A77" s="9">
        <v>72</v>
      </c>
      <c r="B77" s="27">
        <f t="shared" si="6"/>
        <v>351.73424523693217</v>
      </c>
      <c r="C77" s="27">
        <f t="shared" si="7"/>
        <v>1419.5994137762582</v>
      </c>
      <c r="D77" s="28">
        <v>1.44</v>
      </c>
      <c r="E77" s="28">
        <v>1.44</v>
      </c>
      <c r="F77" s="9" t="str">
        <f t="shared" si="8"/>
        <v>Identical</v>
      </c>
      <c r="G77" s="27">
        <f t="shared" si="9"/>
        <v>351.73424523693217</v>
      </c>
      <c r="H77" s="29">
        <v>0.39</v>
      </c>
      <c r="I77" s="29">
        <v>0.39</v>
      </c>
      <c r="J77" s="9" t="str">
        <f t="shared" si="10"/>
        <v>Identical</v>
      </c>
      <c r="K77" s="9" t="s">
        <v>539</v>
      </c>
      <c r="L77" s="9" t="s">
        <v>539</v>
      </c>
      <c r="M77" s="9" t="str">
        <f t="shared" si="11"/>
        <v>Same</v>
      </c>
      <c r="N77" s="30" t="s">
        <v>896</v>
      </c>
      <c r="O77" s="30" t="s">
        <v>896</v>
      </c>
    </row>
    <row r="78" spans="1:15" ht="15" customHeight="1" x14ac:dyDescent="0.2">
      <c r="A78" s="9">
        <v>73</v>
      </c>
      <c r="B78" s="27">
        <f t="shared" si="6"/>
        <v>356.61944308744506</v>
      </c>
      <c r="C78" s="27">
        <f t="shared" si="7"/>
        <v>1439.3160723009282</v>
      </c>
      <c r="D78" s="28">
        <v>1.46</v>
      </c>
      <c r="E78" s="28">
        <v>1.46</v>
      </c>
      <c r="F78" s="9" t="str">
        <f t="shared" si="8"/>
        <v>Identical</v>
      </c>
      <c r="G78" s="27">
        <f t="shared" si="9"/>
        <v>356.61944308744506</v>
      </c>
      <c r="H78" s="29">
        <v>0.39</v>
      </c>
      <c r="I78" s="29">
        <v>0.4</v>
      </c>
      <c r="J78" s="9" t="str">
        <f t="shared" si="10"/>
        <v>+0.01 A (nearest step)</v>
      </c>
      <c r="K78" s="9" t="s">
        <v>539</v>
      </c>
      <c r="L78" s="9" t="s">
        <v>539</v>
      </c>
      <c r="M78" s="9" t="str">
        <f t="shared" si="11"/>
        <v>Same</v>
      </c>
      <c r="N78" s="30" t="s">
        <v>896</v>
      </c>
      <c r="O78" s="30" t="s">
        <v>897</v>
      </c>
    </row>
    <row r="79" spans="1:15" ht="15" customHeight="1" x14ac:dyDescent="0.2">
      <c r="A79" s="9">
        <v>74</v>
      </c>
      <c r="B79" s="27">
        <f t="shared" si="6"/>
        <v>361.50464093795802</v>
      </c>
      <c r="C79" s="27">
        <f t="shared" si="7"/>
        <v>1459.0327308255985</v>
      </c>
      <c r="D79" s="28">
        <v>1.48</v>
      </c>
      <c r="E79" s="28">
        <v>1.48</v>
      </c>
      <c r="F79" s="9" t="str">
        <f t="shared" si="8"/>
        <v>Identical</v>
      </c>
      <c r="G79" s="27">
        <f t="shared" si="9"/>
        <v>361.50464093795802</v>
      </c>
      <c r="H79" s="29">
        <v>0.4</v>
      </c>
      <c r="I79" s="29">
        <v>0.4</v>
      </c>
      <c r="J79" s="9" t="str">
        <f t="shared" si="10"/>
        <v>Identical</v>
      </c>
      <c r="K79" s="9" t="s">
        <v>539</v>
      </c>
      <c r="L79" s="9" t="s">
        <v>539</v>
      </c>
      <c r="M79" s="9" t="str">
        <f t="shared" si="11"/>
        <v>Same</v>
      </c>
      <c r="N79" s="30" t="s">
        <v>897</v>
      </c>
      <c r="O79" s="30" t="s">
        <v>897</v>
      </c>
    </row>
    <row r="80" spans="1:15" ht="15" customHeight="1" x14ac:dyDescent="0.2">
      <c r="A80" s="9">
        <v>75</v>
      </c>
      <c r="B80" s="27">
        <f t="shared" si="6"/>
        <v>366.38983878847097</v>
      </c>
      <c r="C80" s="27">
        <f t="shared" si="7"/>
        <v>1478.7493893502688</v>
      </c>
      <c r="D80" s="28">
        <v>1.5</v>
      </c>
      <c r="E80" s="28">
        <v>1.5</v>
      </c>
      <c r="F80" s="9" t="str">
        <f t="shared" si="8"/>
        <v>Identical</v>
      </c>
      <c r="G80" s="27">
        <f t="shared" si="9"/>
        <v>366.38983878847097</v>
      </c>
      <c r="H80" s="29">
        <v>0.41</v>
      </c>
      <c r="I80" s="29">
        <v>0.41</v>
      </c>
      <c r="J80" s="9" t="str">
        <f t="shared" si="10"/>
        <v>Identical</v>
      </c>
      <c r="K80" s="9" t="s">
        <v>539</v>
      </c>
      <c r="L80" s="9" t="s">
        <v>539</v>
      </c>
      <c r="M80" s="9" t="str">
        <f t="shared" si="11"/>
        <v>Same</v>
      </c>
      <c r="N80" s="30" t="s">
        <v>898</v>
      </c>
      <c r="O80" s="30" t="s">
        <v>898</v>
      </c>
    </row>
    <row r="81" spans="1:15" ht="15" customHeight="1" x14ac:dyDescent="0.2">
      <c r="A81" s="9">
        <v>76</v>
      </c>
      <c r="B81" s="27">
        <f t="shared" si="6"/>
        <v>371.27503663898392</v>
      </c>
      <c r="C81" s="27">
        <f t="shared" si="7"/>
        <v>1498.466047874939</v>
      </c>
      <c r="D81" s="28">
        <v>1.52</v>
      </c>
      <c r="E81" s="28">
        <v>1.52</v>
      </c>
      <c r="F81" s="9" t="str">
        <f t="shared" si="8"/>
        <v>Identical</v>
      </c>
      <c r="G81" s="27">
        <f t="shared" si="9"/>
        <v>371.27503663898392</v>
      </c>
      <c r="H81" s="29">
        <v>0.41</v>
      </c>
      <c r="I81" s="29">
        <v>0.41</v>
      </c>
      <c r="J81" s="9" t="str">
        <f t="shared" si="10"/>
        <v>Identical</v>
      </c>
      <c r="K81" s="9" t="s">
        <v>539</v>
      </c>
      <c r="L81" s="9" t="s">
        <v>539</v>
      </c>
      <c r="M81" s="9" t="str">
        <f t="shared" si="11"/>
        <v>Same</v>
      </c>
      <c r="N81" s="30" t="s">
        <v>898</v>
      </c>
      <c r="O81" s="30" t="s">
        <v>898</v>
      </c>
    </row>
    <row r="82" spans="1:15" ht="15" customHeight="1" x14ac:dyDescent="0.2">
      <c r="A82" s="9">
        <v>77</v>
      </c>
      <c r="B82" s="27">
        <f t="shared" si="6"/>
        <v>376.16023448949687</v>
      </c>
      <c r="C82" s="27">
        <f t="shared" si="7"/>
        <v>1518.1827063996093</v>
      </c>
      <c r="D82" s="28">
        <v>1.54</v>
      </c>
      <c r="E82" s="28">
        <v>1.54</v>
      </c>
      <c r="F82" s="9" t="str">
        <f t="shared" si="8"/>
        <v>Identical</v>
      </c>
      <c r="G82" s="27">
        <f t="shared" si="9"/>
        <v>376.16023448949687</v>
      </c>
      <c r="H82" s="29">
        <v>0.42</v>
      </c>
      <c r="I82" s="29">
        <v>0.42</v>
      </c>
      <c r="J82" s="9" t="str">
        <f t="shared" si="10"/>
        <v>Identical</v>
      </c>
      <c r="K82" s="9" t="s">
        <v>539</v>
      </c>
      <c r="L82" s="9" t="s">
        <v>539</v>
      </c>
      <c r="M82" s="9" t="str">
        <f t="shared" si="11"/>
        <v>Same</v>
      </c>
      <c r="N82" s="30" t="s">
        <v>899</v>
      </c>
      <c r="O82" s="30" t="s">
        <v>899</v>
      </c>
    </row>
    <row r="83" spans="1:15" ht="15" customHeight="1" x14ac:dyDescent="0.2">
      <c r="A83" s="9">
        <v>78</v>
      </c>
      <c r="B83" s="27">
        <f t="shared" si="6"/>
        <v>381.04543234000982</v>
      </c>
      <c r="C83" s="27">
        <f t="shared" si="7"/>
        <v>1537.8993649242796</v>
      </c>
      <c r="D83" s="28">
        <v>1.56</v>
      </c>
      <c r="E83" s="28">
        <v>1.56</v>
      </c>
      <c r="F83" s="9" t="str">
        <f t="shared" si="8"/>
        <v>Identical</v>
      </c>
      <c r="G83" s="27">
        <f t="shared" si="9"/>
        <v>381.04543234000982</v>
      </c>
      <c r="H83" s="29">
        <v>0.42</v>
      </c>
      <c r="I83" s="29">
        <v>0.42</v>
      </c>
      <c r="J83" s="9" t="str">
        <f t="shared" si="10"/>
        <v>Identical</v>
      </c>
      <c r="K83" s="9" t="s">
        <v>539</v>
      </c>
      <c r="L83" s="9" t="s">
        <v>539</v>
      </c>
      <c r="M83" s="9" t="str">
        <f t="shared" si="11"/>
        <v>Same</v>
      </c>
      <c r="N83" s="30" t="s">
        <v>899</v>
      </c>
      <c r="O83" s="30" t="s">
        <v>899</v>
      </c>
    </row>
    <row r="84" spans="1:15" ht="15" customHeight="1" x14ac:dyDescent="0.2">
      <c r="A84" s="9">
        <v>79</v>
      </c>
      <c r="B84" s="27">
        <f t="shared" si="6"/>
        <v>385.93063019052278</v>
      </c>
      <c r="C84" s="27">
        <f t="shared" si="7"/>
        <v>1557.6160234489498</v>
      </c>
      <c r="D84" s="28">
        <v>1.58</v>
      </c>
      <c r="E84" s="28">
        <v>1.58</v>
      </c>
      <c r="F84" s="9" t="str">
        <f t="shared" si="8"/>
        <v>Identical</v>
      </c>
      <c r="G84" s="27">
        <f t="shared" si="9"/>
        <v>385.93063019052278</v>
      </c>
      <c r="H84" s="29">
        <v>0.43</v>
      </c>
      <c r="I84" s="29">
        <v>0.43</v>
      </c>
      <c r="J84" s="9" t="str">
        <f t="shared" si="10"/>
        <v>Identical</v>
      </c>
      <c r="K84" s="9" t="s">
        <v>539</v>
      </c>
      <c r="L84" s="9" t="s">
        <v>539</v>
      </c>
      <c r="M84" s="9" t="str">
        <f t="shared" si="11"/>
        <v>Same</v>
      </c>
      <c r="N84" s="30" t="s">
        <v>900</v>
      </c>
      <c r="O84" s="30" t="s">
        <v>900</v>
      </c>
    </row>
    <row r="85" spans="1:15" ht="15" customHeight="1" x14ac:dyDescent="0.2">
      <c r="A85" s="9">
        <v>80</v>
      </c>
      <c r="B85" s="27">
        <f t="shared" si="6"/>
        <v>390.81582804103573</v>
      </c>
      <c r="C85" s="27">
        <f t="shared" si="7"/>
        <v>1577.3326819736201</v>
      </c>
      <c r="D85" s="28">
        <v>1.6</v>
      </c>
      <c r="E85" s="28">
        <v>1.6</v>
      </c>
      <c r="F85" s="9" t="str">
        <f t="shared" si="8"/>
        <v>Identical</v>
      </c>
      <c r="G85" s="27">
        <f t="shared" si="9"/>
        <v>390.81582804103573</v>
      </c>
      <c r="H85" s="29">
        <v>0.43</v>
      </c>
      <c r="I85" s="29">
        <v>0.43</v>
      </c>
      <c r="J85" s="9" t="str">
        <f t="shared" si="10"/>
        <v>Identical</v>
      </c>
      <c r="K85" s="9" t="s">
        <v>539</v>
      </c>
      <c r="L85" s="9" t="s">
        <v>539</v>
      </c>
      <c r="M85" s="9" t="str">
        <f t="shared" si="11"/>
        <v>Same</v>
      </c>
      <c r="N85" s="30" t="s">
        <v>900</v>
      </c>
      <c r="O85" s="30" t="s">
        <v>900</v>
      </c>
    </row>
    <row r="86" spans="1:15" ht="15" customHeight="1" x14ac:dyDescent="0.2">
      <c r="A86" s="9">
        <v>81</v>
      </c>
      <c r="B86" s="27">
        <f t="shared" si="6"/>
        <v>395.70102589154862</v>
      </c>
      <c r="C86" s="27">
        <f t="shared" si="7"/>
        <v>1597.0493404982901</v>
      </c>
      <c r="D86" s="28">
        <v>1.62</v>
      </c>
      <c r="E86" s="28">
        <v>1.62</v>
      </c>
      <c r="F86" s="9" t="str">
        <f t="shared" si="8"/>
        <v>Identical</v>
      </c>
      <c r="G86" s="27">
        <f t="shared" si="9"/>
        <v>395.70102589154862</v>
      </c>
      <c r="H86" s="29">
        <v>0.44</v>
      </c>
      <c r="I86" s="29">
        <v>0.44</v>
      </c>
      <c r="J86" s="9" t="str">
        <f t="shared" si="10"/>
        <v>Identical</v>
      </c>
      <c r="K86" s="9" t="s">
        <v>539</v>
      </c>
      <c r="L86" s="9" t="s">
        <v>539</v>
      </c>
      <c r="M86" s="9" t="str">
        <f t="shared" si="11"/>
        <v>Same</v>
      </c>
      <c r="N86" s="30" t="s">
        <v>901</v>
      </c>
      <c r="O86" s="30" t="s">
        <v>901</v>
      </c>
    </row>
    <row r="87" spans="1:15" ht="15" customHeight="1" x14ac:dyDescent="0.2">
      <c r="A87" s="9">
        <v>82</v>
      </c>
      <c r="B87" s="27">
        <f t="shared" si="6"/>
        <v>400.58622374206158</v>
      </c>
      <c r="C87" s="27">
        <f t="shared" si="7"/>
        <v>1616.7659990229604</v>
      </c>
      <c r="D87" s="28">
        <v>1.64</v>
      </c>
      <c r="E87" s="28">
        <v>1.64</v>
      </c>
      <c r="F87" s="9" t="str">
        <f t="shared" si="8"/>
        <v>Identical</v>
      </c>
      <c r="G87" s="27">
        <f t="shared" si="9"/>
        <v>400.58622374206158</v>
      </c>
      <c r="H87" s="29">
        <v>0.44</v>
      </c>
      <c r="I87" s="29">
        <v>0.44</v>
      </c>
      <c r="J87" s="9" t="str">
        <f t="shared" si="10"/>
        <v>Identical</v>
      </c>
      <c r="K87" s="9" t="s">
        <v>539</v>
      </c>
      <c r="L87" s="9" t="s">
        <v>539</v>
      </c>
      <c r="M87" s="9" t="str">
        <f t="shared" si="11"/>
        <v>Same</v>
      </c>
      <c r="N87" s="30" t="s">
        <v>901</v>
      </c>
      <c r="O87" s="30" t="s">
        <v>901</v>
      </c>
    </row>
    <row r="88" spans="1:15" ht="15" customHeight="1" x14ac:dyDescent="0.2">
      <c r="A88" s="9">
        <v>83</v>
      </c>
      <c r="B88" s="27">
        <f t="shared" si="6"/>
        <v>405.47142159257453</v>
      </c>
      <c r="C88" s="27">
        <f t="shared" si="7"/>
        <v>1636.4826575476307</v>
      </c>
      <c r="D88" s="28">
        <v>1.66</v>
      </c>
      <c r="E88" s="28">
        <v>1.66</v>
      </c>
      <c r="F88" s="9" t="str">
        <f t="shared" si="8"/>
        <v>Identical</v>
      </c>
      <c r="G88" s="27">
        <f t="shared" si="9"/>
        <v>405.47142159257453</v>
      </c>
      <c r="H88" s="29">
        <v>0.45</v>
      </c>
      <c r="I88" s="29">
        <v>0.45</v>
      </c>
      <c r="J88" s="9" t="str">
        <f t="shared" si="10"/>
        <v>Identical</v>
      </c>
      <c r="K88" s="9" t="s">
        <v>539</v>
      </c>
      <c r="L88" s="9" t="s">
        <v>539</v>
      </c>
      <c r="M88" s="9" t="str">
        <f t="shared" si="11"/>
        <v>Same</v>
      </c>
      <c r="N88" s="30" t="s">
        <v>902</v>
      </c>
      <c r="O88" s="30" t="s">
        <v>902</v>
      </c>
    </row>
    <row r="89" spans="1:15" ht="15" customHeight="1" x14ac:dyDescent="0.2">
      <c r="A89" s="9">
        <v>84</v>
      </c>
      <c r="B89" s="27">
        <f t="shared" si="6"/>
        <v>410.35661944308748</v>
      </c>
      <c r="C89" s="27">
        <f t="shared" si="7"/>
        <v>1656.1993160723009</v>
      </c>
      <c r="D89" s="28">
        <v>1.68</v>
      </c>
      <c r="E89" s="28">
        <v>1.68</v>
      </c>
      <c r="F89" s="9" t="str">
        <f t="shared" si="8"/>
        <v>Identical</v>
      </c>
      <c r="G89" s="27">
        <f t="shared" si="9"/>
        <v>410.35661944308748</v>
      </c>
      <c r="H89" s="29">
        <v>0.45</v>
      </c>
      <c r="I89" s="29">
        <v>0.45</v>
      </c>
      <c r="J89" s="9" t="str">
        <f t="shared" si="10"/>
        <v>Identical</v>
      </c>
      <c r="K89" s="9" t="s">
        <v>539</v>
      </c>
      <c r="L89" s="9" t="s">
        <v>539</v>
      </c>
      <c r="M89" s="9" t="str">
        <f t="shared" si="11"/>
        <v>Same</v>
      </c>
      <c r="N89" s="30" t="s">
        <v>902</v>
      </c>
      <c r="O89" s="30" t="s">
        <v>902</v>
      </c>
    </row>
    <row r="90" spans="1:15" ht="15" customHeight="1" x14ac:dyDescent="0.2">
      <c r="A90" s="9">
        <v>85</v>
      </c>
      <c r="B90" s="27">
        <f t="shared" si="6"/>
        <v>415.24181729360043</v>
      </c>
      <c r="C90" s="27">
        <f t="shared" si="7"/>
        <v>1675.9159745969712</v>
      </c>
      <c r="D90" s="28">
        <v>1.7</v>
      </c>
      <c r="E90" s="28">
        <v>1.7</v>
      </c>
      <c r="F90" s="9" t="str">
        <f t="shared" si="8"/>
        <v>Identical</v>
      </c>
      <c r="G90" s="27">
        <f t="shared" si="9"/>
        <v>415.24181729360043</v>
      </c>
      <c r="H90" s="29">
        <v>0.46</v>
      </c>
      <c r="I90" s="29">
        <v>0.46</v>
      </c>
      <c r="J90" s="9" t="str">
        <f t="shared" si="10"/>
        <v>Identical</v>
      </c>
      <c r="K90" s="9" t="s">
        <v>539</v>
      </c>
      <c r="L90" s="9" t="s">
        <v>539</v>
      </c>
      <c r="M90" s="9" t="str">
        <f t="shared" si="11"/>
        <v>Same</v>
      </c>
      <c r="N90" s="30" t="s">
        <v>903</v>
      </c>
      <c r="O90" s="30" t="s">
        <v>903</v>
      </c>
    </row>
    <row r="91" spans="1:15" ht="15" customHeight="1" x14ac:dyDescent="0.2">
      <c r="A91" s="9">
        <v>86</v>
      </c>
      <c r="B91" s="27">
        <f t="shared" si="6"/>
        <v>420.12701514411339</v>
      </c>
      <c r="C91" s="27">
        <f t="shared" si="7"/>
        <v>1695.6326331216414</v>
      </c>
      <c r="D91" s="28">
        <v>1.72</v>
      </c>
      <c r="E91" s="28">
        <v>1.72</v>
      </c>
      <c r="F91" s="9" t="str">
        <f t="shared" si="8"/>
        <v>Identical</v>
      </c>
      <c r="G91" s="27">
        <f t="shared" si="9"/>
        <v>420.12701514411339</v>
      </c>
      <c r="H91" s="29">
        <v>0.47</v>
      </c>
      <c r="I91" s="29">
        <v>0.47</v>
      </c>
      <c r="J91" s="9" t="str">
        <f t="shared" si="10"/>
        <v>Identical</v>
      </c>
      <c r="K91" s="9" t="s">
        <v>539</v>
      </c>
      <c r="L91" s="9" t="s">
        <v>539</v>
      </c>
      <c r="M91" s="9" t="str">
        <f t="shared" si="11"/>
        <v>Same</v>
      </c>
      <c r="N91" s="30" t="s">
        <v>904</v>
      </c>
      <c r="O91" s="30" t="s">
        <v>904</v>
      </c>
    </row>
    <row r="92" spans="1:15" ht="15" customHeight="1" x14ac:dyDescent="0.2">
      <c r="A92" s="9">
        <v>87</v>
      </c>
      <c r="B92" s="27">
        <f t="shared" si="6"/>
        <v>425.01221299462634</v>
      </c>
      <c r="C92" s="27">
        <f t="shared" si="7"/>
        <v>1715.3492916463117</v>
      </c>
      <c r="D92" s="28">
        <v>1.74</v>
      </c>
      <c r="E92" s="28">
        <v>1.74</v>
      </c>
      <c r="F92" s="9" t="str">
        <f t="shared" si="8"/>
        <v>Identical</v>
      </c>
      <c r="G92" s="27">
        <f t="shared" si="9"/>
        <v>425.01221299462634</v>
      </c>
      <c r="H92" s="29">
        <v>0.47</v>
      </c>
      <c r="I92" s="29">
        <v>0.47</v>
      </c>
      <c r="J92" s="9" t="str">
        <f t="shared" si="10"/>
        <v>Identical</v>
      </c>
      <c r="K92" s="9" t="s">
        <v>539</v>
      </c>
      <c r="L92" s="9" t="s">
        <v>539</v>
      </c>
      <c r="M92" s="9" t="str">
        <f t="shared" si="11"/>
        <v>Same</v>
      </c>
      <c r="N92" s="30" t="s">
        <v>904</v>
      </c>
      <c r="O92" s="30" t="s">
        <v>904</v>
      </c>
    </row>
    <row r="93" spans="1:15" ht="15" customHeight="1" x14ac:dyDescent="0.2">
      <c r="A93" s="9">
        <v>88</v>
      </c>
      <c r="B93" s="27">
        <f t="shared" si="6"/>
        <v>429.89741084513929</v>
      </c>
      <c r="C93" s="27">
        <f t="shared" si="7"/>
        <v>1735.065950170982</v>
      </c>
      <c r="D93" s="28">
        <v>1.76</v>
      </c>
      <c r="E93" s="28">
        <v>1.76</v>
      </c>
      <c r="F93" s="9" t="str">
        <f t="shared" si="8"/>
        <v>Identical</v>
      </c>
      <c r="G93" s="27">
        <f t="shared" si="9"/>
        <v>429.89741084513929</v>
      </c>
      <c r="H93" s="29">
        <v>0.48</v>
      </c>
      <c r="I93" s="29">
        <v>0.48</v>
      </c>
      <c r="J93" s="9" t="str">
        <f t="shared" si="10"/>
        <v>Identical</v>
      </c>
      <c r="K93" s="9" t="s">
        <v>539</v>
      </c>
      <c r="L93" s="9" t="s">
        <v>539</v>
      </c>
      <c r="M93" s="9" t="str">
        <f t="shared" si="11"/>
        <v>Same</v>
      </c>
      <c r="N93" s="30" t="s">
        <v>905</v>
      </c>
      <c r="O93" s="30" t="s">
        <v>905</v>
      </c>
    </row>
    <row r="94" spans="1:15" ht="15" customHeight="1" x14ac:dyDescent="0.2">
      <c r="A94" s="9">
        <v>89</v>
      </c>
      <c r="B94" s="27">
        <f t="shared" si="6"/>
        <v>434.78260869565224</v>
      </c>
      <c r="C94" s="27">
        <f t="shared" si="7"/>
        <v>1754.7826086956522</v>
      </c>
      <c r="D94" s="28">
        <v>1.78</v>
      </c>
      <c r="E94" s="28">
        <v>1.78</v>
      </c>
      <c r="F94" s="9" t="str">
        <f t="shared" si="8"/>
        <v>Identical</v>
      </c>
      <c r="G94" s="27">
        <f t="shared" si="9"/>
        <v>434.78260869565224</v>
      </c>
      <c r="H94" s="29">
        <v>0.48</v>
      </c>
      <c r="I94" s="29">
        <v>0.48</v>
      </c>
      <c r="J94" s="9" t="str">
        <f t="shared" si="10"/>
        <v>Identical</v>
      </c>
      <c r="K94" s="9" t="s">
        <v>539</v>
      </c>
      <c r="L94" s="9" t="s">
        <v>539</v>
      </c>
      <c r="M94" s="9" t="str">
        <f t="shared" si="11"/>
        <v>Same</v>
      </c>
      <c r="N94" s="30" t="s">
        <v>905</v>
      </c>
      <c r="O94" s="30" t="s">
        <v>905</v>
      </c>
    </row>
    <row r="95" spans="1:15" ht="15" customHeight="1" x14ac:dyDescent="0.2">
      <c r="A95" s="9">
        <v>90</v>
      </c>
      <c r="B95" s="27">
        <f t="shared" si="6"/>
        <v>439.66780654616514</v>
      </c>
      <c r="C95" s="27">
        <f t="shared" si="7"/>
        <v>1774.4992672203223</v>
      </c>
      <c r="D95" s="28">
        <v>1.8</v>
      </c>
      <c r="E95" s="28">
        <v>1.8</v>
      </c>
      <c r="F95" s="9" t="str">
        <f t="shared" si="8"/>
        <v>Identical</v>
      </c>
      <c r="G95" s="27">
        <f t="shared" si="9"/>
        <v>439.66780654616514</v>
      </c>
      <c r="H95" s="29">
        <v>0.49</v>
      </c>
      <c r="I95" s="29">
        <v>0.49</v>
      </c>
      <c r="J95" s="9" t="str">
        <f t="shared" si="10"/>
        <v>Identical</v>
      </c>
      <c r="K95" s="9" t="s">
        <v>539</v>
      </c>
      <c r="L95" s="9" t="s">
        <v>539</v>
      </c>
      <c r="M95" s="9" t="str">
        <f t="shared" si="11"/>
        <v>Same</v>
      </c>
      <c r="N95" s="30" t="s">
        <v>906</v>
      </c>
      <c r="O95" s="30" t="s">
        <v>906</v>
      </c>
    </row>
    <row r="96" spans="1:15" ht="15" customHeight="1" x14ac:dyDescent="0.2">
      <c r="A96" s="9">
        <v>91</v>
      </c>
      <c r="B96" s="27">
        <f t="shared" si="6"/>
        <v>444.55300439667809</v>
      </c>
      <c r="C96" s="27">
        <f t="shared" si="7"/>
        <v>1794.2159257449925</v>
      </c>
      <c r="D96" s="28">
        <v>1.82</v>
      </c>
      <c r="E96" s="28">
        <v>1.82</v>
      </c>
      <c r="F96" s="9" t="str">
        <f t="shared" si="8"/>
        <v>Identical</v>
      </c>
      <c r="G96" s="27">
        <f t="shared" si="9"/>
        <v>444.55300439667809</v>
      </c>
      <c r="H96" s="29">
        <v>0.49</v>
      </c>
      <c r="I96" s="29">
        <v>0.49</v>
      </c>
      <c r="J96" s="9" t="str">
        <f t="shared" si="10"/>
        <v>Identical</v>
      </c>
      <c r="K96" s="9" t="s">
        <v>539</v>
      </c>
      <c r="L96" s="9" t="s">
        <v>539</v>
      </c>
      <c r="M96" s="9" t="str">
        <f t="shared" si="11"/>
        <v>Same</v>
      </c>
      <c r="N96" s="30" t="s">
        <v>906</v>
      </c>
      <c r="O96" s="30" t="s">
        <v>906</v>
      </c>
    </row>
    <row r="97" spans="1:15" ht="15" customHeight="1" x14ac:dyDescent="0.2">
      <c r="A97" s="9">
        <v>92</v>
      </c>
      <c r="B97" s="27">
        <f t="shared" si="6"/>
        <v>449.43820224719104</v>
      </c>
      <c r="C97" s="27">
        <f t="shared" si="7"/>
        <v>1813.9325842696628</v>
      </c>
      <c r="D97" s="28">
        <v>1.84</v>
      </c>
      <c r="E97" s="28">
        <v>1.84</v>
      </c>
      <c r="F97" s="9" t="str">
        <f t="shared" si="8"/>
        <v>Identical</v>
      </c>
      <c r="G97" s="27">
        <f t="shared" si="9"/>
        <v>449.43820224719104</v>
      </c>
      <c r="H97" s="29">
        <v>0.5</v>
      </c>
      <c r="I97" s="29">
        <v>0.5</v>
      </c>
      <c r="J97" s="9" t="str">
        <f t="shared" si="10"/>
        <v>Identical</v>
      </c>
      <c r="K97" s="9" t="s">
        <v>539</v>
      </c>
      <c r="L97" s="9" t="s">
        <v>539</v>
      </c>
      <c r="M97" s="9" t="str">
        <f t="shared" si="11"/>
        <v>Same</v>
      </c>
      <c r="N97" s="30" t="s">
        <v>907</v>
      </c>
      <c r="O97" s="30" t="s">
        <v>907</v>
      </c>
    </row>
    <row r="98" spans="1:15" ht="15" customHeight="1" x14ac:dyDescent="0.2">
      <c r="A98" s="9">
        <v>93</v>
      </c>
      <c r="B98" s="27">
        <f t="shared" si="6"/>
        <v>454.323400097704</v>
      </c>
      <c r="C98" s="27">
        <f t="shared" si="7"/>
        <v>1833.6492427943331</v>
      </c>
      <c r="D98" s="28">
        <v>1.86</v>
      </c>
      <c r="E98" s="28">
        <v>1.86</v>
      </c>
      <c r="F98" s="9" t="str">
        <f t="shared" si="8"/>
        <v>Identical</v>
      </c>
      <c r="G98" s="27">
        <f t="shared" si="9"/>
        <v>454.323400097704</v>
      </c>
      <c r="H98" s="29">
        <v>0.5</v>
      </c>
      <c r="I98" s="29">
        <v>0.5</v>
      </c>
      <c r="J98" s="9" t="str">
        <f t="shared" si="10"/>
        <v>Identical</v>
      </c>
      <c r="K98" s="9" t="s">
        <v>539</v>
      </c>
      <c r="L98" s="9" t="s">
        <v>539</v>
      </c>
      <c r="M98" s="9" t="str">
        <f t="shared" si="11"/>
        <v>Same</v>
      </c>
      <c r="N98" s="30" t="s">
        <v>907</v>
      </c>
      <c r="O98" s="30" t="s">
        <v>907</v>
      </c>
    </row>
    <row r="99" spans="1:15" ht="15" customHeight="1" x14ac:dyDescent="0.2">
      <c r="A99" s="9">
        <v>94</v>
      </c>
      <c r="B99" s="27">
        <f t="shared" si="6"/>
        <v>459.20859794821695</v>
      </c>
      <c r="C99" s="27">
        <f t="shared" si="7"/>
        <v>1853.3659013190033</v>
      </c>
      <c r="D99" s="28">
        <v>1.88</v>
      </c>
      <c r="E99" s="28">
        <v>1.88</v>
      </c>
      <c r="F99" s="9" t="str">
        <f t="shared" si="8"/>
        <v>Identical</v>
      </c>
      <c r="G99" s="27">
        <f t="shared" si="9"/>
        <v>459.20859794821695</v>
      </c>
      <c r="H99" s="29">
        <v>0.51</v>
      </c>
      <c r="I99" s="29">
        <v>0.51</v>
      </c>
      <c r="J99" s="9" t="str">
        <f t="shared" si="10"/>
        <v>Identical</v>
      </c>
      <c r="K99" s="9" t="s">
        <v>539</v>
      </c>
      <c r="L99" s="9" t="s">
        <v>539</v>
      </c>
      <c r="M99" s="9" t="str">
        <f t="shared" si="11"/>
        <v>Same</v>
      </c>
      <c r="N99" s="30" t="s">
        <v>908</v>
      </c>
      <c r="O99" s="30" t="s">
        <v>908</v>
      </c>
    </row>
    <row r="100" spans="1:15" ht="15" customHeight="1" x14ac:dyDescent="0.2">
      <c r="A100" s="9">
        <v>95</v>
      </c>
      <c r="B100" s="27">
        <f t="shared" si="6"/>
        <v>464.0937957987299</v>
      </c>
      <c r="C100" s="27">
        <f t="shared" si="7"/>
        <v>1873.0825598436736</v>
      </c>
      <c r="D100" s="28">
        <v>1.9</v>
      </c>
      <c r="E100" s="28">
        <v>1.9</v>
      </c>
      <c r="F100" s="9" t="str">
        <f t="shared" si="8"/>
        <v>Identical</v>
      </c>
      <c r="G100" s="27">
        <f t="shared" si="9"/>
        <v>464.0937957987299</v>
      </c>
      <c r="H100" s="29">
        <v>0.52</v>
      </c>
      <c r="I100" s="29">
        <v>0.52</v>
      </c>
      <c r="J100" s="9" t="str">
        <f t="shared" si="10"/>
        <v>Identical</v>
      </c>
      <c r="K100" s="9" t="s">
        <v>539</v>
      </c>
      <c r="L100" s="9" t="s">
        <v>539</v>
      </c>
      <c r="M100" s="9" t="str">
        <f t="shared" si="11"/>
        <v>Same</v>
      </c>
      <c r="N100" s="30" t="s">
        <v>909</v>
      </c>
      <c r="O100" s="30" t="s">
        <v>909</v>
      </c>
    </row>
    <row r="101" spans="1:15" ht="15" customHeight="1" x14ac:dyDescent="0.2">
      <c r="A101" s="9">
        <v>96</v>
      </c>
      <c r="B101" s="27">
        <f t="shared" si="6"/>
        <v>468.97899364924285</v>
      </c>
      <c r="C101" s="27">
        <f t="shared" si="7"/>
        <v>1892.7992183683439</v>
      </c>
      <c r="D101" s="28">
        <v>1.92</v>
      </c>
      <c r="E101" s="28">
        <v>1.92</v>
      </c>
      <c r="F101" s="9" t="str">
        <f t="shared" si="8"/>
        <v>Identical</v>
      </c>
      <c r="G101" s="27">
        <f t="shared" si="9"/>
        <v>468.97899364924285</v>
      </c>
      <c r="H101" s="29">
        <v>0.52</v>
      </c>
      <c r="I101" s="29">
        <v>0.52</v>
      </c>
      <c r="J101" s="9" t="str">
        <f t="shared" si="10"/>
        <v>Identical</v>
      </c>
      <c r="K101" s="9" t="s">
        <v>539</v>
      </c>
      <c r="L101" s="9" t="s">
        <v>539</v>
      </c>
      <c r="M101" s="9" t="str">
        <f t="shared" si="11"/>
        <v>Same</v>
      </c>
      <c r="N101" s="30" t="s">
        <v>909</v>
      </c>
      <c r="O101" s="30" t="s">
        <v>909</v>
      </c>
    </row>
    <row r="102" spans="1:15" ht="15" customHeight="1" x14ac:dyDescent="0.2">
      <c r="A102" s="9">
        <v>97</v>
      </c>
      <c r="B102" s="27">
        <f t="shared" si="6"/>
        <v>473.8641914997558</v>
      </c>
      <c r="C102" s="27">
        <f t="shared" si="7"/>
        <v>1912.5158768930141</v>
      </c>
      <c r="D102" s="28">
        <v>1.94</v>
      </c>
      <c r="E102" s="28">
        <v>1.94</v>
      </c>
      <c r="F102" s="9" t="str">
        <f t="shared" si="8"/>
        <v>Identical</v>
      </c>
      <c r="G102" s="27">
        <f t="shared" si="9"/>
        <v>473.8641914997558</v>
      </c>
      <c r="H102" s="29">
        <v>0.53</v>
      </c>
      <c r="I102" s="29">
        <v>0.53</v>
      </c>
      <c r="J102" s="9" t="str">
        <f t="shared" si="10"/>
        <v>Identical</v>
      </c>
      <c r="K102" s="9" t="s">
        <v>539</v>
      </c>
      <c r="L102" s="9" t="s">
        <v>539</v>
      </c>
      <c r="M102" s="9" t="str">
        <f t="shared" si="11"/>
        <v>Same</v>
      </c>
      <c r="N102" s="30" t="s">
        <v>910</v>
      </c>
      <c r="O102" s="30" t="s">
        <v>910</v>
      </c>
    </row>
    <row r="103" spans="1:15" ht="15" customHeight="1" x14ac:dyDescent="0.2">
      <c r="A103" s="9">
        <v>98</v>
      </c>
      <c r="B103" s="27">
        <f t="shared" si="6"/>
        <v>478.7493893502687</v>
      </c>
      <c r="C103" s="27">
        <f t="shared" si="7"/>
        <v>1932.2325354176842</v>
      </c>
      <c r="D103" s="28">
        <v>1.96</v>
      </c>
      <c r="E103" s="28">
        <v>1.96</v>
      </c>
      <c r="F103" s="9" t="str">
        <f t="shared" si="8"/>
        <v>Identical</v>
      </c>
      <c r="G103" s="27">
        <f t="shared" si="9"/>
        <v>478.7493893502687</v>
      </c>
      <c r="H103" s="29">
        <v>0.53</v>
      </c>
      <c r="I103" s="29">
        <v>0.53</v>
      </c>
      <c r="J103" s="9" t="str">
        <f t="shared" si="10"/>
        <v>Identical</v>
      </c>
      <c r="K103" s="9" t="s">
        <v>539</v>
      </c>
      <c r="L103" s="9" t="s">
        <v>539</v>
      </c>
      <c r="M103" s="9" t="str">
        <f t="shared" si="11"/>
        <v>Same</v>
      </c>
      <c r="N103" s="30" t="s">
        <v>910</v>
      </c>
      <c r="O103" s="30" t="s">
        <v>910</v>
      </c>
    </row>
    <row r="104" spans="1:15" ht="15" customHeight="1" x14ac:dyDescent="0.2">
      <c r="A104" s="9">
        <v>99</v>
      </c>
      <c r="B104" s="27">
        <f t="shared" si="6"/>
        <v>483.63458720078165</v>
      </c>
      <c r="C104" s="27">
        <f t="shared" si="7"/>
        <v>1951.9491939423544</v>
      </c>
      <c r="D104" s="28">
        <v>1.98</v>
      </c>
      <c r="E104" s="28">
        <v>1.97</v>
      </c>
      <c r="F104" s="9" t="str">
        <f t="shared" si="8"/>
        <v>Within 10 mV (calibration line)</v>
      </c>
      <c r="G104" s="27">
        <f t="shared" si="9"/>
        <v>483.63458720078165</v>
      </c>
      <c r="H104" s="29">
        <v>0.54</v>
      </c>
      <c r="I104" s="29">
        <v>0.54</v>
      </c>
      <c r="J104" s="9" t="str">
        <f t="shared" si="10"/>
        <v>Identical</v>
      </c>
      <c r="K104" s="9" t="s">
        <v>539</v>
      </c>
      <c r="L104" s="9" t="s">
        <v>539</v>
      </c>
      <c r="M104" s="9" t="str">
        <f t="shared" si="11"/>
        <v>Same</v>
      </c>
      <c r="N104" s="30" t="s">
        <v>911</v>
      </c>
      <c r="O104" s="30" t="s">
        <v>911</v>
      </c>
    </row>
    <row r="105" spans="1:15" ht="15" customHeight="1" x14ac:dyDescent="0.2">
      <c r="A105" s="9">
        <v>100</v>
      </c>
      <c r="B105" s="27">
        <f t="shared" si="6"/>
        <v>488.5197850512946</v>
      </c>
      <c r="C105" s="27">
        <f t="shared" si="7"/>
        <v>1971.6658524670249</v>
      </c>
      <c r="D105" s="28">
        <v>2</v>
      </c>
      <c r="E105" s="28">
        <v>1.99</v>
      </c>
      <c r="F105" s="9" t="str">
        <f t="shared" si="8"/>
        <v>Within 10 mV (calibration line)</v>
      </c>
      <c r="G105" s="27">
        <f t="shared" si="9"/>
        <v>488.5197850512946</v>
      </c>
      <c r="H105" s="29">
        <v>0.54</v>
      </c>
      <c r="I105" s="29">
        <v>0.54</v>
      </c>
      <c r="J105" s="9" t="str">
        <f t="shared" si="10"/>
        <v>Identical</v>
      </c>
      <c r="K105" s="9" t="s">
        <v>539</v>
      </c>
      <c r="L105" s="9" t="s">
        <v>539</v>
      </c>
      <c r="M105" s="9" t="str">
        <f t="shared" si="11"/>
        <v>Same</v>
      </c>
      <c r="N105" s="30" t="s">
        <v>911</v>
      </c>
      <c r="O105" s="30" t="s">
        <v>911</v>
      </c>
    </row>
    <row r="106" spans="1:15" ht="15" customHeight="1" x14ac:dyDescent="0.2">
      <c r="A106" s="9">
        <v>101</v>
      </c>
      <c r="B106" s="27">
        <f t="shared" si="6"/>
        <v>493.40498290180756</v>
      </c>
      <c r="C106" s="27">
        <f t="shared" si="7"/>
        <v>1991.3825109916952</v>
      </c>
      <c r="D106" s="28">
        <v>2.02</v>
      </c>
      <c r="E106" s="28">
        <v>2.0099999999999998</v>
      </c>
      <c r="F106" s="9" t="str">
        <f t="shared" si="8"/>
        <v>Within 10 mV (calibration line)</v>
      </c>
      <c r="G106" s="27">
        <f t="shared" si="9"/>
        <v>493.40498290180756</v>
      </c>
      <c r="H106" s="29">
        <v>0.55000000000000004</v>
      </c>
      <c r="I106" s="29">
        <v>0.55000000000000004</v>
      </c>
      <c r="J106" s="9" t="str">
        <f t="shared" si="10"/>
        <v>Identical</v>
      </c>
      <c r="K106" s="9" t="s">
        <v>539</v>
      </c>
      <c r="L106" s="9" t="s">
        <v>539</v>
      </c>
      <c r="M106" s="9" t="str">
        <f t="shared" si="11"/>
        <v>Same</v>
      </c>
      <c r="N106" s="30" t="s">
        <v>912</v>
      </c>
      <c r="O106" s="30" t="s">
        <v>912</v>
      </c>
    </row>
    <row r="107" spans="1:15" ht="15" customHeight="1" x14ac:dyDescent="0.2">
      <c r="A107" s="9">
        <v>102</v>
      </c>
      <c r="B107" s="27">
        <f t="shared" si="6"/>
        <v>498.29018075232051</v>
      </c>
      <c r="C107" s="27">
        <f t="shared" si="7"/>
        <v>2011.0991695163655</v>
      </c>
      <c r="D107" s="28">
        <v>2.04</v>
      </c>
      <c r="E107" s="28">
        <v>2.0299999999999998</v>
      </c>
      <c r="F107" s="9" t="str">
        <f t="shared" si="8"/>
        <v>Within 10 mV (calibration line)</v>
      </c>
      <c r="G107" s="27">
        <f t="shared" si="9"/>
        <v>498.29018075232051</v>
      </c>
      <c r="H107" s="29">
        <v>0.55000000000000004</v>
      </c>
      <c r="I107" s="29">
        <v>0.55000000000000004</v>
      </c>
      <c r="J107" s="9" t="str">
        <f t="shared" si="10"/>
        <v>Identical</v>
      </c>
      <c r="K107" s="9" t="s">
        <v>539</v>
      </c>
      <c r="L107" s="9" t="s">
        <v>539</v>
      </c>
      <c r="M107" s="9" t="str">
        <f t="shared" si="11"/>
        <v>Same</v>
      </c>
      <c r="N107" s="30" t="s">
        <v>912</v>
      </c>
      <c r="O107" s="30" t="s">
        <v>912</v>
      </c>
    </row>
    <row r="108" spans="1:15" ht="15" customHeight="1" x14ac:dyDescent="0.2">
      <c r="A108" s="9">
        <v>103</v>
      </c>
      <c r="B108" s="27">
        <f t="shared" si="6"/>
        <v>503.17537860283346</v>
      </c>
      <c r="C108" s="27">
        <f t="shared" si="7"/>
        <v>2030.8158280410357</v>
      </c>
      <c r="D108" s="28">
        <v>2.06</v>
      </c>
      <c r="E108" s="28">
        <v>2.0499999999999998</v>
      </c>
      <c r="F108" s="9" t="str">
        <f t="shared" si="8"/>
        <v>Within 10 mV (calibration line)</v>
      </c>
      <c r="G108" s="27">
        <f t="shared" si="9"/>
        <v>503.17537860283346</v>
      </c>
      <c r="H108" s="29">
        <v>0.56000000000000005</v>
      </c>
      <c r="I108" s="29">
        <v>0.56000000000000005</v>
      </c>
      <c r="J108" s="9" t="str">
        <f t="shared" si="10"/>
        <v>Identical</v>
      </c>
      <c r="K108" s="9" t="s">
        <v>539</v>
      </c>
      <c r="L108" s="9" t="s">
        <v>539</v>
      </c>
      <c r="M108" s="9" t="str">
        <f t="shared" si="11"/>
        <v>Same</v>
      </c>
      <c r="N108" s="30" t="s">
        <v>913</v>
      </c>
      <c r="O108" s="30" t="s">
        <v>913</v>
      </c>
    </row>
    <row r="109" spans="1:15" ht="15" customHeight="1" x14ac:dyDescent="0.2">
      <c r="A109" s="9">
        <v>104</v>
      </c>
      <c r="B109" s="27">
        <f t="shared" si="6"/>
        <v>508.06057645334636</v>
      </c>
      <c r="C109" s="27">
        <f t="shared" si="7"/>
        <v>2050.5324865657058</v>
      </c>
      <c r="D109" s="28">
        <v>2.08</v>
      </c>
      <c r="E109" s="28">
        <v>2.0699999999999998</v>
      </c>
      <c r="F109" s="9" t="str">
        <f t="shared" si="8"/>
        <v>Within 10 mV (calibration line)</v>
      </c>
      <c r="G109" s="27">
        <f t="shared" si="9"/>
        <v>508.06057645334636</v>
      </c>
      <c r="H109" s="29">
        <v>0.56000000000000005</v>
      </c>
      <c r="I109" s="29">
        <v>0.56000000000000005</v>
      </c>
      <c r="J109" s="9" t="str">
        <f t="shared" si="10"/>
        <v>Identical</v>
      </c>
      <c r="K109" s="9" t="s">
        <v>539</v>
      </c>
      <c r="L109" s="9" t="s">
        <v>539</v>
      </c>
      <c r="M109" s="9" t="str">
        <f t="shared" si="11"/>
        <v>Same</v>
      </c>
      <c r="N109" s="30" t="s">
        <v>913</v>
      </c>
      <c r="O109" s="30" t="s">
        <v>913</v>
      </c>
    </row>
    <row r="110" spans="1:15" ht="15" customHeight="1" x14ac:dyDescent="0.2">
      <c r="A110" s="9">
        <v>105</v>
      </c>
      <c r="B110" s="27">
        <f t="shared" si="6"/>
        <v>512.94577430385937</v>
      </c>
      <c r="C110" s="27">
        <f t="shared" si="7"/>
        <v>2070.2491450903763</v>
      </c>
      <c r="D110" s="28">
        <v>2.1</v>
      </c>
      <c r="E110" s="28">
        <v>2.09</v>
      </c>
      <c r="F110" s="9" t="str">
        <f t="shared" si="8"/>
        <v>Within 10 mV (calibration line)</v>
      </c>
      <c r="G110" s="27">
        <f t="shared" si="9"/>
        <v>512.94577430385937</v>
      </c>
      <c r="H110" s="29">
        <v>0.56999999999999995</v>
      </c>
      <c r="I110" s="29">
        <v>0.56999999999999995</v>
      </c>
      <c r="J110" s="9" t="str">
        <f t="shared" si="10"/>
        <v>Identical</v>
      </c>
      <c r="K110" s="9" t="s">
        <v>539</v>
      </c>
      <c r="L110" s="9" t="s">
        <v>539</v>
      </c>
      <c r="M110" s="9" t="str">
        <f t="shared" si="11"/>
        <v>Same</v>
      </c>
      <c r="N110" s="30" t="s">
        <v>914</v>
      </c>
      <c r="O110" s="30" t="s">
        <v>914</v>
      </c>
    </row>
    <row r="111" spans="1:15" ht="15" customHeight="1" x14ac:dyDescent="0.2">
      <c r="A111" s="9">
        <v>106</v>
      </c>
      <c r="B111" s="27">
        <f t="shared" si="6"/>
        <v>517.83097215437226</v>
      </c>
      <c r="C111" s="27">
        <f t="shared" si="7"/>
        <v>2089.9658036150463</v>
      </c>
      <c r="D111" s="28">
        <v>2.11</v>
      </c>
      <c r="E111" s="28">
        <v>2.11</v>
      </c>
      <c r="F111" s="9" t="str">
        <f t="shared" si="8"/>
        <v>Identical</v>
      </c>
      <c r="G111" s="27">
        <f t="shared" si="9"/>
        <v>517.83097215437226</v>
      </c>
      <c r="H111" s="29">
        <v>0.56999999999999995</v>
      </c>
      <c r="I111" s="29">
        <v>0.57999999999999996</v>
      </c>
      <c r="J111" s="9" t="str">
        <f t="shared" si="10"/>
        <v>+0.01 A (nearest step)</v>
      </c>
      <c r="K111" s="9" t="s">
        <v>539</v>
      </c>
      <c r="L111" s="9" t="s">
        <v>539</v>
      </c>
      <c r="M111" s="9" t="str">
        <f t="shared" si="11"/>
        <v>Same</v>
      </c>
      <c r="N111" s="30" t="s">
        <v>914</v>
      </c>
      <c r="O111" s="30" t="s">
        <v>915</v>
      </c>
    </row>
    <row r="112" spans="1:15" ht="15" customHeight="1" x14ac:dyDescent="0.2">
      <c r="A112" s="9">
        <v>107</v>
      </c>
      <c r="B112" s="27">
        <f t="shared" si="6"/>
        <v>522.71617000488527</v>
      </c>
      <c r="C112" s="27">
        <f t="shared" si="7"/>
        <v>2109.6824621397168</v>
      </c>
      <c r="D112" s="28">
        <v>2.13</v>
      </c>
      <c r="E112" s="28">
        <v>2.13</v>
      </c>
      <c r="F112" s="9" t="str">
        <f t="shared" si="8"/>
        <v>Identical</v>
      </c>
      <c r="G112" s="27">
        <f t="shared" si="9"/>
        <v>522.71617000488527</v>
      </c>
      <c r="H112" s="29">
        <v>0.57999999999999996</v>
      </c>
      <c r="I112" s="29">
        <v>0.57999999999999996</v>
      </c>
      <c r="J112" s="9" t="str">
        <f t="shared" si="10"/>
        <v>Identical</v>
      </c>
      <c r="K112" s="9" t="s">
        <v>539</v>
      </c>
      <c r="L112" s="9" t="s">
        <v>539</v>
      </c>
      <c r="M112" s="9" t="str">
        <f t="shared" si="11"/>
        <v>Same</v>
      </c>
      <c r="N112" s="30" t="s">
        <v>915</v>
      </c>
      <c r="O112" s="30" t="s">
        <v>915</v>
      </c>
    </row>
    <row r="113" spans="1:15" ht="15" customHeight="1" x14ac:dyDescent="0.2">
      <c r="A113" s="9">
        <v>108</v>
      </c>
      <c r="B113" s="27">
        <f t="shared" si="6"/>
        <v>527.60136785539817</v>
      </c>
      <c r="C113" s="27">
        <f t="shared" si="7"/>
        <v>2129.3991206643868</v>
      </c>
      <c r="D113" s="28">
        <v>2.15</v>
      </c>
      <c r="E113" s="28">
        <v>2.15</v>
      </c>
      <c r="F113" s="9" t="str">
        <f t="shared" si="8"/>
        <v>Identical</v>
      </c>
      <c r="G113" s="27">
        <f t="shared" si="9"/>
        <v>527.60136785539817</v>
      </c>
      <c r="H113" s="29">
        <v>0.59</v>
      </c>
      <c r="I113" s="29">
        <v>0.59</v>
      </c>
      <c r="J113" s="9" t="str">
        <f t="shared" si="10"/>
        <v>Identical</v>
      </c>
      <c r="K113" s="9" t="s">
        <v>539</v>
      </c>
      <c r="L113" s="9" t="s">
        <v>539</v>
      </c>
      <c r="M113" s="9" t="str">
        <f t="shared" si="11"/>
        <v>Same</v>
      </c>
      <c r="N113" s="30" t="s">
        <v>916</v>
      </c>
      <c r="O113" s="30" t="s">
        <v>916</v>
      </c>
    </row>
    <row r="114" spans="1:15" ht="15" customHeight="1" x14ac:dyDescent="0.2">
      <c r="A114" s="9">
        <v>109</v>
      </c>
      <c r="B114" s="27">
        <f t="shared" si="6"/>
        <v>532.48656570591118</v>
      </c>
      <c r="C114" s="27">
        <f t="shared" si="7"/>
        <v>2149.1157791890573</v>
      </c>
      <c r="D114" s="28">
        <v>2.17</v>
      </c>
      <c r="E114" s="28">
        <v>2.17</v>
      </c>
      <c r="F114" s="9" t="str">
        <f t="shared" si="8"/>
        <v>Identical</v>
      </c>
      <c r="G114" s="27">
        <f t="shared" si="9"/>
        <v>532.48656570591118</v>
      </c>
      <c r="H114" s="29">
        <v>0.59</v>
      </c>
      <c r="I114" s="29">
        <v>0.59</v>
      </c>
      <c r="J114" s="9" t="str">
        <f t="shared" si="10"/>
        <v>Identical</v>
      </c>
      <c r="K114" s="9" t="s">
        <v>539</v>
      </c>
      <c r="L114" s="9" t="s">
        <v>539</v>
      </c>
      <c r="M114" s="9" t="str">
        <f t="shared" si="11"/>
        <v>Same</v>
      </c>
      <c r="N114" s="30" t="s">
        <v>916</v>
      </c>
      <c r="O114" s="30" t="s">
        <v>916</v>
      </c>
    </row>
    <row r="115" spans="1:15" ht="15" customHeight="1" x14ac:dyDescent="0.2">
      <c r="A115" s="9">
        <v>110</v>
      </c>
      <c r="B115" s="27">
        <f t="shared" si="6"/>
        <v>537.37176355642407</v>
      </c>
      <c r="C115" s="27">
        <f t="shared" si="7"/>
        <v>2168.8324377137274</v>
      </c>
      <c r="D115" s="28">
        <v>2.19</v>
      </c>
      <c r="E115" s="28">
        <v>2.19</v>
      </c>
      <c r="F115" s="9" t="str">
        <f t="shared" si="8"/>
        <v>Identical</v>
      </c>
      <c r="G115" s="27">
        <f t="shared" si="9"/>
        <v>537.37176355642407</v>
      </c>
      <c r="H115" s="29">
        <v>0.6</v>
      </c>
      <c r="I115" s="29">
        <v>0.6</v>
      </c>
      <c r="J115" s="9" t="str">
        <f t="shared" si="10"/>
        <v>Identical</v>
      </c>
      <c r="K115" s="9" t="s">
        <v>539</v>
      </c>
      <c r="L115" s="9" t="s">
        <v>539</v>
      </c>
      <c r="M115" s="9" t="str">
        <f t="shared" si="11"/>
        <v>Same</v>
      </c>
      <c r="N115" s="30" t="s">
        <v>917</v>
      </c>
      <c r="O115" s="30" t="s">
        <v>917</v>
      </c>
    </row>
    <row r="116" spans="1:15" ht="15" customHeight="1" x14ac:dyDescent="0.2">
      <c r="A116" s="9">
        <v>111</v>
      </c>
      <c r="B116" s="27">
        <f t="shared" si="6"/>
        <v>542.25696140693697</v>
      </c>
      <c r="C116" s="27">
        <f t="shared" si="7"/>
        <v>2188.5490962383974</v>
      </c>
      <c r="D116" s="28">
        <v>2.21</v>
      </c>
      <c r="E116" s="28">
        <v>2.21</v>
      </c>
      <c r="F116" s="9" t="str">
        <f t="shared" si="8"/>
        <v>Identical</v>
      </c>
      <c r="G116" s="27">
        <f t="shared" si="9"/>
        <v>542.25696140693697</v>
      </c>
      <c r="H116" s="29">
        <v>0.6</v>
      </c>
      <c r="I116" s="29">
        <v>0.6</v>
      </c>
      <c r="J116" s="9" t="str">
        <f t="shared" si="10"/>
        <v>Identical</v>
      </c>
      <c r="K116" s="9" t="s">
        <v>539</v>
      </c>
      <c r="L116" s="9" t="s">
        <v>539</v>
      </c>
      <c r="M116" s="9" t="str">
        <f t="shared" si="11"/>
        <v>Same</v>
      </c>
      <c r="N116" s="30" t="s">
        <v>917</v>
      </c>
      <c r="O116" s="30" t="s">
        <v>917</v>
      </c>
    </row>
    <row r="117" spans="1:15" ht="15" customHeight="1" x14ac:dyDescent="0.2">
      <c r="A117" s="9">
        <v>112</v>
      </c>
      <c r="B117" s="27">
        <f t="shared" si="6"/>
        <v>547.14215925744986</v>
      </c>
      <c r="C117" s="27">
        <f t="shared" si="7"/>
        <v>2208.2657547630674</v>
      </c>
      <c r="D117" s="28">
        <v>2.23</v>
      </c>
      <c r="E117" s="28">
        <v>2.23</v>
      </c>
      <c r="F117" s="9" t="str">
        <f t="shared" si="8"/>
        <v>Identical</v>
      </c>
      <c r="G117" s="27">
        <f t="shared" si="9"/>
        <v>547.14215925744986</v>
      </c>
      <c r="H117" s="29">
        <v>0.61</v>
      </c>
      <c r="I117" s="29">
        <v>0.61</v>
      </c>
      <c r="J117" s="9" t="str">
        <f t="shared" si="10"/>
        <v>Identical</v>
      </c>
      <c r="K117" s="9" t="s">
        <v>539</v>
      </c>
      <c r="L117" s="9" t="s">
        <v>539</v>
      </c>
      <c r="M117" s="9" t="str">
        <f t="shared" si="11"/>
        <v>Same</v>
      </c>
      <c r="N117" s="30" t="s">
        <v>918</v>
      </c>
      <c r="O117" s="30" t="s">
        <v>918</v>
      </c>
    </row>
    <row r="118" spans="1:15" ht="15" customHeight="1" x14ac:dyDescent="0.2">
      <c r="A118" s="9">
        <v>113</v>
      </c>
      <c r="B118" s="27">
        <f t="shared" si="6"/>
        <v>552.02735710796287</v>
      </c>
      <c r="C118" s="27">
        <f t="shared" si="7"/>
        <v>2227.9824132877379</v>
      </c>
      <c r="D118" s="28">
        <v>2.25</v>
      </c>
      <c r="E118" s="28">
        <v>2.25</v>
      </c>
      <c r="F118" s="9" t="str">
        <f t="shared" si="8"/>
        <v>Identical</v>
      </c>
      <c r="G118" s="27">
        <f t="shared" si="9"/>
        <v>552.02735710796287</v>
      </c>
      <c r="H118" s="29">
        <v>0.61</v>
      </c>
      <c r="I118" s="29">
        <v>0.61</v>
      </c>
      <c r="J118" s="9" t="str">
        <f t="shared" si="10"/>
        <v>Identical</v>
      </c>
      <c r="K118" s="9" t="s">
        <v>539</v>
      </c>
      <c r="L118" s="9" t="s">
        <v>539</v>
      </c>
      <c r="M118" s="9" t="str">
        <f t="shared" si="11"/>
        <v>Same</v>
      </c>
      <c r="N118" s="30" t="s">
        <v>918</v>
      </c>
      <c r="O118" s="30" t="s">
        <v>918</v>
      </c>
    </row>
    <row r="119" spans="1:15" ht="15" customHeight="1" x14ac:dyDescent="0.2">
      <c r="A119" s="9">
        <v>114</v>
      </c>
      <c r="B119" s="27">
        <f t="shared" si="6"/>
        <v>556.91255495847577</v>
      </c>
      <c r="C119" s="27">
        <f t="shared" si="7"/>
        <v>2247.699071812408</v>
      </c>
      <c r="D119" s="28">
        <v>2.27</v>
      </c>
      <c r="E119" s="28">
        <v>2.27</v>
      </c>
      <c r="F119" s="9" t="str">
        <f t="shared" si="8"/>
        <v>Identical</v>
      </c>
      <c r="G119" s="27">
        <f t="shared" si="9"/>
        <v>556.91255495847577</v>
      </c>
      <c r="H119" s="29">
        <v>0.62</v>
      </c>
      <c r="I119" s="29">
        <v>0.62</v>
      </c>
      <c r="J119" s="9" t="str">
        <f t="shared" si="10"/>
        <v>Identical</v>
      </c>
      <c r="K119" s="9" t="s">
        <v>539</v>
      </c>
      <c r="L119" s="9" t="s">
        <v>539</v>
      </c>
      <c r="M119" s="9" t="str">
        <f t="shared" si="11"/>
        <v>Same</v>
      </c>
      <c r="N119" s="30" t="s">
        <v>919</v>
      </c>
      <c r="O119" s="30" t="s">
        <v>919</v>
      </c>
    </row>
    <row r="120" spans="1:15" ht="15" customHeight="1" x14ac:dyDescent="0.2">
      <c r="A120" s="9">
        <v>115</v>
      </c>
      <c r="B120" s="27">
        <f t="shared" si="6"/>
        <v>561.79775280898878</v>
      </c>
      <c r="C120" s="27">
        <f t="shared" si="7"/>
        <v>2267.4157303370785</v>
      </c>
      <c r="D120" s="28">
        <v>2.29</v>
      </c>
      <c r="E120" s="28">
        <v>2.29</v>
      </c>
      <c r="F120" s="9" t="str">
        <f t="shared" si="8"/>
        <v>Identical</v>
      </c>
      <c r="G120" s="27">
        <f t="shared" si="9"/>
        <v>561.79775280898878</v>
      </c>
      <c r="H120" s="29">
        <v>0.62</v>
      </c>
      <c r="I120" s="29">
        <v>0.62</v>
      </c>
      <c r="J120" s="9" t="str">
        <f t="shared" si="10"/>
        <v>Identical</v>
      </c>
      <c r="K120" s="9" t="s">
        <v>539</v>
      </c>
      <c r="L120" s="9" t="s">
        <v>539</v>
      </c>
      <c r="M120" s="9" t="str">
        <f t="shared" si="11"/>
        <v>Same</v>
      </c>
      <c r="N120" s="30" t="s">
        <v>919</v>
      </c>
      <c r="O120" s="30" t="s">
        <v>919</v>
      </c>
    </row>
    <row r="121" spans="1:15" ht="15" customHeight="1" x14ac:dyDescent="0.2">
      <c r="A121" s="9">
        <v>116</v>
      </c>
      <c r="B121" s="27">
        <f t="shared" si="6"/>
        <v>566.68295065950167</v>
      </c>
      <c r="C121" s="27">
        <f t="shared" si="7"/>
        <v>2287.1323888617485</v>
      </c>
      <c r="D121" s="28">
        <v>2.31</v>
      </c>
      <c r="E121" s="28">
        <v>2.31</v>
      </c>
      <c r="F121" s="9" t="str">
        <f t="shared" si="8"/>
        <v>Identical</v>
      </c>
      <c r="G121" s="27">
        <f t="shared" si="9"/>
        <v>566.68295065950167</v>
      </c>
      <c r="H121" s="29">
        <v>0.63</v>
      </c>
      <c r="I121" s="29">
        <v>0.63</v>
      </c>
      <c r="J121" s="9" t="str">
        <f t="shared" si="10"/>
        <v>Identical</v>
      </c>
      <c r="K121" s="9" t="s">
        <v>539</v>
      </c>
      <c r="L121" s="9" t="s">
        <v>539</v>
      </c>
      <c r="M121" s="9" t="str">
        <f t="shared" si="11"/>
        <v>Same</v>
      </c>
      <c r="N121" s="30" t="s">
        <v>920</v>
      </c>
      <c r="O121" s="30" t="s">
        <v>920</v>
      </c>
    </row>
    <row r="122" spans="1:15" ht="15" customHeight="1" x14ac:dyDescent="0.2">
      <c r="A122" s="9">
        <v>117</v>
      </c>
      <c r="B122" s="27">
        <f t="shared" si="6"/>
        <v>571.56814851001468</v>
      </c>
      <c r="C122" s="27">
        <f t="shared" si="7"/>
        <v>2306.849047386419</v>
      </c>
      <c r="D122" s="28">
        <v>2.33</v>
      </c>
      <c r="E122" s="28">
        <v>2.33</v>
      </c>
      <c r="F122" s="9" t="str">
        <f t="shared" si="8"/>
        <v>Identical</v>
      </c>
      <c r="G122" s="27">
        <f t="shared" si="9"/>
        <v>571.56814851001468</v>
      </c>
      <c r="H122" s="29">
        <v>0.63</v>
      </c>
      <c r="I122" s="29">
        <v>0.64</v>
      </c>
      <c r="J122" s="9" t="str">
        <f t="shared" si="10"/>
        <v>+0.01 A (nearest step)</v>
      </c>
      <c r="K122" s="9" t="s">
        <v>539</v>
      </c>
      <c r="L122" s="9" t="s">
        <v>539</v>
      </c>
      <c r="M122" s="9" t="str">
        <f t="shared" si="11"/>
        <v>Same</v>
      </c>
      <c r="N122" s="30" t="s">
        <v>920</v>
      </c>
      <c r="O122" s="30" t="s">
        <v>921</v>
      </c>
    </row>
    <row r="123" spans="1:15" ht="15" customHeight="1" x14ac:dyDescent="0.2">
      <c r="A123" s="9">
        <v>118</v>
      </c>
      <c r="B123" s="27">
        <f t="shared" si="6"/>
        <v>576.45334636052758</v>
      </c>
      <c r="C123" s="27">
        <f t="shared" si="7"/>
        <v>2326.565705911089</v>
      </c>
      <c r="D123" s="28">
        <v>2.35</v>
      </c>
      <c r="E123" s="28">
        <v>2.35</v>
      </c>
      <c r="F123" s="9" t="str">
        <f t="shared" si="8"/>
        <v>Identical</v>
      </c>
      <c r="G123" s="27">
        <f t="shared" si="9"/>
        <v>576.45334636052758</v>
      </c>
      <c r="H123" s="29">
        <v>0.64</v>
      </c>
      <c r="I123" s="29">
        <v>0.64</v>
      </c>
      <c r="J123" s="9" t="str">
        <f t="shared" si="10"/>
        <v>Identical</v>
      </c>
      <c r="K123" s="9" t="s">
        <v>539</v>
      </c>
      <c r="L123" s="9" t="s">
        <v>539</v>
      </c>
      <c r="M123" s="9" t="str">
        <f t="shared" si="11"/>
        <v>Same</v>
      </c>
      <c r="N123" s="30" t="s">
        <v>921</v>
      </c>
      <c r="O123" s="30" t="s">
        <v>921</v>
      </c>
    </row>
    <row r="124" spans="1:15" ht="15" customHeight="1" x14ac:dyDescent="0.2">
      <c r="A124" s="9">
        <v>119</v>
      </c>
      <c r="B124" s="27">
        <f t="shared" si="6"/>
        <v>581.33854421104058</v>
      </c>
      <c r="C124" s="27">
        <f t="shared" si="7"/>
        <v>2346.2823644357595</v>
      </c>
      <c r="D124" s="28">
        <v>2.37</v>
      </c>
      <c r="E124" s="28">
        <v>2.37</v>
      </c>
      <c r="F124" s="9" t="str">
        <f t="shared" si="8"/>
        <v>Identical</v>
      </c>
      <c r="G124" s="27">
        <f t="shared" si="9"/>
        <v>581.33854421104058</v>
      </c>
      <c r="H124" s="29">
        <v>0.65</v>
      </c>
      <c r="I124" s="29">
        <v>0.65</v>
      </c>
      <c r="J124" s="9" t="str">
        <f t="shared" si="10"/>
        <v>Identical</v>
      </c>
      <c r="K124" s="9" t="s">
        <v>539</v>
      </c>
      <c r="L124" s="9" t="s">
        <v>539</v>
      </c>
      <c r="M124" s="9" t="str">
        <f t="shared" si="11"/>
        <v>Same</v>
      </c>
      <c r="N124" s="30" t="s">
        <v>922</v>
      </c>
      <c r="O124" s="30" t="s">
        <v>922</v>
      </c>
    </row>
    <row r="125" spans="1:15" ht="15" customHeight="1" x14ac:dyDescent="0.2">
      <c r="A125" s="9">
        <v>120</v>
      </c>
      <c r="B125" s="27">
        <f t="shared" si="6"/>
        <v>586.22374206155348</v>
      </c>
      <c r="C125" s="27">
        <f t="shared" si="7"/>
        <v>2365.9990229604296</v>
      </c>
      <c r="D125" s="28">
        <v>2.39</v>
      </c>
      <c r="E125" s="28">
        <v>2.39</v>
      </c>
      <c r="F125" s="9" t="str">
        <f t="shared" si="8"/>
        <v>Identical</v>
      </c>
      <c r="G125" s="27">
        <f t="shared" si="9"/>
        <v>586.22374206155348</v>
      </c>
      <c r="H125" s="29">
        <v>0.65</v>
      </c>
      <c r="I125" s="29">
        <v>0.65</v>
      </c>
      <c r="J125" s="9" t="str">
        <f t="shared" si="10"/>
        <v>Identical</v>
      </c>
      <c r="K125" s="9" t="s">
        <v>539</v>
      </c>
      <c r="L125" s="9" t="s">
        <v>539</v>
      </c>
      <c r="M125" s="9" t="str">
        <f t="shared" si="11"/>
        <v>Same</v>
      </c>
      <c r="N125" s="30" t="s">
        <v>922</v>
      </c>
      <c r="O125" s="30" t="s">
        <v>922</v>
      </c>
    </row>
    <row r="126" spans="1:15" ht="15" customHeight="1" x14ac:dyDescent="0.2">
      <c r="A126" s="9">
        <v>121</v>
      </c>
      <c r="B126" s="27">
        <f t="shared" si="6"/>
        <v>591.10893991206649</v>
      </c>
      <c r="C126" s="27">
        <f t="shared" si="7"/>
        <v>2385.7156814851</v>
      </c>
      <c r="D126" s="28">
        <v>2.41</v>
      </c>
      <c r="E126" s="28">
        <v>2.41</v>
      </c>
      <c r="F126" s="9" t="str">
        <f t="shared" si="8"/>
        <v>Identical</v>
      </c>
      <c r="G126" s="27">
        <f t="shared" si="9"/>
        <v>591.10893991206649</v>
      </c>
      <c r="H126" s="29">
        <v>0.66</v>
      </c>
      <c r="I126" s="29">
        <v>0.66</v>
      </c>
      <c r="J126" s="9" t="str">
        <f t="shared" si="10"/>
        <v>Identical</v>
      </c>
      <c r="K126" s="9" t="s">
        <v>539</v>
      </c>
      <c r="L126" s="9" t="s">
        <v>539</v>
      </c>
      <c r="M126" s="9" t="str">
        <f t="shared" si="11"/>
        <v>Same</v>
      </c>
      <c r="N126" s="30" t="s">
        <v>923</v>
      </c>
      <c r="O126" s="30" t="s">
        <v>923</v>
      </c>
    </row>
    <row r="127" spans="1:15" ht="15" customHeight="1" x14ac:dyDescent="0.2">
      <c r="A127" s="9">
        <v>122</v>
      </c>
      <c r="B127" s="27">
        <f t="shared" si="6"/>
        <v>595.99413776257938</v>
      </c>
      <c r="C127" s="27">
        <f t="shared" si="7"/>
        <v>2405.4323400097701</v>
      </c>
      <c r="D127" s="28">
        <v>2.4300000000000002</v>
      </c>
      <c r="E127" s="28">
        <v>2.4300000000000002</v>
      </c>
      <c r="F127" s="9" t="str">
        <f t="shared" si="8"/>
        <v>Identical</v>
      </c>
      <c r="G127" s="27">
        <f t="shared" si="9"/>
        <v>595.99413776257938</v>
      </c>
      <c r="H127" s="29">
        <v>0.66</v>
      </c>
      <c r="I127" s="29">
        <v>0.66</v>
      </c>
      <c r="J127" s="9" t="str">
        <f t="shared" si="10"/>
        <v>Identical</v>
      </c>
      <c r="K127" s="9" t="s">
        <v>539</v>
      </c>
      <c r="L127" s="9" t="s">
        <v>539</v>
      </c>
      <c r="M127" s="9" t="str">
        <f t="shared" si="11"/>
        <v>Same</v>
      </c>
      <c r="N127" s="30" t="s">
        <v>923</v>
      </c>
      <c r="O127" s="30" t="s">
        <v>923</v>
      </c>
    </row>
    <row r="128" spans="1:15" ht="15" customHeight="1" x14ac:dyDescent="0.2">
      <c r="A128" s="9">
        <v>123</v>
      </c>
      <c r="B128" s="27">
        <f t="shared" si="6"/>
        <v>600.87933561309239</v>
      </c>
      <c r="C128" s="27">
        <f t="shared" si="7"/>
        <v>2425.1489985344406</v>
      </c>
      <c r="D128" s="28">
        <v>2.4500000000000002</v>
      </c>
      <c r="E128" s="28">
        <v>2.4500000000000002</v>
      </c>
      <c r="F128" s="9" t="str">
        <f t="shared" si="8"/>
        <v>Identical</v>
      </c>
      <c r="G128" s="27">
        <f t="shared" si="9"/>
        <v>600.87933561309239</v>
      </c>
      <c r="H128" s="29">
        <v>0.67</v>
      </c>
      <c r="I128" s="29">
        <v>0.67</v>
      </c>
      <c r="J128" s="9" t="str">
        <f t="shared" si="10"/>
        <v>Identical</v>
      </c>
      <c r="K128" s="9" t="s">
        <v>539</v>
      </c>
      <c r="L128" s="9" t="s">
        <v>539</v>
      </c>
      <c r="M128" s="9" t="str">
        <f t="shared" si="11"/>
        <v>Same</v>
      </c>
      <c r="N128" s="30" t="s">
        <v>924</v>
      </c>
      <c r="O128" s="30" t="s">
        <v>924</v>
      </c>
    </row>
    <row r="129" spans="1:15" ht="15" customHeight="1" x14ac:dyDescent="0.2">
      <c r="A129" s="9">
        <v>124</v>
      </c>
      <c r="B129" s="27">
        <f t="shared" si="6"/>
        <v>605.76453346360529</v>
      </c>
      <c r="C129" s="27">
        <f t="shared" si="7"/>
        <v>2444.8656570591106</v>
      </c>
      <c r="D129" s="28">
        <v>2.4700000000000002</v>
      </c>
      <c r="E129" s="28">
        <v>2.4700000000000002</v>
      </c>
      <c r="F129" s="9" t="str">
        <f t="shared" si="8"/>
        <v>Identical</v>
      </c>
      <c r="G129" s="27">
        <f t="shared" si="9"/>
        <v>605.76453346360529</v>
      </c>
      <c r="H129" s="29">
        <v>0.67</v>
      </c>
      <c r="I129" s="29">
        <v>0.67</v>
      </c>
      <c r="J129" s="9" t="str">
        <f t="shared" si="10"/>
        <v>Identical</v>
      </c>
      <c r="K129" s="9" t="s">
        <v>539</v>
      </c>
      <c r="L129" s="9" t="s">
        <v>539</v>
      </c>
      <c r="M129" s="9" t="str">
        <f t="shared" si="11"/>
        <v>Same</v>
      </c>
      <c r="N129" s="30" t="s">
        <v>924</v>
      </c>
      <c r="O129" s="30" t="s">
        <v>924</v>
      </c>
    </row>
    <row r="130" spans="1:15" ht="15" customHeight="1" x14ac:dyDescent="0.2">
      <c r="A130" s="9">
        <v>125</v>
      </c>
      <c r="B130" s="27">
        <f t="shared" si="6"/>
        <v>610.6497313141183</v>
      </c>
      <c r="C130" s="27">
        <f t="shared" si="7"/>
        <v>2464.5823155837811</v>
      </c>
      <c r="D130" s="28">
        <v>2.4900000000000002</v>
      </c>
      <c r="E130" s="28">
        <v>2.4900000000000002</v>
      </c>
      <c r="F130" s="9" t="str">
        <f t="shared" si="8"/>
        <v>Identical</v>
      </c>
      <c r="G130" s="27">
        <f t="shared" si="9"/>
        <v>610.6497313141183</v>
      </c>
      <c r="H130" s="29">
        <v>0.68</v>
      </c>
      <c r="I130" s="29">
        <v>0.68</v>
      </c>
      <c r="J130" s="9" t="str">
        <f t="shared" si="10"/>
        <v>Identical</v>
      </c>
      <c r="K130" s="9" t="s">
        <v>539</v>
      </c>
      <c r="L130" s="9" t="s">
        <v>539</v>
      </c>
      <c r="M130" s="9" t="str">
        <f t="shared" si="11"/>
        <v>Same</v>
      </c>
      <c r="N130" s="30" t="s">
        <v>925</v>
      </c>
      <c r="O130" s="30" t="s">
        <v>925</v>
      </c>
    </row>
    <row r="131" spans="1:15" ht="15" customHeight="1" x14ac:dyDescent="0.2">
      <c r="A131" s="9">
        <v>126</v>
      </c>
      <c r="B131" s="27">
        <f t="shared" si="6"/>
        <v>615.53492916463119</v>
      </c>
      <c r="C131" s="27">
        <f t="shared" si="7"/>
        <v>2484.2989741084511</v>
      </c>
      <c r="D131" s="28">
        <v>2.5099999999999998</v>
      </c>
      <c r="E131" s="28">
        <v>2.5</v>
      </c>
      <c r="F131" s="9" t="str">
        <f t="shared" si="8"/>
        <v>Within 10 mV (calibration line)</v>
      </c>
      <c r="G131" s="27">
        <f t="shared" si="9"/>
        <v>615.53492916463119</v>
      </c>
      <c r="H131" s="29">
        <v>0.68</v>
      </c>
      <c r="I131" s="29">
        <v>0.69</v>
      </c>
      <c r="J131" s="9" t="str">
        <f t="shared" si="10"/>
        <v>+0.01 A (nearest step)</v>
      </c>
      <c r="K131" s="9" t="s">
        <v>539</v>
      </c>
      <c r="L131" s="9" t="s">
        <v>539</v>
      </c>
      <c r="M131" s="9" t="str">
        <f t="shared" si="11"/>
        <v>Same</v>
      </c>
      <c r="N131" s="30" t="s">
        <v>925</v>
      </c>
      <c r="O131" s="30" t="s">
        <v>926</v>
      </c>
    </row>
    <row r="132" spans="1:15" ht="15" customHeight="1" x14ac:dyDescent="0.2">
      <c r="A132" s="9">
        <v>127</v>
      </c>
      <c r="B132" s="27">
        <f t="shared" si="6"/>
        <v>620.4201270151442</v>
      </c>
      <c r="C132" s="27">
        <f t="shared" si="7"/>
        <v>2504.0156326331216</v>
      </c>
      <c r="D132" s="28">
        <v>2.5299999999999998</v>
      </c>
      <c r="E132" s="28">
        <v>2.52</v>
      </c>
      <c r="F132" s="9" t="str">
        <f t="shared" si="8"/>
        <v>Within 10 mV (calibration line)</v>
      </c>
      <c r="G132" s="27">
        <f t="shared" si="9"/>
        <v>620.4201270151442</v>
      </c>
      <c r="H132" s="29">
        <v>0.69</v>
      </c>
      <c r="I132" s="29">
        <v>0.69</v>
      </c>
      <c r="J132" s="9" t="str">
        <f t="shared" si="10"/>
        <v>Identical</v>
      </c>
      <c r="K132" s="9" t="s">
        <v>539</v>
      </c>
      <c r="L132" s="9" t="s">
        <v>539</v>
      </c>
      <c r="M132" s="9" t="str">
        <f t="shared" si="11"/>
        <v>Same</v>
      </c>
      <c r="N132" s="30" t="s">
        <v>926</v>
      </c>
      <c r="O132" s="30" t="s">
        <v>926</v>
      </c>
    </row>
    <row r="133" spans="1:15" ht="15" customHeight="1" x14ac:dyDescent="0.2">
      <c r="A133" s="9">
        <v>128</v>
      </c>
      <c r="B133" s="27">
        <f t="shared" ref="B133:B196" si="12">A133/$C$3*1000</f>
        <v>625.30532486565698</v>
      </c>
      <c r="C133" s="27">
        <f t="shared" ref="C133:C196" si="13">B133*$F$3</f>
        <v>2523.7322911577912</v>
      </c>
      <c r="D133" s="28">
        <v>2.5499999999999998</v>
      </c>
      <c r="E133" s="28">
        <v>2.54</v>
      </c>
      <c r="F133" s="9" t="str">
        <f t="shared" ref="F133:F196" si="14">IF(D133=E133,"Identical",IF(E133="OL","ADC full scale: now OL",IF(ABS(E133-D133)&lt;0.0105,"Within 10 mV (calibration line)",IF(AND(C133&lt;4200,ABS(E133-D133)&lt;0.0205),"-20 mV (end of old +30 mV band)",IF(C133&lt;830,"Low range fixed (F-02)","Different")))))</f>
        <v>Within 10 mV (calibration line)</v>
      </c>
      <c r="G133" s="27">
        <f t="shared" ref="G133:G196" si="15">B133</f>
        <v>625.30532486565698</v>
      </c>
      <c r="H133" s="29">
        <v>0.7</v>
      </c>
      <c r="I133" s="29">
        <v>0.7</v>
      </c>
      <c r="J133" s="9" t="str">
        <f t="shared" ref="J133:J196" si="16">IF(H133=I133,"Identical",IF(I133="OL","Above 5.00 A: now OL",IF(H133="ERR (999.23)","Gap bug fixed",IF(ABS(I133-H133-0.01)&lt;0.0001,"+0.01 A (nearest step)","Different"))))</f>
        <v>Identical</v>
      </c>
      <c r="K133" s="9" t="s">
        <v>539</v>
      </c>
      <c r="L133" s="9" t="s">
        <v>539</v>
      </c>
      <c r="M133" s="9" t="str">
        <f t="shared" ref="M133:M196" si="17">IF(K133=L133,"Same","Different")</f>
        <v>Same</v>
      </c>
      <c r="N133" s="30" t="s">
        <v>927</v>
      </c>
      <c r="O133" s="30" t="s">
        <v>927</v>
      </c>
    </row>
    <row r="134" spans="1:15" ht="15" customHeight="1" x14ac:dyDescent="0.2">
      <c r="A134" s="9">
        <v>129</v>
      </c>
      <c r="B134" s="27">
        <f t="shared" si="12"/>
        <v>630.19052271616999</v>
      </c>
      <c r="C134" s="27">
        <f t="shared" si="13"/>
        <v>2543.4489496824617</v>
      </c>
      <c r="D134" s="28">
        <v>2.57</v>
      </c>
      <c r="E134" s="28">
        <v>2.56</v>
      </c>
      <c r="F134" s="9" t="str">
        <f t="shared" si="14"/>
        <v>Within 10 mV (calibration line)</v>
      </c>
      <c r="G134" s="27">
        <f t="shared" si="15"/>
        <v>630.19052271616999</v>
      </c>
      <c r="H134" s="29">
        <v>0.71</v>
      </c>
      <c r="I134" s="29">
        <v>0.71</v>
      </c>
      <c r="J134" s="9" t="str">
        <f t="shared" si="16"/>
        <v>Identical</v>
      </c>
      <c r="K134" s="9" t="s">
        <v>539</v>
      </c>
      <c r="L134" s="9" t="s">
        <v>539</v>
      </c>
      <c r="M134" s="9" t="str">
        <f t="shared" si="17"/>
        <v>Same</v>
      </c>
      <c r="N134" s="30" t="s">
        <v>928</v>
      </c>
      <c r="O134" s="30" t="s">
        <v>928</v>
      </c>
    </row>
    <row r="135" spans="1:15" ht="15" customHeight="1" x14ac:dyDescent="0.2">
      <c r="A135" s="9">
        <v>130</v>
      </c>
      <c r="B135" s="27">
        <f t="shared" si="12"/>
        <v>635.07572056668289</v>
      </c>
      <c r="C135" s="27">
        <f t="shared" si="13"/>
        <v>2563.1656082071318</v>
      </c>
      <c r="D135" s="28">
        <v>2.59</v>
      </c>
      <c r="E135" s="28">
        <v>2.58</v>
      </c>
      <c r="F135" s="9" t="str">
        <f t="shared" si="14"/>
        <v>Within 10 mV (calibration line)</v>
      </c>
      <c r="G135" s="27">
        <f t="shared" si="15"/>
        <v>635.07572056668289</v>
      </c>
      <c r="H135" s="29">
        <v>0.71</v>
      </c>
      <c r="I135" s="29">
        <v>0.71</v>
      </c>
      <c r="J135" s="9" t="str">
        <f t="shared" si="16"/>
        <v>Identical</v>
      </c>
      <c r="K135" s="9" t="s">
        <v>539</v>
      </c>
      <c r="L135" s="9" t="s">
        <v>539</v>
      </c>
      <c r="M135" s="9" t="str">
        <f t="shared" si="17"/>
        <v>Same</v>
      </c>
      <c r="N135" s="30" t="s">
        <v>928</v>
      </c>
      <c r="O135" s="30" t="s">
        <v>928</v>
      </c>
    </row>
    <row r="136" spans="1:15" ht="15" customHeight="1" x14ac:dyDescent="0.2">
      <c r="A136" s="9">
        <v>131</v>
      </c>
      <c r="B136" s="27">
        <f t="shared" si="12"/>
        <v>639.9609184171959</v>
      </c>
      <c r="C136" s="27">
        <f t="shared" si="13"/>
        <v>2582.8822667318022</v>
      </c>
      <c r="D136" s="28">
        <v>2.61</v>
      </c>
      <c r="E136" s="28">
        <v>2.6</v>
      </c>
      <c r="F136" s="9" t="str">
        <f t="shared" si="14"/>
        <v>Within 10 mV (calibration line)</v>
      </c>
      <c r="G136" s="27">
        <f t="shared" si="15"/>
        <v>639.9609184171959</v>
      </c>
      <c r="H136" s="29">
        <v>0.72</v>
      </c>
      <c r="I136" s="29">
        <v>0.72</v>
      </c>
      <c r="J136" s="9" t="str">
        <f t="shared" si="16"/>
        <v>Identical</v>
      </c>
      <c r="K136" s="9" t="s">
        <v>539</v>
      </c>
      <c r="L136" s="9" t="s">
        <v>539</v>
      </c>
      <c r="M136" s="9" t="str">
        <f t="shared" si="17"/>
        <v>Same</v>
      </c>
      <c r="N136" s="30" t="s">
        <v>929</v>
      </c>
      <c r="O136" s="30" t="s">
        <v>929</v>
      </c>
    </row>
    <row r="137" spans="1:15" ht="15" customHeight="1" x14ac:dyDescent="0.2">
      <c r="A137" s="9">
        <v>132</v>
      </c>
      <c r="B137" s="27">
        <f t="shared" si="12"/>
        <v>644.84611626770879</v>
      </c>
      <c r="C137" s="27">
        <f t="shared" si="13"/>
        <v>2602.5989252564723</v>
      </c>
      <c r="D137" s="28">
        <v>2.63</v>
      </c>
      <c r="E137" s="28">
        <v>2.62</v>
      </c>
      <c r="F137" s="9" t="str">
        <f t="shared" si="14"/>
        <v>Within 10 mV (calibration line)</v>
      </c>
      <c r="G137" s="27">
        <f t="shared" si="15"/>
        <v>644.84611626770879</v>
      </c>
      <c r="H137" s="29">
        <v>0.72</v>
      </c>
      <c r="I137" s="29">
        <v>0.72</v>
      </c>
      <c r="J137" s="9" t="str">
        <f t="shared" si="16"/>
        <v>Identical</v>
      </c>
      <c r="K137" s="9" t="s">
        <v>539</v>
      </c>
      <c r="L137" s="9" t="s">
        <v>539</v>
      </c>
      <c r="M137" s="9" t="str">
        <f t="shared" si="17"/>
        <v>Same</v>
      </c>
      <c r="N137" s="30" t="s">
        <v>929</v>
      </c>
      <c r="O137" s="30" t="s">
        <v>929</v>
      </c>
    </row>
    <row r="138" spans="1:15" ht="15" customHeight="1" x14ac:dyDescent="0.2">
      <c r="A138" s="9">
        <v>133</v>
      </c>
      <c r="B138" s="27">
        <f t="shared" si="12"/>
        <v>649.7313141182218</v>
      </c>
      <c r="C138" s="27">
        <f t="shared" si="13"/>
        <v>2622.3155837811428</v>
      </c>
      <c r="D138" s="28">
        <v>2.65</v>
      </c>
      <c r="E138" s="28">
        <v>2.64</v>
      </c>
      <c r="F138" s="9" t="str">
        <f t="shared" si="14"/>
        <v>Within 10 mV (calibration line)</v>
      </c>
      <c r="G138" s="27">
        <f t="shared" si="15"/>
        <v>649.7313141182218</v>
      </c>
      <c r="H138" s="29">
        <v>0.73</v>
      </c>
      <c r="I138" s="29">
        <v>0.73</v>
      </c>
      <c r="J138" s="9" t="str">
        <f t="shared" si="16"/>
        <v>Identical</v>
      </c>
      <c r="K138" s="9" t="s">
        <v>539</v>
      </c>
      <c r="L138" s="9" t="s">
        <v>539</v>
      </c>
      <c r="M138" s="9" t="str">
        <f t="shared" si="17"/>
        <v>Same</v>
      </c>
      <c r="N138" s="30" t="s">
        <v>930</v>
      </c>
      <c r="O138" s="30" t="s">
        <v>930</v>
      </c>
    </row>
    <row r="139" spans="1:15" ht="15" customHeight="1" x14ac:dyDescent="0.2">
      <c r="A139" s="9">
        <v>134</v>
      </c>
      <c r="B139" s="27">
        <f t="shared" si="12"/>
        <v>654.6165119687347</v>
      </c>
      <c r="C139" s="27">
        <f t="shared" si="13"/>
        <v>2642.0322423058128</v>
      </c>
      <c r="D139" s="28">
        <v>2.67</v>
      </c>
      <c r="E139" s="28">
        <v>2.66</v>
      </c>
      <c r="F139" s="9" t="str">
        <f t="shared" si="14"/>
        <v>Within 10 mV (calibration line)</v>
      </c>
      <c r="G139" s="27">
        <f t="shared" si="15"/>
        <v>654.6165119687347</v>
      </c>
      <c r="H139" s="29">
        <v>0.73</v>
      </c>
      <c r="I139" s="29">
        <v>0.73</v>
      </c>
      <c r="J139" s="9" t="str">
        <f t="shared" si="16"/>
        <v>Identical</v>
      </c>
      <c r="K139" s="9" t="s">
        <v>539</v>
      </c>
      <c r="L139" s="9" t="s">
        <v>539</v>
      </c>
      <c r="M139" s="9" t="str">
        <f t="shared" si="17"/>
        <v>Same</v>
      </c>
      <c r="N139" s="30" t="s">
        <v>930</v>
      </c>
      <c r="O139" s="30" t="s">
        <v>930</v>
      </c>
    </row>
    <row r="140" spans="1:15" ht="15" customHeight="1" x14ac:dyDescent="0.2">
      <c r="A140" s="9">
        <v>135</v>
      </c>
      <c r="B140" s="27">
        <f t="shared" si="12"/>
        <v>659.50170981924771</v>
      </c>
      <c r="C140" s="27">
        <f t="shared" si="13"/>
        <v>2661.7489008304833</v>
      </c>
      <c r="D140" s="28">
        <v>2.69</v>
      </c>
      <c r="E140" s="28">
        <v>2.68</v>
      </c>
      <c r="F140" s="9" t="str">
        <f t="shared" si="14"/>
        <v>Within 10 mV (calibration line)</v>
      </c>
      <c r="G140" s="27">
        <f t="shared" si="15"/>
        <v>659.50170981924771</v>
      </c>
      <c r="H140" s="29">
        <v>0.74</v>
      </c>
      <c r="I140" s="29">
        <v>0.74</v>
      </c>
      <c r="J140" s="9" t="str">
        <f t="shared" si="16"/>
        <v>Identical</v>
      </c>
      <c r="K140" s="9" t="s">
        <v>539</v>
      </c>
      <c r="L140" s="9" t="s">
        <v>539</v>
      </c>
      <c r="M140" s="9" t="str">
        <f t="shared" si="17"/>
        <v>Same</v>
      </c>
      <c r="N140" s="30" t="s">
        <v>931</v>
      </c>
      <c r="O140" s="30" t="s">
        <v>931</v>
      </c>
    </row>
    <row r="141" spans="1:15" ht="15" customHeight="1" x14ac:dyDescent="0.2">
      <c r="A141" s="9">
        <v>136</v>
      </c>
      <c r="B141" s="27">
        <f t="shared" si="12"/>
        <v>664.3869076697606</v>
      </c>
      <c r="C141" s="27">
        <f t="shared" si="13"/>
        <v>2681.4655593551533</v>
      </c>
      <c r="D141" s="28">
        <v>2.71</v>
      </c>
      <c r="E141" s="28">
        <v>2.7</v>
      </c>
      <c r="F141" s="9" t="str">
        <f t="shared" si="14"/>
        <v>Within 10 mV (calibration line)</v>
      </c>
      <c r="G141" s="27">
        <f t="shared" si="15"/>
        <v>664.3869076697606</v>
      </c>
      <c r="H141" s="29">
        <v>0.74</v>
      </c>
      <c r="I141" s="29">
        <v>0.74</v>
      </c>
      <c r="J141" s="9" t="str">
        <f t="shared" si="16"/>
        <v>Identical</v>
      </c>
      <c r="K141" s="9" t="s">
        <v>539</v>
      </c>
      <c r="L141" s="9" t="s">
        <v>539</v>
      </c>
      <c r="M141" s="9" t="str">
        <f t="shared" si="17"/>
        <v>Same</v>
      </c>
      <c r="N141" s="30" t="s">
        <v>931</v>
      </c>
      <c r="O141" s="30" t="s">
        <v>931</v>
      </c>
    </row>
    <row r="142" spans="1:15" ht="15" customHeight="1" x14ac:dyDescent="0.2">
      <c r="A142" s="9">
        <v>137</v>
      </c>
      <c r="B142" s="27">
        <f t="shared" si="12"/>
        <v>669.27210552027361</v>
      </c>
      <c r="C142" s="27">
        <f t="shared" si="13"/>
        <v>2701.1822178798238</v>
      </c>
      <c r="D142" s="28">
        <v>2.73</v>
      </c>
      <c r="E142" s="28">
        <v>2.72</v>
      </c>
      <c r="F142" s="9" t="str">
        <f t="shared" si="14"/>
        <v>Within 10 mV (calibration line)</v>
      </c>
      <c r="G142" s="27">
        <f t="shared" si="15"/>
        <v>669.27210552027361</v>
      </c>
      <c r="H142" s="29">
        <v>0.75</v>
      </c>
      <c r="I142" s="29">
        <v>0.75</v>
      </c>
      <c r="J142" s="9" t="str">
        <f t="shared" si="16"/>
        <v>Identical</v>
      </c>
      <c r="K142" s="9" t="s">
        <v>539</v>
      </c>
      <c r="L142" s="9" t="s">
        <v>539</v>
      </c>
      <c r="M142" s="9" t="str">
        <f t="shared" si="17"/>
        <v>Same</v>
      </c>
      <c r="N142" s="30" t="s">
        <v>932</v>
      </c>
      <c r="O142" s="30" t="s">
        <v>932</v>
      </c>
    </row>
    <row r="143" spans="1:15" ht="15" customHeight="1" x14ac:dyDescent="0.2">
      <c r="A143" s="9">
        <v>138</v>
      </c>
      <c r="B143" s="27">
        <f t="shared" si="12"/>
        <v>674.15730337078662</v>
      </c>
      <c r="C143" s="27">
        <f t="shared" si="13"/>
        <v>2720.8988764044943</v>
      </c>
      <c r="D143" s="28">
        <v>2.75</v>
      </c>
      <c r="E143" s="28">
        <v>2.74</v>
      </c>
      <c r="F143" s="9" t="str">
        <f t="shared" si="14"/>
        <v>Within 10 mV (calibration line)</v>
      </c>
      <c r="G143" s="27">
        <f t="shared" si="15"/>
        <v>674.15730337078662</v>
      </c>
      <c r="H143" s="29">
        <v>0.75</v>
      </c>
      <c r="I143" s="29">
        <v>0.75</v>
      </c>
      <c r="J143" s="9" t="str">
        <f t="shared" si="16"/>
        <v>Identical</v>
      </c>
      <c r="K143" s="9" t="s">
        <v>539</v>
      </c>
      <c r="L143" s="9" t="s">
        <v>539</v>
      </c>
      <c r="M143" s="9" t="str">
        <f t="shared" si="17"/>
        <v>Same</v>
      </c>
      <c r="N143" s="30" t="s">
        <v>932</v>
      </c>
      <c r="O143" s="30" t="s">
        <v>932</v>
      </c>
    </row>
    <row r="144" spans="1:15" ht="15" customHeight="1" x14ac:dyDescent="0.2">
      <c r="A144" s="9">
        <v>139</v>
      </c>
      <c r="B144" s="27">
        <f t="shared" si="12"/>
        <v>679.04250122129952</v>
      </c>
      <c r="C144" s="27">
        <f t="shared" si="13"/>
        <v>2740.6155349291644</v>
      </c>
      <c r="D144" s="28">
        <v>2.77</v>
      </c>
      <c r="E144" s="28">
        <v>2.76</v>
      </c>
      <c r="F144" s="9" t="str">
        <f t="shared" si="14"/>
        <v>Within 10 mV (calibration line)</v>
      </c>
      <c r="G144" s="27">
        <f t="shared" si="15"/>
        <v>679.04250122129952</v>
      </c>
      <c r="H144" s="29">
        <v>0.76</v>
      </c>
      <c r="I144" s="29">
        <v>0.76</v>
      </c>
      <c r="J144" s="9" t="str">
        <f t="shared" si="16"/>
        <v>Identical</v>
      </c>
      <c r="K144" s="9" t="s">
        <v>539</v>
      </c>
      <c r="L144" s="9" t="s">
        <v>539</v>
      </c>
      <c r="M144" s="9" t="str">
        <f t="shared" si="17"/>
        <v>Same</v>
      </c>
      <c r="N144" s="30" t="s">
        <v>933</v>
      </c>
      <c r="O144" s="30" t="s">
        <v>933</v>
      </c>
    </row>
    <row r="145" spans="1:15" ht="15" customHeight="1" x14ac:dyDescent="0.2">
      <c r="A145" s="9">
        <v>140</v>
      </c>
      <c r="B145" s="27">
        <f t="shared" si="12"/>
        <v>683.92769907181253</v>
      </c>
      <c r="C145" s="27">
        <f t="shared" si="13"/>
        <v>2760.3321934538349</v>
      </c>
      <c r="D145" s="28">
        <v>2.79</v>
      </c>
      <c r="E145" s="28">
        <v>2.78</v>
      </c>
      <c r="F145" s="9" t="str">
        <f t="shared" si="14"/>
        <v>Within 10 mV (calibration line)</v>
      </c>
      <c r="G145" s="27">
        <f t="shared" si="15"/>
        <v>683.92769907181253</v>
      </c>
      <c r="H145" s="29">
        <v>0.76</v>
      </c>
      <c r="I145" s="29">
        <v>0.77</v>
      </c>
      <c r="J145" s="9" t="str">
        <f t="shared" si="16"/>
        <v>+0.01 A (nearest step)</v>
      </c>
      <c r="K145" s="9" t="s">
        <v>539</v>
      </c>
      <c r="L145" s="9" t="s">
        <v>539</v>
      </c>
      <c r="M145" s="9" t="str">
        <f t="shared" si="17"/>
        <v>Same</v>
      </c>
      <c r="N145" s="30" t="s">
        <v>933</v>
      </c>
      <c r="O145" s="30" t="s">
        <v>934</v>
      </c>
    </row>
    <row r="146" spans="1:15" ht="15" customHeight="1" x14ac:dyDescent="0.2">
      <c r="A146" s="9">
        <v>141</v>
      </c>
      <c r="B146" s="27">
        <f t="shared" si="12"/>
        <v>688.81289692232542</v>
      </c>
      <c r="C146" s="27">
        <f t="shared" si="13"/>
        <v>2780.0488519785049</v>
      </c>
      <c r="D146" s="28">
        <v>2.81</v>
      </c>
      <c r="E146" s="28">
        <v>2.8</v>
      </c>
      <c r="F146" s="9" t="str">
        <f t="shared" si="14"/>
        <v>Within 10 mV (calibration line)</v>
      </c>
      <c r="G146" s="27">
        <f t="shared" si="15"/>
        <v>688.81289692232542</v>
      </c>
      <c r="H146" s="29">
        <v>0.77</v>
      </c>
      <c r="I146" s="29">
        <v>0.77</v>
      </c>
      <c r="J146" s="9" t="str">
        <f t="shared" si="16"/>
        <v>Identical</v>
      </c>
      <c r="K146" s="9" t="s">
        <v>539</v>
      </c>
      <c r="L146" s="9" t="s">
        <v>539</v>
      </c>
      <c r="M146" s="9" t="str">
        <f t="shared" si="17"/>
        <v>Same</v>
      </c>
      <c r="N146" s="30" t="s">
        <v>934</v>
      </c>
      <c r="O146" s="30" t="s">
        <v>934</v>
      </c>
    </row>
    <row r="147" spans="1:15" ht="15" customHeight="1" x14ac:dyDescent="0.2">
      <c r="A147" s="9">
        <v>142</v>
      </c>
      <c r="B147" s="27">
        <f t="shared" si="12"/>
        <v>693.69809477283843</v>
      </c>
      <c r="C147" s="27">
        <f t="shared" si="13"/>
        <v>2799.7655105031758</v>
      </c>
      <c r="D147" s="28">
        <v>2.82</v>
      </c>
      <c r="E147" s="28">
        <v>2.82</v>
      </c>
      <c r="F147" s="9" t="str">
        <f t="shared" si="14"/>
        <v>Identical</v>
      </c>
      <c r="G147" s="27">
        <f t="shared" si="15"/>
        <v>693.69809477283843</v>
      </c>
      <c r="H147" s="29">
        <v>0.78</v>
      </c>
      <c r="I147" s="29">
        <v>0.78</v>
      </c>
      <c r="J147" s="9" t="str">
        <f t="shared" si="16"/>
        <v>Identical</v>
      </c>
      <c r="K147" s="9" t="s">
        <v>539</v>
      </c>
      <c r="L147" s="9" t="s">
        <v>539</v>
      </c>
      <c r="M147" s="9" t="str">
        <f t="shared" si="17"/>
        <v>Same</v>
      </c>
      <c r="N147" s="30" t="s">
        <v>935</v>
      </c>
      <c r="O147" s="30" t="s">
        <v>935</v>
      </c>
    </row>
    <row r="148" spans="1:15" ht="15" customHeight="1" x14ac:dyDescent="0.2">
      <c r="A148" s="9">
        <v>143</v>
      </c>
      <c r="B148" s="27">
        <f t="shared" si="12"/>
        <v>698.58329262335133</v>
      </c>
      <c r="C148" s="27">
        <f t="shared" si="13"/>
        <v>2819.4821690278459</v>
      </c>
      <c r="D148" s="28">
        <v>2.84</v>
      </c>
      <c r="E148" s="28">
        <v>2.84</v>
      </c>
      <c r="F148" s="9" t="str">
        <f t="shared" si="14"/>
        <v>Identical</v>
      </c>
      <c r="G148" s="27">
        <f t="shared" si="15"/>
        <v>698.58329262335133</v>
      </c>
      <c r="H148" s="29">
        <v>0.78</v>
      </c>
      <c r="I148" s="29">
        <v>0.78</v>
      </c>
      <c r="J148" s="9" t="str">
        <f t="shared" si="16"/>
        <v>Identical</v>
      </c>
      <c r="K148" s="9" t="s">
        <v>539</v>
      </c>
      <c r="L148" s="9" t="s">
        <v>539</v>
      </c>
      <c r="M148" s="9" t="str">
        <f t="shared" si="17"/>
        <v>Same</v>
      </c>
      <c r="N148" s="30" t="s">
        <v>935</v>
      </c>
      <c r="O148" s="30" t="s">
        <v>935</v>
      </c>
    </row>
    <row r="149" spans="1:15" ht="15" customHeight="1" x14ac:dyDescent="0.2">
      <c r="A149" s="9">
        <v>144</v>
      </c>
      <c r="B149" s="27">
        <f t="shared" si="12"/>
        <v>703.46849047386434</v>
      </c>
      <c r="C149" s="27">
        <f t="shared" si="13"/>
        <v>2839.1988275525164</v>
      </c>
      <c r="D149" s="28">
        <v>2.86</v>
      </c>
      <c r="E149" s="28">
        <v>2.86</v>
      </c>
      <c r="F149" s="9" t="str">
        <f t="shared" si="14"/>
        <v>Identical</v>
      </c>
      <c r="G149" s="27">
        <f t="shared" si="15"/>
        <v>703.46849047386434</v>
      </c>
      <c r="H149" s="29">
        <v>0.79</v>
      </c>
      <c r="I149" s="29">
        <v>0.79</v>
      </c>
      <c r="J149" s="9" t="str">
        <f t="shared" si="16"/>
        <v>Identical</v>
      </c>
      <c r="K149" s="9" t="s">
        <v>539</v>
      </c>
      <c r="L149" s="9" t="s">
        <v>539</v>
      </c>
      <c r="M149" s="9" t="str">
        <f t="shared" si="17"/>
        <v>Same</v>
      </c>
      <c r="N149" s="30" t="s">
        <v>936</v>
      </c>
      <c r="O149" s="30" t="s">
        <v>936</v>
      </c>
    </row>
    <row r="150" spans="1:15" ht="15" customHeight="1" x14ac:dyDescent="0.2">
      <c r="A150" s="9">
        <v>145</v>
      </c>
      <c r="B150" s="27">
        <f t="shared" si="12"/>
        <v>708.35368832437712</v>
      </c>
      <c r="C150" s="27">
        <f t="shared" si="13"/>
        <v>2858.915486077186</v>
      </c>
      <c r="D150" s="28">
        <v>2.88</v>
      </c>
      <c r="E150" s="28">
        <v>2.88</v>
      </c>
      <c r="F150" s="9" t="str">
        <f t="shared" si="14"/>
        <v>Identical</v>
      </c>
      <c r="G150" s="27">
        <f t="shared" si="15"/>
        <v>708.35368832437712</v>
      </c>
      <c r="H150" s="29">
        <v>0.79</v>
      </c>
      <c r="I150" s="29">
        <v>0.79</v>
      </c>
      <c r="J150" s="9" t="str">
        <f t="shared" si="16"/>
        <v>Identical</v>
      </c>
      <c r="K150" s="9" t="s">
        <v>539</v>
      </c>
      <c r="L150" s="9" t="s">
        <v>539</v>
      </c>
      <c r="M150" s="9" t="str">
        <f t="shared" si="17"/>
        <v>Same</v>
      </c>
      <c r="N150" s="30" t="s">
        <v>936</v>
      </c>
      <c r="O150" s="30" t="s">
        <v>936</v>
      </c>
    </row>
    <row r="151" spans="1:15" ht="15" customHeight="1" x14ac:dyDescent="0.2">
      <c r="A151" s="9">
        <v>146</v>
      </c>
      <c r="B151" s="27">
        <f t="shared" si="12"/>
        <v>713.23888617489013</v>
      </c>
      <c r="C151" s="27">
        <f t="shared" si="13"/>
        <v>2878.6321446018565</v>
      </c>
      <c r="D151" s="28">
        <v>2.9</v>
      </c>
      <c r="E151" s="28">
        <v>2.9</v>
      </c>
      <c r="F151" s="9" t="str">
        <f t="shared" si="14"/>
        <v>Identical</v>
      </c>
      <c r="G151" s="27">
        <f t="shared" si="15"/>
        <v>713.23888617489013</v>
      </c>
      <c r="H151" s="29">
        <v>0.8</v>
      </c>
      <c r="I151" s="29">
        <v>0.8</v>
      </c>
      <c r="J151" s="9" t="str">
        <f t="shared" si="16"/>
        <v>Identical</v>
      </c>
      <c r="K151" s="9" t="s">
        <v>539</v>
      </c>
      <c r="L151" s="9" t="s">
        <v>539</v>
      </c>
      <c r="M151" s="9" t="str">
        <f t="shared" si="17"/>
        <v>Same</v>
      </c>
      <c r="N151" s="30" t="s">
        <v>937</v>
      </c>
      <c r="O151" s="30" t="s">
        <v>937</v>
      </c>
    </row>
    <row r="152" spans="1:15" ht="15" customHeight="1" x14ac:dyDescent="0.2">
      <c r="A152" s="9">
        <v>147</v>
      </c>
      <c r="B152" s="27">
        <f t="shared" si="12"/>
        <v>718.12408402540302</v>
      </c>
      <c r="C152" s="27">
        <f t="shared" si="13"/>
        <v>2898.3488031265265</v>
      </c>
      <c r="D152" s="28">
        <v>2.92</v>
      </c>
      <c r="E152" s="28">
        <v>2.92</v>
      </c>
      <c r="F152" s="9" t="str">
        <f t="shared" si="14"/>
        <v>Identical</v>
      </c>
      <c r="G152" s="27">
        <f t="shared" si="15"/>
        <v>718.12408402540302</v>
      </c>
      <c r="H152" s="29">
        <v>0.8</v>
      </c>
      <c r="I152" s="29">
        <v>0.8</v>
      </c>
      <c r="J152" s="9" t="str">
        <f t="shared" si="16"/>
        <v>Identical</v>
      </c>
      <c r="K152" s="9" t="s">
        <v>539</v>
      </c>
      <c r="L152" s="9" t="s">
        <v>539</v>
      </c>
      <c r="M152" s="9" t="str">
        <f t="shared" si="17"/>
        <v>Same</v>
      </c>
      <c r="N152" s="30" t="s">
        <v>937</v>
      </c>
      <c r="O152" s="30" t="s">
        <v>937</v>
      </c>
    </row>
    <row r="153" spans="1:15" ht="15" customHeight="1" x14ac:dyDescent="0.2">
      <c r="A153" s="9">
        <v>148</v>
      </c>
      <c r="B153" s="27">
        <f t="shared" si="12"/>
        <v>723.00928187591603</v>
      </c>
      <c r="C153" s="27">
        <f t="shared" si="13"/>
        <v>2918.065461651197</v>
      </c>
      <c r="D153" s="28">
        <v>2.94</v>
      </c>
      <c r="E153" s="28">
        <v>2.94</v>
      </c>
      <c r="F153" s="9" t="str">
        <f t="shared" si="14"/>
        <v>Identical</v>
      </c>
      <c r="G153" s="27">
        <f t="shared" si="15"/>
        <v>723.00928187591603</v>
      </c>
      <c r="H153" s="29">
        <v>0.81</v>
      </c>
      <c r="I153" s="29">
        <v>0.81</v>
      </c>
      <c r="J153" s="9" t="str">
        <f t="shared" si="16"/>
        <v>Identical</v>
      </c>
      <c r="K153" s="9" t="s">
        <v>539</v>
      </c>
      <c r="L153" s="9" t="s">
        <v>539</v>
      </c>
      <c r="M153" s="9" t="str">
        <f t="shared" si="17"/>
        <v>Same</v>
      </c>
      <c r="N153" s="30" t="s">
        <v>938</v>
      </c>
      <c r="O153" s="30" t="s">
        <v>938</v>
      </c>
    </row>
    <row r="154" spans="1:15" ht="15" customHeight="1" x14ac:dyDescent="0.2">
      <c r="A154" s="9">
        <v>149</v>
      </c>
      <c r="B154" s="27">
        <f t="shared" si="12"/>
        <v>727.89447972642893</v>
      </c>
      <c r="C154" s="27">
        <f t="shared" si="13"/>
        <v>2937.782120175867</v>
      </c>
      <c r="D154" s="28">
        <v>2.96</v>
      </c>
      <c r="E154" s="28">
        <v>2.96</v>
      </c>
      <c r="F154" s="9" t="str">
        <f t="shared" si="14"/>
        <v>Identical</v>
      </c>
      <c r="G154" s="27">
        <f t="shared" si="15"/>
        <v>727.89447972642893</v>
      </c>
      <c r="H154" s="29">
        <v>0.81</v>
      </c>
      <c r="I154" s="29">
        <v>0.81</v>
      </c>
      <c r="J154" s="9" t="str">
        <f t="shared" si="16"/>
        <v>Identical</v>
      </c>
      <c r="K154" s="9" t="s">
        <v>539</v>
      </c>
      <c r="L154" s="9" t="s">
        <v>539</v>
      </c>
      <c r="M154" s="9" t="str">
        <f t="shared" si="17"/>
        <v>Same</v>
      </c>
      <c r="N154" s="30" t="s">
        <v>938</v>
      </c>
      <c r="O154" s="30" t="s">
        <v>938</v>
      </c>
    </row>
    <row r="155" spans="1:15" ht="15" customHeight="1" x14ac:dyDescent="0.2">
      <c r="A155" s="9">
        <v>150</v>
      </c>
      <c r="B155" s="27">
        <f t="shared" si="12"/>
        <v>732.77967757694194</v>
      </c>
      <c r="C155" s="27">
        <f t="shared" si="13"/>
        <v>2957.4987787005375</v>
      </c>
      <c r="D155" s="28">
        <v>2.98</v>
      </c>
      <c r="E155" s="28">
        <v>2.98</v>
      </c>
      <c r="F155" s="9" t="str">
        <f t="shared" si="14"/>
        <v>Identical</v>
      </c>
      <c r="G155" s="27">
        <f t="shared" si="15"/>
        <v>732.77967757694194</v>
      </c>
      <c r="H155" s="29">
        <v>0.82</v>
      </c>
      <c r="I155" s="29">
        <v>0.82</v>
      </c>
      <c r="J155" s="9" t="str">
        <f t="shared" si="16"/>
        <v>Identical</v>
      </c>
      <c r="K155" s="9" t="s">
        <v>539</v>
      </c>
      <c r="L155" s="9" t="s">
        <v>539</v>
      </c>
      <c r="M155" s="9" t="str">
        <f t="shared" si="17"/>
        <v>Same</v>
      </c>
      <c r="N155" s="30" t="s">
        <v>939</v>
      </c>
      <c r="O155" s="30" t="s">
        <v>939</v>
      </c>
    </row>
    <row r="156" spans="1:15" ht="15" customHeight="1" x14ac:dyDescent="0.2">
      <c r="A156" s="9">
        <v>151</v>
      </c>
      <c r="B156" s="27">
        <f t="shared" si="12"/>
        <v>737.66487542745483</v>
      </c>
      <c r="C156" s="27">
        <f t="shared" si="13"/>
        <v>2977.2154372252076</v>
      </c>
      <c r="D156" s="28">
        <v>3</v>
      </c>
      <c r="E156" s="28">
        <v>3</v>
      </c>
      <c r="F156" s="9" t="str">
        <f t="shared" si="14"/>
        <v>Identical</v>
      </c>
      <c r="G156" s="27">
        <f t="shared" si="15"/>
        <v>737.66487542745483</v>
      </c>
      <c r="H156" s="29">
        <v>0.82</v>
      </c>
      <c r="I156" s="29">
        <v>0.83</v>
      </c>
      <c r="J156" s="9" t="str">
        <f t="shared" si="16"/>
        <v>+0.01 A (nearest step)</v>
      </c>
      <c r="K156" s="9" t="s">
        <v>539</v>
      </c>
      <c r="L156" s="9" t="s">
        <v>539</v>
      </c>
      <c r="M156" s="9" t="str">
        <f t="shared" si="17"/>
        <v>Same</v>
      </c>
      <c r="N156" s="30" t="s">
        <v>939</v>
      </c>
      <c r="O156" s="30" t="s">
        <v>940</v>
      </c>
    </row>
    <row r="157" spans="1:15" ht="15" customHeight="1" x14ac:dyDescent="0.2">
      <c r="A157" s="9">
        <v>152</v>
      </c>
      <c r="B157" s="27">
        <f t="shared" si="12"/>
        <v>742.55007327796784</v>
      </c>
      <c r="C157" s="27">
        <f t="shared" si="13"/>
        <v>2996.932095749878</v>
      </c>
      <c r="D157" s="28">
        <v>3.02</v>
      </c>
      <c r="E157" s="28">
        <v>3.02</v>
      </c>
      <c r="F157" s="9" t="str">
        <f t="shared" si="14"/>
        <v>Identical</v>
      </c>
      <c r="G157" s="27">
        <f t="shared" si="15"/>
        <v>742.55007327796784</v>
      </c>
      <c r="H157" s="29">
        <v>0.83</v>
      </c>
      <c r="I157" s="29">
        <v>0.83</v>
      </c>
      <c r="J157" s="9" t="str">
        <f t="shared" si="16"/>
        <v>Identical</v>
      </c>
      <c r="K157" s="9" t="s">
        <v>539</v>
      </c>
      <c r="L157" s="9" t="s">
        <v>539</v>
      </c>
      <c r="M157" s="9" t="str">
        <f t="shared" si="17"/>
        <v>Same</v>
      </c>
      <c r="N157" s="30" t="s">
        <v>940</v>
      </c>
      <c r="O157" s="30" t="s">
        <v>940</v>
      </c>
    </row>
    <row r="158" spans="1:15" ht="15" customHeight="1" x14ac:dyDescent="0.2">
      <c r="A158" s="9">
        <v>153</v>
      </c>
      <c r="B158" s="27">
        <f t="shared" si="12"/>
        <v>747.43527112848074</v>
      </c>
      <c r="C158" s="27">
        <f t="shared" si="13"/>
        <v>3016.6487542745481</v>
      </c>
      <c r="D158" s="28">
        <v>3.04</v>
      </c>
      <c r="E158" s="28">
        <v>3.03</v>
      </c>
      <c r="F158" s="9" t="str">
        <f t="shared" si="14"/>
        <v>Within 10 mV (calibration line)</v>
      </c>
      <c r="G158" s="27">
        <f t="shared" si="15"/>
        <v>747.43527112848074</v>
      </c>
      <c r="H158" s="29">
        <v>0.84</v>
      </c>
      <c r="I158" s="29">
        <v>0.84</v>
      </c>
      <c r="J158" s="9" t="str">
        <f t="shared" si="16"/>
        <v>Identical</v>
      </c>
      <c r="K158" s="9" t="s">
        <v>539</v>
      </c>
      <c r="L158" s="9" t="s">
        <v>539</v>
      </c>
      <c r="M158" s="9" t="str">
        <f t="shared" si="17"/>
        <v>Same</v>
      </c>
      <c r="N158" s="30" t="s">
        <v>941</v>
      </c>
      <c r="O158" s="30" t="s">
        <v>941</v>
      </c>
    </row>
    <row r="159" spans="1:15" ht="15" customHeight="1" x14ac:dyDescent="0.2">
      <c r="A159" s="9">
        <v>154</v>
      </c>
      <c r="B159" s="27">
        <f t="shared" si="12"/>
        <v>752.32046897899374</v>
      </c>
      <c r="C159" s="27">
        <f t="shared" si="13"/>
        <v>3036.3654127992186</v>
      </c>
      <c r="D159" s="28">
        <v>3.06</v>
      </c>
      <c r="E159" s="28">
        <v>3.05</v>
      </c>
      <c r="F159" s="9" t="str">
        <f t="shared" si="14"/>
        <v>Within 10 mV (calibration line)</v>
      </c>
      <c r="G159" s="27">
        <f t="shared" si="15"/>
        <v>752.32046897899374</v>
      </c>
      <c r="H159" s="29">
        <v>0.84</v>
      </c>
      <c r="I159" s="29">
        <v>0.84</v>
      </c>
      <c r="J159" s="9" t="str">
        <f t="shared" si="16"/>
        <v>Identical</v>
      </c>
      <c r="K159" s="9" t="s">
        <v>539</v>
      </c>
      <c r="L159" s="9" t="s">
        <v>539</v>
      </c>
      <c r="M159" s="9" t="str">
        <f t="shared" si="17"/>
        <v>Same</v>
      </c>
      <c r="N159" s="30" t="s">
        <v>941</v>
      </c>
      <c r="O159" s="30" t="s">
        <v>941</v>
      </c>
    </row>
    <row r="160" spans="1:15" ht="15" customHeight="1" x14ac:dyDescent="0.2">
      <c r="A160" s="9">
        <v>155</v>
      </c>
      <c r="B160" s="27">
        <f t="shared" si="12"/>
        <v>757.20566682950664</v>
      </c>
      <c r="C160" s="27">
        <f t="shared" si="13"/>
        <v>3056.0820713238886</v>
      </c>
      <c r="D160" s="28">
        <v>3.08</v>
      </c>
      <c r="E160" s="28">
        <v>3.07</v>
      </c>
      <c r="F160" s="9" t="str">
        <f t="shared" si="14"/>
        <v>Within 10 mV (calibration line)</v>
      </c>
      <c r="G160" s="27">
        <f t="shared" si="15"/>
        <v>757.20566682950664</v>
      </c>
      <c r="H160" s="29">
        <v>0.85</v>
      </c>
      <c r="I160" s="29">
        <v>0.85</v>
      </c>
      <c r="J160" s="9" t="str">
        <f t="shared" si="16"/>
        <v>Identical</v>
      </c>
      <c r="K160" s="9" t="s">
        <v>539</v>
      </c>
      <c r="L160" s="9" t="s">
        <v>539</v>
      </c>
      <c r="M160" s="9" t="str">
        <f t="shared" si="17"/>
        <v>Same</v>
      </c>
      <c r="N160" s="30" t="s">
        <v>942</v>
      </c>
      <c r="O160" s="30" t="s">
        <v>942</v>
      </c>
    </row>
    <row r="161" spans="1:15" ht="15" customHeight="1" x14ac:dyDescent="0.2">
      <c r="A161" s="9">
        <v>156</v>
      </c>
      <c r="B161" s="27">
        <f t="shared" si="12"/>
        <v>762.09086468001965</v>
      </c>
      <c r="C161" s="27">
        <f t="shared" si="13"/>
        <v>3075.7987298485591</v>
      </c>
      <c r="D161" s="28">
        <v>3.1</v>
      </c>
      <c r="E161" s="28">
        <v>3.09</v>
      </c>
      <c r="F161" s="9" t="str">
        <f t="shared" si="14"/>
        <v>Within 10 mV (calibration line)</v>
      </c>
      <c r="G161" s="27">
        <f t="shared" si="15"/>
        <v>762.09086468001965</v>
      </c>
      <c r="H161" s="29">
        <v>0.85</v>
      </c>
      <c r="I161" s="29">
        <v>0.85</v>
      </c>
      <c r="J161" s="9" t="str">
        <f t="shared" si="16"/>
        <v>Identical</v>
      </c>
      <c r="K161" s="9" t="s">
        <v>539</v>
      </c>
      <c r="L161" s="9" t="s">
        <v>539</v>
      </c>
      <c r="M161" s="9" t="str">
        <f t="shared" si="17"/>
        <v>Same</v>
      </c>
      <c r="N161" s="30" t="s">
        <v>942</v>
      </c>
      <c r="O161" s="30" t="s">
        <v>942</v>
      </c>
    </row>
    <row r="162" spans="1:15" ht="15" customHeight="1" x14ac:dyDescent="0.2">
      <c r="A162" s="9">
        <v>157</v>
      </c>
      <c r="B162" s="27">
        <f t="shared" si="12"/>
        <v>766.97606253053254</v>
      </c>
      <c r="C162" s="27">
        <f t="shared" si="13"/>
        <v>3095.5153883732291</v>
      </c>
      <c r="D162" s="28">
        <v>3.12</v>
      </c>
      <c r="E162" s="28">
        <v>3.11</v>
      </c>
      <c r="F162" s="9" t="str">
        <f t="shared" si="14"/>
        <v>Within 10 mV (calibration line)</v>
      </c>
      <c r="G162" s="27">
        <f t="shared" si="15"/>
        <v>766.97606253053254</v>
      </c>
      <c r="H162" s="29">
        <v>0.86</v>
      </c>
      <c r="I162" s="29">
        <v>0.86</v>
      </c>
      <c r="J162" s="9" t="str">
        <f t="shared" si="16"/>
        <v>Identical</v>
      </c>
      <c r="K162" s="9" t="s">
        <v>539</v>
      </c>
      <c r="L162" s="9" t="s">
        <v>539</v>
      </c>
      <c r="M162" s="9" t="str">
        <f t="shared" si="17"/>
        <v>Same</v>
      </c>
      <c r="N162" s="30" t="s">
        <v>943</v>
      </c>
      <c r="O162" s="30" t="s">
        <v>943</v>
      </c>
    </row>
    <row r="163" spans="1:15" ht="15" customHeight="1" x14ac:dyDescent="0.2">
      <c r="A163" s="9">
        <v>158</v>
      </c>
      <c r="B163" s="27">
        <f t="shared" si="12"/>
        <v>771.86126038104555</v>
      </c>
      <c r="C163" s="27">
        <f t="shared" si="13"/>
        <v>3115.2320468978996</v>
      </c>
      <c r="D163" s="28">
        <v>3.14</v>
      </c>
      <c r="E163" s="28">
        <v>3.13</v>
      </c>
      <c r="F163" s="9" t="str">
        <f t="shared" si="14"/>
        <v>Within 10 mV (calibration line)</v>
      </c>
      <c r="G163" s="27">
        <f t="shared" si="15"/>
        <v>771.86126038104555</v>
      </c>
      <c r="H163" s="29">
        <v>0.86</v>
      </c>
      <c r="I163" s="29">
        <v>0.86</v>
      </c>
      <c r="J163" s="9" t="str">
        <f t="shared" si="16"/>
        <v>Identical</v>
      </c>
      <c r="K163" s="9" t="s">
        <v>539</v>
      </c>
      <c r="L163" s="9" t="s">
        <v>539</v>
      </c>
      <c r="M163" s="9" t="str">
        <f t="shared" si="17"/>
        <v>Same</v>
      </c>
      <c r="N163" s="30" t="s">
        <v>943</v>
      </c>
      <c r="O163" s="30" t="s">
        <v>943</v>
      </c>
    </row>
    <row r="164" spans="1:15" ht="15" customHeight="1" x14ac:dyDescent="0.2">
      <c r="A164" s="9">
        <v>159</v>
      </c>
      <c r="B164" s="27">
        <f t="shared" si="12"/>
        <v>776.74645823155845</v>
      </c>
      <c r="C164" s="27">
        <f t="shared" si="13"/>
        <v>3134.9487054225697</v>
      </c>
      <c r="D164" s="28">
        <v>3.16</v>
      </c>
      <c r="E164" s="28">
        <v>3.15</v>
      </c>
      <c r="F164" s="9" t="str">
        <f t="shared" si="14"/>
        <v>Within 10 mV (calibration line)</v>
      </c>
      <c r="G164" s="27">
        <f t="shared" si="15"/>
        <v>776.74645823155845</v>
      </c>
      <c r="H164" s="29">
        <v>0.87</v>
      </c>
      <c r="I164" s="29">
        <v>0.87</v>
      </c>
      <c r="J164" s="9" t="str">
        <f t="shared" si="16"/>
        <v>Identical</v>
      </c>
      <c r="K164" s="9" t="s">
        <v>539</v>
      </c>
      <c r="L164" s="9" t="s">
        <v>539</v>
      </c>
      <c r="M164" s="9" t="str">
        <f t="shared" si="17"/>
        <v>Same</v>
      </c>
      <c r="N164" s="30" t="s">
        <v>944</v>
      </c>
      <c r="O164" s="30" t="s">
        <v>944</v>
      </c>
    </row>
    <row r="165" spans="1:15" ht="15" customHeight="1" x14ac:dyDescent="0.2">
      <c r="A165" s="9">
        <v>160</v>
      </c>
      <c r="B165" s="27">
        <f t="shared" si="12"/>
        <v>781.63165608207146</v>
      </c>
      <c r="C165" s="27">
        <f t="shared" si="13"/>
        <v>3154.6653639472402</v>
      </c>
      <c r="D165" s="28">
        <v>3.18</v>
      </c>
      <c r="E165" s="28">
        <v>3.17</v>
      </c>
      <c r="F165" s="9" t="str">
        <f t="shared" si="14"/>
        <v>Within 10 mV (calibration line)</v>
      </c>
      <c r="G165" s="27">
        <f t="shared" si="15"/>
        <v>781.63165608207146</v>
      </c>
      <c r="H165" s="29">
        <v>0.87</v>
      </c>
      <c r="I165" s="29">
        <v>0.88</v>
      </c>
      <c r="J165" s="9" t="str">
        <f t="shared" si="16"/>
        <v>+0.01 A (nearest step)</v>
      </c>
      <c r="K165" s="9" t="s">
        <v>539</v>
      </c>
      <c r="L165" s="9" t="s">
        <v>539</v>
      </c>
      <c r="M165" s="9" t="str">
        <f t="shared" si="17"/>
        <v>Same</v>
      </c>
      <c r="N165" s="30" t="s">
        <v>944</v>
      </c>
      <c r="O165" s="30" t="s">
        <v>945</v>
      </c>
    </row>
    <row r="166" spans="1:15" ht="15" customHeight="1" x14ac:dyDescent="0.2">
      <c r="A166" s="9">
        <v>161</v>
      </c>
      <c r="B166" s="27">
        <f t="shared" si="12"/>
        <v>786.51685393258435</v>
      </c>
      <c r="C166" s="27">
        <f t="shared" si="13"/>
        <v>3174.3820224719102</v>
      </c>
      <c r="D166" s="28">
        <v>3.2</v>
      </c>
      <c r="E166" s="28">
        <v>3.19</v>
      </c>
      <c r="F166" s="9" t="str">
        <f t="shared" si="14"/>
        <v>Within 10 mV (calibration line)</v>
      </c>
      <c r="G166" s="27">
        <f t="shared" si="15"/>
        <v>786.51685393258435</v>
      </c>
      <c r="H166" s="29">
        <v>0.88</v>
      </c>
      <c r="I166" s="29">
        <v>0.88</v>
      </c>
      <c r="J166" s="9" t="str">
        <f t="shared" si="16"/>
        <v>Identical</v>
      </c>
      <c r="K166" s="9" t="s">
        <v>539</v>
      </c>
      <c r="L166" s="9" t="s">
        <v>539</v>
      </c>
      <c r="M166" s="9" t="str">
        <f t="shared" si="17"/>
        <v>Same</v>
      </c>
      <c r="N166" s="30" t="s">
        <v>945</v>
      </c>
      <c r="O166" s="30" t="s">
        <v>945</v>
      </c>
    </row>
    <row r="167" spans="1:15" ht="15" customHeight="1" x14ac:dyDescent="0.2">
      <c r="A167" s="9">
        <v>162</v>
      </c>
      <c r="B167" s="27">
        <f t="shared" si="12"/>
        <v>791.40205178309725</v>
      </c>
      <c r="C167" s="27">
        <f t="shared" si="13"/>
        <v>3194.0986809965802</v>
      </c>
      <c r="D167" s="28">
        <v>3.22</v>
      </c>
      <c r="E167" s="28">
        <v>3.21</v>
      </c>
      <c r="F167" s="9" t="str">
        <f t="shared" si="14"/>
        <v>Within 10 mV (calibration line)</v>
      </c>
      <c r="G167" s="27">
        <f t="shared" si="15"/>
        <v>791.40205178309725</v>
      </c>
      <c r="H167" s="29">
        <v>0.89</v>
      </c>
      <c r="I167" s="29">
        <v>0.89</v>
      </c>
      <c r="J167" s="9" t="str">
        <f t="shared" si="16"/>
        <v>Identical</v>
      </c>
      <c r="K167" s="9" t="s">
        <v>539</v>
      </c>
      <c r="L167" s="9" t="s">
        <v>539</v>
      </c>
      <c r="M167" s="9" t="str">
        <f t="shared" si="17"/>
        <v>Same</v>
      </c>
      <c r="N167" s="30" t="s">
        <v>946</v>
      </c>
      <c r="O167" s="30" t="s">
        <v>946</v>
      </c>
    </row>
    <row r="168" spans="1:15" ht="15" customHeight="1" x14ac:dyDescent="0.2">
      <c r="A168" s="9">
        <v>163</v>
      </c>
      <c r="B168" s="27">
        <f t="shared" si="12"/>
        <v>796.28724963361014</v>
      </c>
      <c r="C168" s="27">
        <f t="shared" si="13"/>
        <v>3213.8153395212503</v>
      </c>
      <c r="D168" s="28">
        <v>3.24</v>
      </c>
      <c r="E168" s="28">
        <v>3.23</v>
      </c>
      <c r="F168" s="9" t="str">
        <f t="shared" si="14"/>
        <v>Within 10 mV (calibration line)</v>
      </c>
      <c r="G168" s="27">
        <f t="shared" si="15"/>
        <v>796.28724963361014</v>
      </c>
      <c r="H168" s="29">
        <v>0.89</v>
      </c>
      <c r="I168" s="29">
        <v>0.89</v>
      </c>
      <c r="J168" s="9" t="str">
        <f t="shared" si="16"/>
        <v>Identical</v>
      </c>
      <c r="K168" s="9" t="s">
        <v>539</v>
      </c>
      <c r="L168" s="9" t="s">
        <v>539</v>
      </c>
      <c r="M168" s="9" t="str">
        <f t="shared" si="17"/>
        <v>Same</v>
      </c>
      <c r="N168" s="30" t="s">
        <v>946</v>
      </c>
      <c r="O168" s="30" t="s">
        <v>946</v>
      </c>
    </row>
    <row r="169" spans="1:15" ht="15" customHeight="1" x14ac:dyDescent="0.2">
      <c r="A169" s="9">
        <v>164</v>
      </c>
      <c r="B169" s="27">
        <f t="shared" si="12"/>
        <v>801.17244748412315</v>
      </c>
      <c r="C169" s="27">
        <f t="shared" si="13"/>
        <v>3233.5319980459208</v>
      </c>
      <c r="D169" s="28">
        <v>3.26</v>
      </c>
      <c r="E169" s="28">
        <v>3.25</v>
      </c>
      <c r="F169" s="9" t="str">
        <f t="shared" si="14"/>
        <v>Within 10 mV (calibration line)</v>
      </c>
      <c r="G169" s="27">
        <f t="shared" si="15"/>
        <v>801.17244748412315</v>
      </c>
      <c r="H169" s="29">
        <v>0.9</v>
      </c>
      <c r="I169" s="29">
        <v>0.9</v>
      </c>
      <c r="J169" s="9" t="str">
        <f t="shared" si="16"/>
        <v>Identical</v>
      </c>
      <c r="K169" s="9" t="s">
        <v>539</v>
      </c>
      <c r="L169" s="9" t="s">
        <v>539</v>
      </c>
      <c r="M169" s="9" t="str">
        <f t="shared" si="17"/>
        <v>Same</v>
      </c>
      <c r="N169" s="30" t="s">
        <v>947</v>
      </c>
      <c r="O169" s="30" t="s">
        <v>947</v>
      </c>
    </row>
    <row r="170" spans="1:15" ht="15" customHeight="1" x14ac:dyDescent="0.2">
      <c r="A170" s="9">
        <v>165</v>
      </c>
      <c r="B170" s="27">
        <f t="shared" si="12"/>
        <v>806.05764533463605</v>
      </c>
      <c r="C170" s="27">
        <f t="shared" si="13"/>
        <v>3253.2486565705908</v>
      </c>
      <c r="D170" s="28">
        <v>3.28</v>
      </c>
      <c r="E170" s="28">
        <v>3.27</v>
      </c>
      <c r="F170" s="9" t="str">
        <f t="shared" si="14"/>
        <v>Within 10 mV (calibration line)</v>
      </c>
      <c r="G170" s="27">
        <f t="shared" si="15"/>
        <v>806.05764533463605</v>
      </c>
      <c r="H170" s="29">
        <v>0.9</v>
      </c>
      <c r="I170" s="29">
        <v>0.9</v>
      </c>
      <c r="J170" s="9" t="str">
        <f t="shared" si="16"/>
        <v>Identical</v>
      </c>
      <c r="K170" s="9" t="s">
        <v>539</v>
      </c>
      <c r="L170" s="9" t="s">
        <v>539</v>
      </c>
      <c r="M170" s="9" t="str">
        <f t="shared" si="17"/>
        <v>Same</v>
      </c>
      <c r="N170" s="30" t="s">
        <v>947</v>
      </c>
      <c r="O170" s="30" t="s">
        <v>947</v>
      </c>
    </row>
    <row r="171" spans="1:15" ht="15" customHeight="1" x14ac:dyDescent="0.2">
      <c r="A171" s="9">
        <v>166</v>
      </c>
      <c r="B171" s="27">
        <f t="shared" si="12"/>
        <v>810.94284318514906</v>
      </c>
      <c r="C171" s="27">
        <f t="shared" si="13"/>
        <v>3272.9653150952613</v>
      </c>
      <c r="D171" s="28">
        <v>3.3</v>
      </c>
      <c r="E171" s="28">
        <v>3.29</v>
      </c>
      <c r="F171" s="9" t="str">
        <f t="shared" si="14"/>
        <v>Within 10 mV (calibration line)</v>
      </c>
      <c r="G171" s="27">
        <f t="shared" si="15"/>
        <v>810.94284318514906</v>
      </c>
      <c r="H171" s="29">
        <v>0.91</v>
      </c>
      <c r="I171" s="29">
        <v>0.91</v>
      </c>
      <c r="J171" s="9" t="str">
        <f t="shared" si="16"/>
        <v>Identical</v>
      </c>
      <c r="K171" s="9" t="s">
        <v>539</v>
      </c>
      <c r="L171" s="9" t="s">
        <v>539</v>
      </c>
      <c r="M171" s="9" t="str">
        <f t="shared" si="17"/>
        <v>Same</v>
      </c>
      <c r="N171" s="30" t="s">
        <v>948</v>
      </c>
      <c r="O171" s="30" t="s">
        <v>948</v>
      </c>
    </row>
    <row r="172" spans="1:15" ht="15" customHeight="1" x14ac:dyDescent="0.2">
      <c r="A172" s="9">
        <v>167</v>
      </c>
      <c r="B172" s="27">
        <f t="shared" si="12"/>
        <v>815.82804103566195</v>
      </c>
      <c r="C172" s="27">
        <f t="shared" si="13"/>
        <v>3292.6819736199313</v>
      </c>
      <c r="D172" s="28">
        <v>3.32</v>
      </c>
      <c r="E172" s="28">
        <v>3.31</v>
      </c>
      <c r="F172" s="9" t="str">
        <f t="shared" si="14"/>
        <v>Within 10 mV (calibration line)</v>
      </c>
      <c r="G172" s="27">
        <f t="shared" si="15"/>
        <v>815.82804103566195</v>
      </c>
      <c r="H172" s="29">
        <v>0.91</v>
      </c>
      <c r="I172" s="29">
        <v>0.91</v>
      </c>
      <c r="J172" s="9" t="str">
        <f t="shared" si="16"/>
        <v>Identical</v>
      </c>
      <c r="K172" s="9" t="s">
        <v>539</v>
      </c>
      <c r="L172" s="9" t="s">
        <v>539</v>
      </c>
      <c r="M172" s="9" t="str">
        <f t="shared" si="17"/>
        <v>Same</v>
      </c>
      <c r="N172" s="30" t="s">
        <v>948</v>
      </c>
      <c r="O172" s="30" t="s">
        <v>948</v>
      </c>
    </row>
    <row r="173" spans="1:15" ht="15" customHeight="1" x14ac:dyDescent="0.2">
      <c r="A173" s="9">
        <v>168</v>
      </c>
      <c r="B173" s="27">
        <f t="shared" si="12"/>
        <v>820.71323888617496</v>
      </c>
      <c r="C173" s="27">
        <f t="shared" si="13"/>
        <v>3312.3986321446018</v>
      </c>
      <c r="D173" s="28">
        <v>3.34</v>
      </c>
      <c r="E173" s="28">
        <v>3.33</v>
      </c>
      <c r="F173" s="9" t="str">
        <f t="shared" si="14"/>
        <v>Within 10 mV (calibration line)</v>
      </c>
      <c r="G173" s="27">
        <f t="shared" si="15"/>
        <v>820.71323888617496</v>
      </c>
      <c r="H173" s="29">
        <v>0.92</v>
      </c>
      <c r="I173" s="29">
        <v>0.92</v>
      </c>
      <c r="J173" s="9" t="str">
        <f t="shared" si="16"/>
        <v>Identical</v>
      </c>
      <c r="K173" s="9" t="s">
        <v>539</v>
      </c>
      <c r="L173" s="9" t="s">
        <v>539</v>
      </c>
      <c r="M173" s="9" t="str">
        <f t="shared" si="17"/>
        <v>Same</v>
      </c>
      <c r="N173" s="30" t="s">
        <v>949</v>
      </c>
      <c r="O173" s="30" t="s">
        <v>949</v>
      </c>
    </row>
    <row r="174" spans="1:15" ht="15" customHeight="1" x14ac:dyDescent="0.2">
      <c r="A174" s="9">
        <v>169</v>
      </c>
      <c r="B174" s="27">
        <f t="shared" si="12"/>
        <v>825.59843673668786</v>
      </c>
      <c r="C174" s="27">
        <f t="shared" si="13"/>
        <v>3332.1152906692719</v>
      </c>
      <c r="D174" s="28">
        <v>3.36</v>
      </c>
      <c r="E174" s="28">
        <v>3.35</v>
      </c>
      <c r="F174" s="9" t="str">
        <f t="shared" si="14"/>
        <v>Within 10 mV (calibration line)</v>
      </c>
      <c r="G174" s="27">
        <f t="shared" si="15"/>
        <v>825.59843673668786</v>
      </c>
      <c r="H174" s="29">
        <v>0.92</v>
      </c>
      <c r="I174" s="29">
        <v>0.93</v>
      </c>
      <c r="J174" s="9" t="str">
        <f t="shared" si="16"/>
        <v>+0.01 A (nearest step)</v>
      </c>
      <c r="K174" s="9" t="s">
        <v>539</v>
      </c>
      <c r="L174" s="9" t="s">
        <v>539</v>
      </c>
      <c r="M174" s="9" t="str">
        <f t="shared" si="17"/>
        <v>Same</v>
      </c>
      <c r="N174" s="30" t="s">
        <v>949</v>
      </c>
      <c r="O174" s="30" t="s">
        <v>950</v>
      </c>
    </row>
    <row r="175" spans="1:15" ht="15" customHeight="1" x14ac:dyDescent="0.2">
      <c r="A175" s="9">
        <v>170</v>
      </c>
      <c r="B175" s="27">
        <f t="shared" si="12"/>
        <v>830.48363458720087</v>
      </c>
      <c r="C175" s="27">
        <f t="shared" si="13"/>
        <v>3351.8319491939424</v>
      </c>
      <c r="D175" s="28">
        <v>3.38</v>
      </c>
      <c r="E175" s="28">
        <v>3.37</v>
      </c>
      <c r="F175" s="9" t="str">
        <f t="shared" si="14"/>
        <v>Within 10 mV (calibration line)</v>
      </c>
      <c r="G175" s="27">
        <f t="shared" si="15"/>
        <v>830.48363458720087</v>
      </c>
      <c r="H175" s="29">
        <v>0.93</v>
      </c>
      <c r="I175" s="29">
        <v>0.93</v>
      </c>
      <c r="J175" s="9" t="str">
        <f t="shared" si="16"/>
        <v>Identical</v>
      </c>
      <c r="K175" s="9" t="s">
        <v>539</v>
      </c>
      <c r="L175" s="9" t="s">
        <v>539</v>
      </c>
      <c r="M175" s="9" t="str">
        <f t="shared" si="17"/>
        <v>Same</v>
      </c>
      <c r="N175" s="30" t="s">
        <v>950</v>
      </c>
      <c r="O175" s="30" t="s">
        <v>950</v>
      </c>
    </row>
    <row r="176" spans="1:15" ht="15" customHeight="1" x14ac:dyDescent="0.2">
      <c r="A176" s="9">
        <v>171</v>
      </c>
      <c r="B176" s="27">
        <f t="shared" si="12"/>
        <v>835.36883243771376</v>
      </c>
      <c r="C176" s="27">
        <f t="shared" si="13"/>
        <v>3371.5486077186124</v>
      </c>
      <c r="D176" s="28">
        <v>3.4</v>
      </c>
      <c r="E176" s="28">
        <v>3.39</v>
      </c>
      <c r="F176" s="9" t="str">
        <f t="shared" si="14"/>
        <v>Within 10 mV (calibration line)</v>
      </c>
      <c r="G176" s="27">
        <f t="shared" si="15"/>
        <v>835.36883243771376</v>
      </c>
      <c r="H176" s="29">
        <v>0.94</v>
      </c>
      <c r="I176" s="29">
        <v>0.94</v>
      </c>
      <c r="J176" s="9" t="str">
        <f t="shared" si="16"/>
        <v>Identical</v>
      </c>
      <c r="K176" s="9" t="s">
        <v>539</v>
      </c>
      <c r="L176" s="9" t="s">
        <v>539</v>
      </c>
      <c r="M176" s="9" t="str">
        <f t="shared" si="17"/>
        <v>Same</v>
      </c>
      <c r="N176" s="30" t="s">
        <v>951</v>
      </c>
      <c r="O176" s="30" t="s">
        <v>951</v>
      </c>
    </row>
    <row r="177" spans="1:15" ht="15" customHeight="1" x14ac:dyDescent="0.2">
      <c r="A177" s="9">
        <v>172</v>
      </c>
      <c r="B177" s="27">
        <f t="shared" si="12"/>
        <v>840.25403028822677</v>
      </c>
      <c r="C177" s="27">
        <f t="shared" si="13"/>
        <v>3391.2652662432829</v>
      </c>
      <c r="D177" s="28">
        <v>3.42</v>
      </c>
      <c r="E177" s="28">
        <v>3.41</v>
      </c>
      <c r="F177" s="9" t="str">
        <f t="shared" si="14"/>
        <v>Within 10 mV (calibration line)</v>
      </c>
      <c r="G177" s="27">
        <f t="shared" si="15"/>
        <v>840.25403028822677</v>
      </c>
      <c r="H177" s="29">
        <v>0.94</v>
      </c>
      <c r="I177" s="29">
        <v>0.94</v>
      </c>
      <c r="J177" s="9" t="str">
        <f t="shared" si="16"/>
        <v>Identical</v>
      </c>
      <c r="K177" s="9" t="s">
        <v>539</v>
      </c>
      <c r="L177" s="9" t="s">
        <v>539</v>
      </c>
      <c r="M177" s="9" t="str">
        <f t="shared" si="17"/>
        <v>Same</v>
      </c>
      <c r="N177" s="30" t="s">
        <v>951</v>
      </c>
      <c r="O177" s="30" t="s">
        <v>951</v>
      </c>
    </row>
    <row r="178" spans="1:15" ht="15" customHeight="1" x14ac:dyDescent="0.2">
      <c r="A178" s="9">
        <v>173</v>
      </c>
      <c r="B178" s="27">
        <f t="shared" si="12"/>
        <v>845.13922813873967</v>
      </c>
      <c r="C178" s="27">
        <f t="shared" si="13"/>
        <v>3410.9819247679529</v>
      </c>
      <c r="D178" s="28">
        <v>3.44</v>
      </c>
      <c r="E178" s="28">
        <v>3.43</v>
      </c>
      <c r="F178" s="9" t="str">
        <f t="shared" si="14"/>
        <v>Within 10 mV (calibration line)</v>
      </c>
      <c r="G178" s="27">
        <f t="shared" si="15"/>
        <v>845.13922813873967</v>
      </c>
      <c r="H178" s="29">
        <v>0.95</v>
      </c>
      <c r="I178" s="29">
        <v>0.95</v>
      </c>
      <c r="J178" s="9" t="str">
        <f t="shared" si="16"/>
        <v>Identical</v>
      </c>
      <c r="K178" s="9" t="s">
        <v>539</v>
      </c>
      <c r="L178" s="9" t="s">
        <v>539</v>
      </c>
      <c r="M178" s="9" t="str">
        <f t="shared" si="17"/>
        <v>Same</v>
      </c>
      <c r="N178" s="30" t="s">
        <v>952</v>
      </c>
      <c r="O178" s="30" t="s">
        <v>952</v>
      </c>
    </row>
    <row r="179" spans="1:15" ht="15" customHeight="1" x14ac:dyDescent="0.2">
      <c r="A179" s="9">
        <v>174</v>
      </c>
      <c r="B179" s="27">
        <f t="shared" si="12"/>
        <v>850.02442598925268</v>
      </c>
      <c r="C179" s="27">
        <f t="shared" si="13"/>
        <v>3430.6985832926234</v>
      </c>
      <c r="D179" s="28">
        <v>3.46</v>
      </c>
      <c r="E179" s="28">
        <v>3.45</v>
      </c>
      <c r="F179" s="9" t="str">
        <f t="shared" si="14"/>
        <v>Within 10 mV (calibration line)</v>
      </c>
      <c r="G179" s="27">
        <f t="shared" si="15"/>
        <v>850.02442598925268</v>
      </c>
      <c r="H179" s="29">
        <v>0.95</v>
      </c>
      <c r="I179" s="29">
        <v>0.95</v>
      </c>
      <c r="J179" s="9" t="str">
        <f t="shared" si="16"/>
        <v>Identical</v>
      </c>
      <c r="K179" s="9" t="s">
        <v>539</v>
      </c>
      <c r="L179" s="9" t="s">
        <v>539</v>
      </c>
      <c r="M179" s="9" t="str">
        <f t="shared" si="17"/>
        <v>Same</v>
      </c>
      <c r="N179" s="30" t="s">
        <v>952</v>
      </c>
      <c r="O179" s="30" t="s">
        <v>952</v>
      </c>
    </row>
    <row r="180" spans="1:15" ht="15" customHeight="1" x14ac:dyDescent="0.2">
      <c r="A180" s="9">
        <v>175</v>
      </c>
      <c r="B180" s="27">
        <f t="shared" si="12"/>
        <v>854.90962383976557</v>
      </c>
      <c r="C180" s="27">
        <f t="shared" si="13"/>
        <v>3450.4152418172935</v>
      </c>
      <c r="D180" s="28">
        <v>3.48</v>
      </c>
      <c r="E180" s="28">
        <v>3.47</v>
      </c>
      <c r="F180" s="9" t="str">
        <f t="shared" si="14"/>
        <v>Within 10 mV (calibration line)</v>
      </c>
      <c r="G180" s="27">
        <f t="shared" si="15"/>
        <v>854.90962383976557</v>
      </c>
      <c r="H180" s="29">
        <v>0.96</v>
      </c>
      <c r="I180" s="29">
        <v>0.96</v>
      </c>
      <c r="J180" s="9" t="str">
        <f t="shared" si="16"/>
        <v>Identical</v>
      </c>
      <c r="K180" s="9" t="s">
        <v>539</v>
      </c>
      <c r="L180" s="9" t="s">
        <v>539</v>
      </c>
      <c r="M180" s="9" t="str">
        <f t="shared" si="17"/>
        <v>Same</v>
      </c>
      <c r="N180" s="30" t="s">
        <v>953</v>
      </c>
      <c r="O180" s="30" t="s">
        <v>953</v>
      </c>
    </row>
    <row r="181" spans="1:15" ht="15" customHeight="1" x14ac:dyDescent="0.2">
      <c r="A181" s="9">
        <v>176</v>
      </c>
      <c r="B181" s="27">
        <f t="shared" si="12"/>
        <v>859.79482169027858</v>
      </c>
      <c r="C181" s="27">
        <f t="shared" si="13"/>
        <v>3470.131900341964</v>
      </c>
      <c r="D181" s="28">
        <v>3.5</v>
      </c>
      <c r="E181" s="28">
        <v>3.49</v>
      </c>
      <c r="F181" s="9" t="str">
        <f t="shared" si="14"/>
        <v>Within 10 mV (calibration line)</v>
      </c>
      <c r="G181" s="27">
        <f t="shared" si="15"/>
        <v>859.79482169027858</v>
      </c>
      <c r="H181" s="29">
        <v>0.96</v>
      </c>
      <c r="I181" s="29">
        <v>0.96</v>
      </c>
      <c r="J181" s="9" t="str">
        <f t="shared" si="16"/>
        <v>Identical</v>
      </c>
      <c r="K181" s="9" t="s">
        <v>539</v>
      </c>
      <c r="L181" s="9" t="s">
        <v>539</v>
      </c>
      <c r="M181" s="9" t="str">
        <f t="shared" si="17"/>
        <v>Same</v>
      </c>
      <c r="N181" s="30" t="s">
        <v>953</v>
      </c>
      <c r="O181" s="30" t="s">
        <v>953</v>
      </c>
    </row>
    <row r="182" spans="1:15" ht="15" customHeight="1" x14ac:dyDescent="0.2">
      <c r="A182" s="9">
        <v>177</v>
      </c>
      <c r="B182" s="27">
        <f t="shared" si="12"/>
        <v>864.68001954079148</v>
      </c>
      <c r="C182" s="27">
        <f t="shared" si="13"/>
        <v>3489.848558866634</v>
      </c>
      <c r="D182" s="28">
        <v>3.51</v>
      </c>
      <c r="E182" s="28">
        <v>3.51</v>
      </c>
      <c r="F182" s="9" t="str">
        <f t="shared" si="14"/>
        <v>Identical</v>
      </c>
      <c r="G182" s="27">
        <f t="shared" si="15"/>
        <v>864.68001954079148</v>
      </c>
      <c r="H182" s="29">
        <v>0.97</v>
      </c>
      <c r="I182" s="29">
        <v>0.97</v>
      </c>
      <c r="J182" s="9" t="str">
        <f t="shared" si="16"/>
        <v>Identical</v>
      </c>
      <c r="K182" s="9" t="s">
        <v>539</v>
      </c>
      <c r="L182" s="9" t="s">
        <v>539</v>
      </c>
      <c r="M182" s="9" t="str">
        <f t="shared" si="17"/>
        <v>Same</v>
      </c>
      <c r="N182" s="30" t="s">
        <v>954</v>
      </c>
      <c r="O182" s="30" t="s">
        <v>954</v>
      </c>
    </row>
    <row r="183" spans="1:15" ht="15" customHeight="1" x14ac:dyDescent="0.2">
      <c r="A183" s="9">
        <v>178</v>
      </c>
      <c r="B183" s="27">
        <f t="shared" si="12"/>
        <v>869.56521739130449</v>
      </c>
      <c r="C183" s="27">
        <f t="shared" si="13"/>
        <v>3509.5652173913045</v>
      </c>
      <c r="D183" s="28">
        <v>3.53</v>
      </c>
      <c r="E183" s="28">
        <v>3.53</v>
      </c>
      <c r="F183" s="9" t="str">
        <f t="shared" si="14"/>
        <v>Identical</v>
      </c>
      <c r="G183" s="27">
        <f t="shared" si="15"/>
        <v>869.56521739130449</v>
      </c>
      <c r="H183" s="29">
        <v>0.97</v>
      </c>
      <c r="I183" s="29">
        <v>0.97</v>
      </c>
      <c r="J183" s="9" t="str">
        <f t="shared" si="16"/>
        <v>Identical</v>
      </c>
      <c r="K183" s="9" t="s">
        <v>539</v>
      </c>
      <c r="L183" s="9" t="s">
        <v>539</v>
      </c>
      <c r="M183" s="9" t="str">
        <f t="shared" si="17"/>
        <v>Same</v>
      </c>
      <c r="N183" s="30" t="s">
        <v>954</v>
      </c>
      <c r="O183" s="30" t="s">
        <v>954</v>
      </c>
    </row>
    <row r="184" spans="1:15" ht="15" customHeight="1" x14ac:dyDescent="0.2">
      <c r="A184" s="9">
        <v>179</v>
      </c>
      <c r="B184" s="27">
        <f t="shared" si="12"/>
        <v>874.45041524181738</v>
      </c>
      <c r="C184" s="27">
        <f t="shared" si="13"/>
        <v>3529.2818759159745</v>
      </c>
      <c r="D184" s="28">
        <v>3.55</v>
      </c>
      <c r="E184" s="28">
        <v>3.55</v>
      </c>
      <c r="F184" s="9" t="str">
        <f t="shared" si="14"/>
        <v>Identical</v>
      </c>
      <c r="G184" s="27">
        <f t="shared" si="15"/>
        <v>874.45041524181738</v>
      </c>
      <c r="H184" s="29">
        <v>0.98</v>
      </c>
      <c r="I184" s="29">
        <v>0.98</v>
      </c>
      <c r="J184" s="9" t="str">
        <f t="shared" si="16"/>
        <v>Identical</v>
      </c>
      <c r="K184" s="9" t="s">
        <v>539</v>
      </c>
      <c r="L184" s="9" t="s">
        <v>539</v>
      </c>
      <c r="M184" s="9" t="str">
        <f t="shared" si="17"/>
        <v>Same</v>
      </c>
      <c r="N184" s="30" t="s">
        <v>955</v>
      </c>
      <c r="O184" s="30" t="s">
        <v>955</v>
      </c>
    </row>
    <row r="185" spans="1:15" ht="15" customHeight="1" x14ac:dyDescent="0.2">
      <c r="A185" s="9">
        <v>180</v>
      </c>
      <c r="B185" s="27">
        <f t="shared" si="12"/>
        <v>879.33561309233028</v>
      </c>
      <c r="C185" s="27">
        <f t="shared" si="13"/>
        <v>3548.9985344406446</v>
      </c>
      <c r="D185" s="28">
        <v>3.57</v>
      </c>
      <c r="E185" s="28">
        <v>3.57</v>
      </c>
      <c r="F185" s="9" t="str">
        <f t="shared" si="14"/>
        <v>Identical</v>
      </c>
      <c r="G185" s="27">
        <f t="shared" si="15"/>
        <v>879.33561309233028</v>
      </c>
      <c r="H185" s="29">
        <v>0.98</v>
      </c>
      <c r="I185" s="29">
        <v>0.98</v>
      </c>
      <c r="J185" s="9" t="str">
        <f t="shared" si="16"/>
        <v>Identical</v>
      </c>
      <c r="K185" s="9" t="s">
        <v>539</v>
      </c>
      <c r="L185" s="9" t="s">
        <v>539</v>
      </c>
      <c r="M185" s="9" t="str">
        <f t="shared" si="17"/>
        <v>Same</v>
      </c>
      <c r="N185" s="30" t="s">
        <v>955</v>
      </c>
      <c r="O185" s="30" t="s">
        <v>955</v>
      </c>
    </row>
    <row r="186" spans="1:15" ht="15" customHeight="1" x14ac:dyDescent="0.2">
      <c r="A186" s="9">
        <v>181</v>
      </c>
      <c r="B186" s="27">
        <f t="shared" si="12"/>
        <v>884.22081094284317</v>
      </c>
      <c r="C186" s="27">
        <f t="shared" si="13"/>
        <v>3568.7151929653146</v>
      </c>
      <c r="D186" s="28">
        <v>3.59</v>
      </c>
      <c r="E186" s="28">
        <v>3.58</v>
      </c>
      <c r="F186" s="9" t="str">
        <f t="shared" si="14"/>
        <v>Within 10 mV (calibration line)</v>
      </c>
      <c r="G186" s="27">
        <f t="shared" si="15"/>
        <v>884.22081094284317</v>
      </c>
      <c r="H186" s="29">
        <v>0.99</v>
      </c>
      <c r="I186" s="29">
        <v>0.99</v>
      </c>
      <c r="J186" s="9" t="str">
        <f t="shared" si="16"/>
        <v>Identical</v>
      </c>
      <c r="K186" s="9" t="s">
        <v>539</v>
      </c>
      <c r="L186" s="9" t="s">
        <v>539</v>
      </c>
      <c r="M186" s="9" t="str">
        <f t="shared" si="17"/>
        <v>Same</v>
      </c>
      <c r="N186" s="30" t="s">
        <v>956</v>
      </c>
      <c r="O186" s="30" t="s">
        <v>956</v>
      </c>
    </row>
    <row r="187" spans="1:15" ht="15" customHeight="1" x14ac:dyDescent="0.2">
      <c r="A187" s="9">
        <v>182</v>
      </c>
      <c r="B187" s="27">
        <f t="shared" si="12"/>
        <v>889.10600879335618</v>
      </c>
      <c r="C187" s="27">
        <f t="shared" si="13"/>
        <v>3588.4318514899851</v>
      </c>
      <c r="D187" s="28">
        <v>3.61</v>
      </c>
      <c r="E187" s="28">
        <v>3.6</v>
      </c>
      <c r="F187" s="9" t="str">
        <f t="shared" si="14"/>
        <v>Within 10 mV (calibration line)</v>
      </c>
      <c r="G187" s="27">
        <f t="shared" si="15"/>
        <v>889.10600879335618</v>
      </c>
      <c r="H187" s="29">
        <v>1</v>
      </c>
      <c r="I187" s="29">
        <v>1</v>
      </c>
      <c r="J187" s="9" t="str">
        <f t="shared" si="16"/>
        <v>Identical</v>
      </c>
      <c r="K187" s="9" t="s">
        <v>539</v>
      </c>
      <c r="L187" s="9" t="s">
        <v>539</v>
      </c>
      <c r="M187" s="9" t="str">
        <f t="shared" si="17"/>
        <v>Same</v>
      </c>
      <c r="N187" s="30" t="s">
        <v>957</v>
      </c>
      <c r="O187" s="30" t="s">
        <v>957</v>
      </c>
    </row>
    <row r="188" spans="1:15" ht="15" customHeight="1" x14ac:dyDescent="0.2">
      <c r="A188" s="9">
        <v>183</v>
      </c>
      <c r="B188" s="27">
        <f t="shared" si="12"/>
        <v>893.99120664386908</v>
      </c>
      <c r="C188" s="27">
        <f t="shared" si="13"/>
        <v>3608.1485100146551</v>
      </c>
      <c r="D188" s="28">
        <v>3.63</v>
      </c>
      <c r="E188" s="28">
        <v>3.62</v>
      </c>
      <c r="F188" s="9" t="str">
        <f t="shared" si="14"/>
        <v>Within 10 mV (calibration line)</v>
      </c>
      <c r="G188" s="27">
        <f t="shared" si="15"/>
        <v>893.99120664386908</v>
      </c>
      <c r="H188" s="29">
        <v>1</v>
      </c>
      <c r="I188" s="29">
        <v>1</v>
      </c>
      <c r="J188" s="9" t="str">
        <f t="shared" si="16"/>
        <v>Identical</v>
      </c>
      <c r="K188" s="9" t="s">
        <v>539</v>
      </c>
      <c r="L188" s="9" t="s">
        <v>539</v>
      </c>
      <c r="M188" s="9" t="str">
        <f t="shared" si="17"/>
        <v>Same</v>
      </c>
      <c r="N188" s="30" t="s">
        <v>957</v>
      </c>
      <c r="O188" s="30" t="s">
        <v>957</v>
      </c>
    </row>
    <row r="189" spans="1:15" ht="15" customHeight="1" x14ac:dyDescent="0.2">
      <c r="A189" s="9">
        <v>184</v>
      </c>
      <c r="B189" s="27">
        <f t="shared" si="12"/>
        <v>898.87640449438209</v>
      </c>
      <c r="C189" s="27">
        <f t="shared" si="13"/>
        <v>3627.8651685393256</v>
      </c>
      <c r="D189" s="28">
        <v>3.65</v>
      </c>
      <c r="E189" s="28">
        <v>3.64</v>
      </c>
      <c r="F189" s="9" t="str">
        <f t="shared" si="14"/>
        <v>Within 10 mV (calibration line)</v>
      </c>
      <c r="G189" s="27">
        <f t="shared" si="15"/>
        <v>898.87640449438209</v>
      </c>
      <c r="H189" s="29">
        <v>1.01</v>
      </c>
      <c r="I189" s="29">
        <v>1.01</v>
      </c>
      <c r="J189" s="9" t="str">
        <f t="shared" si="16"/>
        <v>Identical</v>
      </c>
      <c r="K189" s="9" t="s">
        <v>539</v>
      </c>
      <c r="L189" s="9" t="s">
        <v>539</v>
      </c>
      <c r="M189" s="9" t="str">
        <f t="shared" si="17"/>
        <v>Same</v>
      </c>
      <c r="N189" s="30" t="s">
        <v>958</v>
      </c>
      <c r="O189" s="30" t="s">
        <v>958</v>
      </c>
    </row>
    <row r="190" spans="1:15" ht="15" customHeight="1" x14ac:dyDescent="0.2">
      <c r="A190" s="9">
        <v>185</v>
      </c>
      <c r="B190" s="27">
        <f t="shared" si="12"/>
        <v>903.76160234489498</v>
      </c>
      <c r="C190" s="27">
        <f t="shared" si="13"/>
        <v>3647.5818270639957</v>
      </c>
      <c r="D190" s="28">
        <v>3.67</v>
      </c>
      <c r="E190" s="28">
        <v>3.66</v>
      </c>
      <c r="F190" s="9" t="str">
        <f t="shared" si="14"/>
        <v>Within 10 mV (calibration line)</v>
      </c>
      <c r="G190" s="27">
        <f t="shared" si="15"/>
        <v>903.76160234489498</v>
      </c>
      <c r="H190" s="29">
        <v>1.01</v>
      </c>
      <c r="I190" s="29">
        <v>1.01</v>
      </c>
      <c r="J190" s="9" t="str">
        <f t="shared" si="16"/>
        <v>Identical</v>
      </c>
      <c r="K190" s="9" t="s">
        <v>539</v>
      </c>
      <c r="L190" s="9" t="s">
        <v>539</v>
      </c>
      <c r="M190" s="9" t="str">
        <f t="shared" si="17"/>
        <v>Same</v>
      </c>
      <c r="N190" s="30" t="s">
        <v>958</v>
      </c>
      <c r="O190" s="30" t="s">
        <v>958</v>
      </c>
    </row>
    <row r="191" spans="1:15" ht="15" customHeight="1" x14ac:dyDescent="0.2">
      <c r="A191" s="9">
        <v>186</v>
      </c>
      <c r="B191" s="27">
        <f t="shared" si="12"/>
        <v>908.64680019540799</v>
      </c>
      <c r="C191" s="27">
        <f t="shared" si="13"/>
        <v>3667.2984855886662</v>
      </c>
      <c r="D191" s="28">
        <v>3.69</v>
      </c>
      <c r="E191" s="28">
        <v>3.68</v>
      </c>
      <c r="F191" s="9" t="str">
        <f t="shared" si="14"/>
        <v>Within 10 mV (calibration line)</v>
      </c>
      <c r="G191" s="27">
        <f t="shared" si="15"/>
        <v>908.64680019540799</v>
      </c>
      <c r="H191" s="29">
        <v>1.02</v>
      </c>
      <c r="I191" s="29">
        <v>1.02</v>
      </c>
      <c r="J191" s="9" t="str">
        <f t="shared" si="16"/>
        <v>Identical</v>
      </c>
      <c r="K191" s="9" t="s">
        <v>539</v>
      </c>
      <c r="L191" s="9" t="s">
        <v>539</v>
      </c>
      <c r="M191" s="9" t="str">
        <f t="shared" si="17"/>
        <v>Same</v>
      </c>
      <c r="N191" s="30" t="s">
        <v>959</v>
      </c>
      <c r="O191" s="30" t="s">
        <v>959</v>
      </c>
    </row>
    <row r="192" spans="1:15" ht="15" customHeight="1" x14ac:dyDescent="0.2">
      <c r="A192" s="9">
        <v>187</v>
      </c>
      <c r="B192" s="27">
        <f t="shared" si="12"/>
        <v>913.53199804592089</v>
      </c>
      <c r="C192" s="27">
        <f t="shared" si="13"/>
        <v>3687.0151441133362</v>
      </c>
      <c r="D192" s="28">
        <v>3.71</v>
      </c>
      <c r="E192" s="28">
        <v>3.7</v>
      </c>
      <c r="F192" s="9" t="str">
        <f t="shared" si="14"/>
        <v>Within 10 mV (calibration line)</v>
      </c>
      <c r="G192" s="27">
        <f t="shared" si="15"/>
        <v>913.53199804592089</v>
      </c>
      <c r="H192" s="29">
        <v>1.02</v>
      </c>
      <c r="I192" s="29">
        <v>1.02</v>
      </c>
      <c r="J192" s="9" t="str">
        <f t="shared" si="16"/>
        <v>Identical</v>
      </c>
      <c r="K192" s="9" t="s">
        <v>539</v>
      </c>
      <c r="L192" s="9" t="s">
        <v>539</v>
      </c>
      <c r="M192" s="9" t="str">
        <f t="shared" si="17"/>
        <v>Same</v>
      </c>
      <c r="N192" s="30" t="s">
        <v>959</v>
      </c>
      <c r="O192" s="30" t="s">
        <v>959</v>
      </c>
    </row>
    <row r="193" spans="1:15" ht="15" customHeight="1" x14ac:dyDescent="0.2">
      <c r="A193" s="9">
        <v>188</v>
      </c>
      <c r="B193" s="27">
        <f t="shared" si="12"/>
        <v>918.4171958964339</v>
      </c>
      <c r="C193" s="27">
        <f t="shared" si="13"/>
        <v>3706.7318026380067</v>
      </c>
      <c r="D193" s="28">
        <v>3.73</v>
      </c>
      <c r="E193" s="28">
        <v>3.72</v>
      </c>
      <c r="F193" s="9" t="str">
        <f t="shared" si="14"/>
        <v>Within 10 mV (calibration line)</v>
      </c>
      <c r="G193" s="27">
        <f t="shared" si="15"/>
        <v>918.4171958964339</v>
      </c>
      <c r="H193" s="29">
        <v>1.03</v>
      </c>
      <c r="I193" s="29">
        <v>1.03</v>
      </c>
      <c r="J193" s="9" t="str">
        <f t="shared" si="16"/>
        <v>Identical</v>
      </c>
      <c r="K193" s="9" t="s">
        <v>539</v>
      </c>
      <c r="L193" s="9" t="s">
        <v>539</v>
      </c>
      <c r="M193" s="9" t="str">
        <f t="shared" si="17"/>
        <v>Same</v>
      </c>
      <c r="N193" s="30" t="s">
        <v>960</v>
      </c>
      <c r="O193" s="30" t="s">
        <v>960</v>
      </c>
    </row>
    <row r="194" spans="1:15" ht="15" customHeight="1" x14ac:dyDescent="0.2">
      <c r="A194" s="9">
        <v>189</v>
      </c>
      <c r="B194" s="27">
        <f t="shared" si="12"/>
        <v>923.30239374694679</v>
      </c>
      <c r="C194" s="27">
        <f t="shared" si="13"/>
        <v>3726.4484611626767</v>
      </c>
      <c r="D194" s="28">
        <v>3.75</v>
      </c>
      <c r="E194" s="28">
        <v>3.74</v>
      </c>
      <c r="F194" s="9" t="str">
        <f t="shared" si="14"/>
        <v>Within 10 mV (calibration line)</v>
      </c>
      <c r="G194" s="27">
        <f t="shared" si="15"/>
        <v>923.30239374694679</v>
      </c>
      <c r="H194" s="29">
        <v>1.03</v>
      </c>
      <c r="I194" s="29">
        <v>1.03</v>
      </c>
      <c r="J194" s="9" t="str">
        <f t="shared" si="16"/>
        <v>Identical</v>
      </c>
      <c r="K194" s="9" t="s">
        <v>539</v>
      </c>
      <c r="L194" s="9" t="s">
        <v>539</v>
      </c>
      <c r="M194" s="9" t="str">
        <f t="shared" si="17"/>
        <v>Same</v>
      </c>
      <c r="N194" s="30" t="s">
        <v>960</v>
      </c>
      <c r="O194" s="30" t="s">
        <v>960</v>
      </c>
    </row>
    <row r="195" spans="1:15" ht="15" customHeight="1" x14ac:dyDescent="0.2">
      <c r="A195" s="9">
        <v>190</v>
      </c>
      <c r="B195" s="27">
        <f t="shared" si="12"/>
        <v>928.1875915974598</v>
      </c>
      <c r="C195" s="27">
        <f t="shared" si="13"/>
        <v>3746.1651196873472</v>
      </c>
      <c r="D195" s="28">
        <v>3.77</v>
      </c>
      <c r="E195" s="28">
        <v>3.76</v>
      </c>
      <c r="F195" s="9" t="str">
        <f t="shared" si="14"/>
        <v>Within 10 mV (calibration line)</v>
      </c>
      <c r="G195" s="27">
        <f t="shared" si="15"/>
        <v>928.1875915974598</v>
      </c>
      <c r="H195" s="29">
        <v>1.04</v>
      </c>
      <c r="I195" s="29">
        <v>1.04</v>
      </c>
      <c r="J195" s="9" t="str">
        <f t="shared" si="16"/>
        <v>Identical</v>
      </c>
      <c r="K195" s="9" t="s">
        <v>539</v>
      </c>
      <c r="L195" s="9" t="s">
        <v>539</v>
      </c>
      <c r="M195" s="9" t="str">
        <f t="shared" si="17"/>
        <v>Same</v>
      </c>
      <c r="N195" s="30" t="s">
        <v>961</v>
      </c>
      <c r="O195" s="30" t="s">
        <v>961</v>
      </c>
    </row>
    <row r="196" spans="1:15" ht="15" customHeight="1" x14ac:dyDescent="0.2">
      <c r="A196" s="9">
        <v>191</v>
      </c>
      <c r="B196" s="27">
        <f t="shared" si="12"/>
        <v>933.0727894479727</v>
      </c>
      <c r="C196" s="27">
        <f t="shared" si="13"/>
        <v>3765.8817782120173</v>
      </c>
      <c r="D196" s="28">
        <v>3.79</v>
      </c>
      <c r="E196" s="28">
        <v>3.78</v>
      </c>
      <c r="F196" s="9" t="str">
        <f t="shared" si="14"/>
        <v>Within 10 mV (calibration line)</v>
      </c>
      <c r="G196" s="27">
        <f t="shared" si="15"/>
        <v>933.0727894479727</v>
      </c>
      <c r="H196" s="29">
        <v>1.04</v>
      </c>
      <c r="I196" s="29">
        <v>1.04</v>
      </c>
      <c r="J196" s="9" t="str">
        <f t="shared" si="16"/>
        <v>Identical</v>
      </c>
      <c r="K196" s="9" t="s">
        <v>539</v>
      </c>
      <c r="L196" s="9" t="s">
        <v>539</v>
      </c>
      <c r="M196" s="9" t="str">
        <f t="shared" si="17"/>
        <v>Same</v>
      </c>
      <c r="N196" s="30" t="s">
        <v>961</v>
      </c>
      <c r="O196" s="30" t="s">
        <v>961</v>
      </c>
    </row>
    <row r="197" spans="1:15" ht="15" customHeight="1" x14ac:dyDescent="0.2">
      <c r="A197" s="9">
        <v>192</v>
      </c>
      <c r="B197" s="27">
        <f t="shared" ref="B197:B260" si="18">A197/$C$3*1000</f>
        <v>937.9579872984857</v>
      </c>
      <c r="C197" s="27">
        <f t="shared" ref="C197:C260" si="19">B197*$F$3</f>
        <v>3785.5984367366877</v>
      </c>
      <c r="D197" s="28">
        <v>3.81</v>
      </c>
      <c r="E197" s="28">
        <v>3.8</v>
      </c>
      <c r="F197" s="9" t="str">
        <f t="shared" ref="F197:F260" si="20">IF(D197=E197,"Identical",IF(E197="OL","ADC full scale: now OL",IF(ABS(E197-D197)&lt;0.0105,"Within 10 mV (calibration line)",IF(AND(C197&lt;4200,ABS(E197-D197)&lt;0.0205),"-20 mV (end of old +30 mV band)",IF(C197&lt;830,"Low range fixed (F-02)","Different")))))</f>
        <v>Within 10 mV (calibration line)</v>
      </c>
      <c r="G197" s="27">
        <f t="shared" ref="G197:G260" si="21">B197</f>
        <v>937.9579872984857</v>
      </c>
      <c r="H197" s="29">
        <v>1.05</v>
      </c>
      <c r="I197" s="29">
        <v>1.05</v>
      </c>
      <c r="J197" s="9" t="str">
        <f t="shared" ref="J197:J260" si="22">IF(H197=I197,"Identical",IF(I197="OL","Above 5.00 A: now OL",IF(H197="ERR (999.23)","Gap bug fixed",IF(ABS(I197-H197-0.01)&lt;0.0001,"+0.01 A (nearest step)","Different"))))</f>
        <v>Identical</v>
      </c>
      <c r="K197" s="9" t="s">
        <v>539</v>
      </c>
      <c r="L197" s="9" t="s">
        <v>539</v>
      </c>
      <c r="M197" s="9" t="str">
        <f t="shared" ref="M197:M260" si="23">IF(K197=L197,"Same","Different")</f>
        <v>Same</v>
      </c>
      <c r="N197" s="30" t="s">
        <v>962</v>
      </c>
      <c r="O197" s="30" t="s">
        <v>962</v>
      </c>
    </row>
    <row r="198" spans="1:15" ht="15" customHeight="1" x14ac:dyDescent="0.2">
      <c r="A198" s="9">
        <v>193</v>
      </c>
      <c r="B198" s="27">
        <f t="shared" si="18"/>
        <v>942.8431851489986</v>
      </c>
      <c r="C198" s="27">
        <f t="shared" si="19"/>
        <v>3805.3150952613578</v>
      </c>
      <c r="D198" s="28">
        <v>3.83</v>
      </c>
      <c r="E198" s="28">
        <v>3.82</v>
      </c>
      <c r="F198" s="9" t="str">
        <f t="shared" si="20"/>
        <v>Within 10 mV (calibration line)</v>
      </c>
      <c r="G198" s="27">
        <f t="shared" si="21"/>
        <v>942.8431851489986</v>
      </c>
      <c r="H198" s="29">
        <v>1.05</v>
      </c>
      <c r="I198" s="29">
        <v>1.06</v>
      </c>
      <c r="J198" s="9" t="str">
        <f t="shared" si="22"/>
        <v>+0.01 A (nearest step)</v>
      </c>
      <c r="K198" s="9" t="s">
        <v>539</v>
      </c>
      <c r="L198" s="9" t="s">
        <v>539</v>
      </c>
      <c r="M198" s="9" t="str">
        <f t="shared" si="23"/>
        <v>Same</v>
      </c>
      <c r="N198" s="30" t="s">
        <v>962</v>
      </c>
      <c r="O198" s="30" t="s">
        <v>963</v>
      </c>
    </row>
    <row r="199" spans="1:15" ht="15" customHeight="1" x14ac:dyDescent="0.2">
      <c r="A199" s="9">
        <v>194</v>
      </c>
      <c r="B199" s="27">
        <f t="shared" si="18"/>
        <v>947.72838299951161</v>
      </c>
      <c r="C199" s="27">
        <f t="shared" si="19"/>
        <v>3825.0317537860283</v>
      </c>
      <c r="D199" s="28">
        <v>3.85</v>
      </c>
      <c r="E199" s="28">
        <v>3.84</v>
      </c>
      <c r="F199" s="9" t="str">
        <f t="shared" si="20"/>
        <v>Within 10 mV (calibration line)</v>
      </c>
      <c r="G199" s="27">
        <f t="shared" si="21"/>
        <v>947.72838299951161</v>
      </c>
      <c r="H199" s="29">
        <v>1.06</v>
      </c>
      <c r="I199" s="29">
        <v>1.06</v>
      </c>
      <c r="J199" s="9" t="str">
        <f t="shared" si="22"/>
        <v>Identical</v>
      </c>
      <c r="K199" s="9" t="s">
        <v>539</v>
      </c>
      <c r="L199" s="9" t="s">
        <v>539</v>
      </c>
      <c r="M199" s="9" t="str">
        <f t="shared" si="23"/>
        <v>Same</v>
      </c>
      <c r="N199" s="30" t="s">
        <v>963</v>
      </c>
      <c r="O199" s="30" t="s">
        <v>963</v>
      </c>
    </row>
    <row r="200" spans="1:15" ht="15" customHeight="1" x14ac:dyDescent="0.2">
      <c r="A200" s="9">
        <v>195</v>
      </c>
      <c r="B200" s="27">
        <f t="shared" si="18"/>
        <v>952.6135808500245</v>
      </c>
      <c r="C200" s="27">
        <f t="shared" si="19"/>
        <v>3844.7484123106983</v>
      </c>
      <c r="D200" s="28">
        <v>3.87</v>
      </c>
      <c r="E200" s="28">
        <v>3.86</v>
      </c>
      <c r="F200" s="9" t="str">
        <f t="shared" si="20"/>
        <v>Within 10 mV (calibration line)</v>
      </c>
      <c r="G200" s="27">
        <f t="shared" si="21"/>
        <v>952.6135808500245</v>
      </c>
      <c r="H200" s="29">
        <v>1.07</v>
      </c>
      <c r="I200" s="29">
        <v>1.07</v>
      </c>
      <c r="J200" s="9" t="str">
        <f t="shared" si="22"/>
        <v>Identical</v>
      </c>
      <c r="K200" s="9" t="s">
        <v>539</v>
      </c>
      <c r="L200" s="9" t="s">
        <v>539</v>
      </c>
      <c r="M200" s="9" t="str">
        <f t="shared" si="23"/>
        <v>Same</v>
      </c>
      <c r="N200" s="30" t="s">
        <v>964</v>
      </c>
      <c r="O200" s="30" t="s">
        <v>964</v>
      </c>
    </row>
    <row r="201" spans="1:15" ht="15" customHeight="1" x14ac:dyDescent="0.2">
      <c r="A201" s="9">
        <v>196</v>
      </c>
      <c r="B201" s="27">
        <f t="shared" si="18"/>
        <v>957.4987787005374</v>
      </c>
      <c r="C201" s="27">
        <f t="shared" si="19"/>
        <v>3864.4650708353684</v>
      </c>
      <c r="D201" s="28">
        <v>3.89</v>
      </c>
      <c r="E201" s="28">
        <v>3.88</v>
      </c>
      <c r="F201" s="9" t="str">
        <f t="shared" si="20"/>
        <v>Within 10 mV (calibration line)</v>
      </c>
      <c r="G201" s="27">
        <f t="shared" si="21"/>
        <v>957.4987787005374</v>
      </c>
      <c r="H201" s="29">
        <v>1.07</v>
      </c>
      <c r="I201" s="29">
        <v>1.07</v>
      </c>
      <c r="J201" s="9" t="str">
        <f t="shared" si="22"/>
        <v>Identical</v>
      </c>
      <c r="K201" s="9" t="s">
        <v>539</v>
      </c>
      <c r="L201" s="9" t="s">
        <v>539</v>
      </c>
      <c r="M201" s="9" t="str">
        <f t="shared" si="23"/>
        <v>Same</v>
      </c>
      <c r="N201" s="30" t="s">
        <v>964</v>
      </c>
      <c r="O201" s="30" t="s">
        <v>964</v>
      </c>
    </row>
    <row r="202" spans="1:15" ht="15" customHeight="1" x14ac:dyDescent="0.2">
      <c r="A202" s="9">
        <v>197</v>
      </c>
      <c r="B202" s="27">
        <f t="shared" si="18"/>
        <v>962.3839765510503</v>
      </c>
      <c r="C202" s="27">
        <f t="shared" si="19"/>
        <v>3884.1817293600384</v>
      </c>
      <c r="D202" s="28">
        <v>3.91</v>
      </c>
      <c r="E202" s="28">
        <v>3.9</v>
      </c>
      <c r="F202" s="9" t="str">
        <f t="shared" si="20"/>
        <v>Within 10 mV (calibration line)</v>
      </c>
      <c r="G202" s="27">
        <f t="shared" si="21"/>
        <v>962.3839765510503</v>
      </c>
      <c r="H202" s="29">
        <v>1.08</v>
      </c>
      <c r="I202" s="29">
        <v>1.08</v>
      </c>
      <c r="J202" s="9" t="str">
        <f t="shared" si="22"/>
        <v>Identical</v>
      </c>
      <c r="K202" s="9" t="s">
        <v>539</v>
      </c>
      <c r="L202" s="9" t="s">
        <v>539</v>
      </c>
      <c r="M202" s="9" t="str">
        <f t="shared" si="23"/>
        <v>Same</v>
      </c>
      <c r="N202" s="30" t="s">
        <v>965</v>
      </c>
      <c r="O202" s="30" t="s">
        <v>965</v>
      </c>
    </row>
    <row r="203" spans="1:15" ht="15" customHeight="1" x14ac:dyDescent="0.2">
      <c r="A203" s="9">
        <v>198</v>
      </c>
      <c r="B203" s="27">
        <f t="shared" si="18"/>
        <v>967.2691744015633</v>
      </c>
      <c r="C203" s="27">
        <f t="shared" si="19"/>
        <v>3903.8983878847089</v>
      </c>
      <c r="D203" s="28">
        <v>3.93</v>
      </c>
      <c r="E203" s="28">
        <v>3.92</v>
      </c>
      <c r="F203" s="9" t="str">
        <f t="shared" si="20"/>
        <v>Within 10 mV (calibration line)</v>
      </c>
      <c r="G203" s="27">
        <f t="shared" si="21"/>
        <v>967.2691744015633</v>
      </c>
      <c r="H203" s="29">
        <v>1.08</v>
      </c>
      <c r="I203" s="29">
        <v>1.08</v>
      </c>
      <c r="J203" s="9" t="str">
        <f t="shared" si="22"/>
        <v>Identical</v>
      </c>
      <c r="K203" s="9" t="s">
        <v>539</v>
      </c>
      <c r="L203" s="9" t="s">
        <v>539</v>
      </c>
      <c r="M203" s="9" t="str">
        <f t="shared" si="23"/>
        <v>Same</v>
      </c>
      <c r="N203" s="30" t="s">
        <v>965</v>
      </c>
      <c r="O203" s="30" t="s">
        <v>965</v>
      </c>
    </row>
    <row r="204" spans="1:15" ht="15" customHeight="1" x14ac:dyDescent="0.2">
      <c r="A204" s="9">
        <v>199</v>
      </c>
      <c r="B204" s="27">
        <f t="shared" si="18"/>
        <v>972.1543722520762</v>
      </c>
      <c r="C204" s="27">
        <f t="shared" si="19"/>
        <v>3923.6150464093789</v>
      </c>
      <c r="D204" s="28">
        <v>3.95</v>
      </c>
      <c r="E204" s="28">
        <v>3.94</v>
      </c>
      <c r="F204" s="9" t="str">
        <f t="shared" si="20"/>
        <v>Within 10 mV (calibration line)</v>
      </c>
      <c r="G204" s="27">
        <f t="shared" si="21"/>
        <v>972.1543722520762</v>
      </c>
      <c r="H204" s="29">
        <v>1.0900000000000001</v>
      </c>
      <c r="I204" s="29">
        <v>1.0900000000000001</v>
      </c>
      <c r="J204" s="9" t="str">
        <f t="shared" si="22"/>
        <v>Identical</v>
      </c>
      <c r="K204" s="9" t="s">
        <v>539</v>
      </c>
      <c r="L204" s="9" t="s">
        <v>539</v>
      </c>
      <c r="M204" s="9" t="str">
        <f t="shared" si="23"/>
        <v>Same</v>
      </c>
      <c r="N204" s="30" t="s">
        <v>966</v>
      </c>
      <c r="O204" s="30" t="s">
        <v>966</v>
      </c>
    </row>
    <row r="205" spans="1:15" ht="15" customHeight="1" x14ac:dyDescent="0.2">
      <c r="A205" s="9">
        <v>200</v>
      </c>
      <c r="B205" s="27">
        <f t="shared" si="18"/>
        <v>977.03957010258921</v>
      </c>
      <c r="C205" s="27">
        <f t="shared" si="19"/>
        <v>3943.3317049340499</v>
      </c>
      <c r="D205" s="28">
        <v>3.97</v>
      </c>
      <c r="E205" s="28">
        <v>3.96</v>
      </c>
      <c r="F205" s="9" t="str">
        <f t="shared" si="20"/>
        <v>Within 10 mV (calibration line)</v>
      </c>
      <c r="G205" s="27">
        <f t="shared" si="21"/>
        <v>977.03957010258921</v>
      </c>
      <c r="H205" s="29">
        <v>1.0900000000000001</v>
      </c>
      <c r="I205" s="29">
        <v>1.0900000000000001</v>
      </c>
      <c r="J205" s="9" t="str">
        <f t="shared" si="22"/>
        <v>Identical</v>
      </c>
      <c r="K205" s="9" t="s">
        <v>539</v>
      </c>
      <c r="L205" s="9" t="s">
        <v>539</v>
      </c>
      <c r="M205" s="9" t="str">
        <f t="shared" si="23"/>
        <v>Same</v>
      </c>
      <c r="N205" s="30" t="s">
        <v>966</v>
      </c>
      <c r="O205" s="30" t="s">
        <v>966</v>
      </c>
    </row>
    <row r="206" spans="1:15" ht="15" customHeight="1" x14ac:dyDescent="0.2">
      <c r="A206" s="9">
        <v>201</v>
      </c>
      <c r="B206" s="27">
        <f t="shared" si="18"/>
        <v>981.9247679531021</v>
      </c>
      <c r="C206" s="27">
        <f t="shared" si="19"/>
        <v>3963.0483634587199</v>
      </c>
      <c r="D206" s="28">
        <v>3.99</v>
      </c>
      <c r="E206" s="28">
        <v>3.98</v>
      </c>
      <c r="F206" s="9" t="str">
        <f t="shared" si="20"/>
        <v>Within 10 mV (calibration line)</v>
      </c>
      <c r="G206" s="27">
        <f t="shared" si="21"/>
        <v>981.9247679531021</v>
      </c>
      <c r="H206" s="29">
        <v>1.1000000000000001</v>
      </c>
      <c r="I206" s="29">
        <v>1.1000000000000001</v>
      </c>
      <c r="J206" s="9" t="str">
        <f t="shared" si="22"/>
        <v>Identical</v>
      </c>
      <c r="K206" s="9" t="s">
        <v>539</v>
      </c>
      <c r="L206" s="9" t="s">
        <v>539</v>
      </c>
      <c r="M206" s="9" t="str">
        <f t="shared" si="23"/>
        <v>Same</v>
      </c>
      <c r="N206" s="30" t="s">
        <v>967</v>
      </c>
      <c r="O206" s="30" t="s">
        <v>967</v>
      </c>
    </row>
    <row r="207" spans="1:15" ht="15" customHeight="1" x14ac:dyDescent="0.2">
      <c r="A207" s="9">
        <v>202</v>
      </c>
      <c r="B207" s="27">
        <f t="shared" si="18"/>
        <v>986.80996580361511</v>
      </c>
      <c r="C207" s="27">
        <f t="shared" si="19"/>
        <v>3982.7650219833904</v>
      </c>
      <c r="D207" s="28">
        <v>4.01</v>
      </c>
      <c r="E207" s="28">
        <v>4</v>
      </c>
      <c r="F207" s="9" t="str">
        <f t="shared" si="20"/>
        <v>Within 10 mV (calibration line)</v>
      </c>
      <c r="G207" s="27">
        <f t="shared" si="21"/>
        <v>986.80996580361511</v>
      </c>
      <c r="H207" s="29">
        <v>1.1000000000000001</v>
      </c>
      <c r="I207" s="29">
        <v>1.1100000000000001</v>
      </c>
      <c r="J207" s="9" t="str">
        <f t="shared" si="22"/>
        <v>+0.01 A (nearest step)</v>
      </c>
      <c r="K207" s="9" t="s">
        <v>539</v>
      </c>
      <c r="L207" s="9" t="s">
        <v>539</v>
      </c>
      <c r="M207" s="9" t="str">
        <f t="shared" si="23"/>
        <v>Same</v>
      </c>
      <c r="N207" s="30" t="s">
        <v>967</v>
      </c>
      <c r="O207" s="30" t="s">
        <v>968</v>
      </c>
    </row>
    <row r="208" spans="1:15" ht="15" customHeight="1" x14ac:dyDescent="0.2">
      <c r="A208" s="9">
        <v>203</v>
      </c>
      <c r="B208" s="27">
        <f t="shared" si="18"/>
        <v>991.69516365412801</v>
      </c>
      <c r="C208" s="27">
        <f t="shared" si="19"/>
        <v>4002.4816805080604</v>
      </c>
      <c r="D208" s="28">
        <v>4.03</v>
      </c>
      <c r="E208" s="28">
        <v>4.0199999999999996</v>
      </c>
      <c r="F208" s="9" t="str">
        <f t="shared" si="20"/>
        <v>Within 10 mV (calibration line)</v>
      </c>
      <c r="G208" s="27">
        <f t="shared" si="21"/>
        <v>991.69516365412801</v>
      </c>
      <c r="H208" s="29">
        <v>1.1100000000000001</v>
      </c>
      <c r="I208" s="29">
        <v>1.1100000000000001</v>
      </c>
      <c r="J208" s="9" t="str">
        <f t="shared" si="22"/>
        <v>Identical</v>
      </c>
      <c r="K208" s="9" t="s">
        <v>539</v>
      </c>
      <c r="L208" s="9" t="s">
        <v>539</v>
      </c>
      <c r="M208" s="9" t="str">
        <f t="shared" si="23"/>
        <v>Same</v>
      </c>
      <c r="N208" s="30" t="s">
        <v>968</v>
      </c>
      <c r="O208" s="30" t="s">
        <v>968</v>
      </c>
    </row>
    <row r="209" spans="1:15" ht="15" customHeight="1" x14ac:dyDescent="0.2">
      <c r="A209" s="9">
        <v>204</v>
      </c>
      <c r="B209" s="27">
        <f t="shared" si="18"/>
        <v>996.58036150464102</v>
      </c>
      <c r="C209" s="27">
        <f t="shared" si="19"/>
        <v>4022.1983390327309</v>
      </c>
      <c r="D209" s="28">
        <v>4.05</v>
      </c>
      <c r="E209" s="28">
        <v>4.04</v>
      </c>
      <c r="F209" s="9" t="str">
        <f t="shared" si="20"/>
        <v>Within 10 mV (calibration line)</v>
      </c>
      <c r="G209" s="27">
        <f t="shared" si="21"/>
        <v>996.58036150464102</v>
      </c>
      <c r="H209" s="29">
        <v>1.1200000000000001</v>
      </c>
      <c r="I209" s="29">
        <v>1.1200000000000001</v>
      </c>
      <c r="J209" s="9" t="str">
        <f t="shared" si="22"/>
        <v>Identical</v>
      </c>
      <c r="K209" s="9" t="s">
        <v>539</v>
      </c>
      <c r="L209" s="9" t="s">
        <v>539</v>
      </c>
      <c r="M209" s="9" t="str">
        <f t="shared" si="23"/>
        <v>Same</v>
      </c>
      <c r="N209" s="30" t="s">
        <v>969</v>
      </c>
      <c r="O209" s="30" t="s">
        <v>969</v>
      </c>
    </row>
    <row r="210" spans="1:15" ht="15" customHeight="1" x14ac:dyDescent="0.2">
      <c r="A210" s="9">
        <v>205</v>
      </c>
      <c r="B210" s="27">
        <f t="shared" si="18"/>
        <v>1001.465559355154</v>
      </c>
      <c r="C210" s="27">
        <f t="shared" si="19"/>
        <v>4041.9149975574014</v>
      </c>
      <c r="D210" s="28">
        <v>4.07</v>
      </c>
      <c r="E210" s="28">
        <v>4.0599999999999996</v>
      </c>
      <c r="F210" s="9" t="str">
        <f t="shared" si="20"/>
        <v>Within 10 mV (calibration line)</v>
      </c>
      <c r="G210" s="27">
        <f t="shared" si="21"/>
        <v>1001.465559355154</v>
      </c>
      <c r="H210" s="29">
        <v>1.1200000000000001</v>
      </c>
      <c r="I210" s="29">
        <v>1.1200000000000001</v>
      </c>
      <c r="J210" s="9" t="str">
        <f t="shared" si="22"/>
        <v>Identical</v>
      </c>
      <c r="K210" s="9" t="s">
        <v>539</v>
      </c>
      <c r="L210" s="9" t="s">
        <v>539</v>
      </c>
      <c r="M210" s="9" t="str">
        <f t="shared" si="23"/>
        <v>Same</v>
      </c>
      <c r="N210" s="30" t="s">
        <v>969</v>
      </c>
      <c r="O210" s="30" t="s">
        <v>969</v>
      </c>
    </row>
    <row r="211" spans="1:15" ht="15" customHeight="1" x14ac:dyDescent="0.2">
      <c r="A211" s="9">
        <v>206</v>
      </c>
      <c r="B211" s="27">
        <f t="shared" si="18"/>
        <v>1006.3507572056669</v>
      </c>
      <c r="C211" s="27">
        <f t="shared" si="19"/>
        <v>4061.6316560820715</v>
      </c>
      <c r="D211" s="28">
        <v>4.09</v>
      </c>
      <c r="E211" s="28">
        <v>4.08</v>
      </c>
      <c r="F211" s="9" t="str">
        <f t="shared" si="20"/>
        <v>Within 10 mV (calibration line)</v>
      </c>
      <c r="G211" s="27">
        <f t="shared" si="21"/>
        <v>1006.3507572056669</v>
      </c>
      <c r="H211" s="29">
        <v>1.1299999999999999</v>
      </c>
      <c r="I211" s="29">
        <v>1.1299999999999999</v>
      </c>
      <c r="J211" s="9" t="str">
        <f t="shared" si="22"/>
        <v>Identical</v>
      </c>
      <c r="K211" s="9" t="s">
        <v>539</v>
      </c>
      <c r="L211" s="9" t="s">
        <v>539</v>
      </c>
      <c r="M211" s="9" t="str">
        <f t="shared" si="23"/>
        <v>Same</v>
      </c>
      <c r="N211" s="30" t="s">
        <v>970</v>
      </c>
      <c r="O211" s="30" t="s">
        <v>970</v>
      </c>
    </row>
    <row r="212" spans="1:15" ht="15" customHeight="1" x14ac:dyDescent="0.2">
      <c r="A212" s="9">
        <v>207</v>
      </c>
      <c r="B212" s="27">
        <f t="shared" si="18"/>
        <v>1011.2359550561798</v>
      </c>
      <c r="C212" s="27">
        <f t="shared" si="19"/>
        <v>4081.3483146067415</v>
      </c>
      <c r="D212" s="28">
        <v>4.1100000000000003</v>
      </c>
      <c r="E212" s="28">
        <v>4.0999999999999996</v>
      </c>
      <c r="F212" s="9" t="str">
        <f t="shared" si="20"/>
        <v>Within 10 mV (calibration line)</v>
      </c>
      <c r="G212" s="27">
        <f t="shared" si="21"/>
        <v>1011.2359550561798</v>
      </c>
      <c r="H212" s="29">
        <v>1.1299999999999999</v>
      </c>
      <c r="I212" s="29">
        <v>1.1299999999999999</v>
      </c>
      <c r="J212" s="9" t="str">
        <f t="shared" si="22"/>
        <v>Identical</v>
      </c>
      <c r="K212" s="9" t="s">
        <v>539</v>
      </c>
      <c r="L212" s="9" t="s">
        <v>539</v>
      </c>
      <c r="M212" s="9" t="str">
        <f t="shared" si="23"/>
        <v>Same</v>
      </c>
      <c r="N212" s="30" t="s">
        <v>970</v>
      </c>
      <c r="O212" s="30" t="s">
        <v>970</v>
      </c>
    </row>
    <row r="213" spans="1:15" ht="15" customHeight="1" x14ac:dyDescent="0.2">
      <c r="A213" s="9">
        <v>208</v>
      </c>
      <c r="B213" s="27">
        <f t="shared" si="18"/>
        <v>1016.1211529066927</v>
      </c>
      <c r="C213" s="27">
        <f t="shared" si="19"/>
        <v>4101.0649731314115</v>
      </c>
      <c r="D213" s="28">
        <v>4.13</v>
      </c>
      <c r="E213" s="28">
        <v>4.1100000000000003</v>
      </c>
      <c r="F213" s="9" t="str">
        <f t="shared" si="20"/>
        <v>-20 mV (end of old +30 mV band)</v>
      </c>
      <c r="G213" s="27">
        <f t="shared" si="21"/>
        <v>1016.1211529066927</v>
      </c>
      <c r="H213" s="29">
        <v>1.1399999999999999</v>
      </c>
      <c r="I213" s="29">
        <v>1.1399999999999999</v>
      </c>
      <c r="J213" s="9" t="str">
        <f t="shared" si="22"/>
        <v>Identical</v>
      </c>
      <c r="K213" s="9" t="s">
        <v>539</v>
      </c>
      <c r="L213" s="9" t="s">
        <v>539</v>
      </c>
      <c r="M213" s="9" t="str">
        <f t="shared" si="23"/>
        <v>Same</v>
      </c>
      <c r="N213" s="30" t="s">
        <v>971</v>
      </c>
      <c r="O213" s="30" t="s">
        <v>971</v>
      </c>
    </row>
    <row r="214" spans="1:15" ht="15" customHeight="1" x14ac:dyDescent="0.2">
      <c r="A214" s="9">
        <v>209</v>
      </c>
      <c r="B214" s="27">
        <f t="shared" si="18"/>
        <v>1021.0063507572058</v>
      </c>
      <c r="C214" s="27">
        <f t="shared" si="19"/>
        <v>4120.781631656082</v>
      </c>
      <c r="D214" s="28">
        <v>4.1500000000000004</v>
      </c>
      <c r="E214" s="28">
        <v>4.13</v>
      </c>
      <c r="F214" s="9" t="str">
        <f t="shared" si="20"/>
        <v>-20 mV (end of old +30 mV band)</v>
      </c>
      <c r="G214" s="27">
        <f t="shared" si="21"/>
        <v>1021.0063507572058</v>
      </c>
      <c r="H214" s="29">
        <v>1.1399999999999999</v>
      </c>
      <c r="I214" s="29">
        <v>1.1399999999999999</v>
      </c>
      <c r="J214" s="9" t="str">
        <f t="shared" si="22"/>
        <v>Identical</v>
      </c>
      <c r="K214" s="9" t="s">
        <v>539</v>
      </c>
      <c r="L214" s="9" t="s">
        <v>539</v>
      </c>
      <c r="M214" s="9" t="str">
        <f t="shared" si="23"/>
        <v>Same</v>
      </c>
      <c r="N214" s="30" t="s">
        <v>971</v>
      </c>
      <c r="O214" s="30" t="s">
        <v>971</v>
      </c>
    </row>
    <row r="215" spans="1:15" ht="15" customHeight="1" x14ac:dyDescent="0.2">
      <c r="A215" s="9">
        <v>210</v>
      </c>
      <c r="B215" s="27">
        <f t="shared" si="18"/>
        <v>1025.8915486077187</v>
      </c>
      <c r="C215" s="27">
        <f t="shared" si="19"/>
        <v>4140.4982901807525</v>
      </c>
      <c r="D215" s="28">
        <v>4.17</v>
      </c>
      <c r="E215" s="28">
        <v>4.1500000000000004</v>
      </c>
      <c r="F215" s="9" t="str">
        <f t="shared" si="20"/>
        <v>-20 mV (end of old +30 mV band)</v>
      </c>
      <c r="G215" s="27">
        <f t="shared" si="21"/>
        <v>1025.8915486077187</v>
      </c>
      <c r="H215" s="29">
        <v>1.1499999999999999</v>
      </c>
      <c r="I215" s="29">
        <v>1.1499999999999999</v>
      </c>
      <c r="J215" s="9" t="str">
        <f t="shared" si="22"/>
        <v>Identical</v>
      </c>
      <c r="K215" s="9" t="s">
        <v>539</v>
      </c>
      <c r="L215" s="9" t="s">
        <v>539</v>
      </c>
      <c r="M215" s="9" t="str">
        <f t="shared" si="23"/>
        <v>Same</v>
      </c>
      <c r="N215" s="30" t="s">
        <v>972</v>
      </c>
      <c r="O215" s="30" t="s">
        <v>972</v>
      </c>
    </row>
    <row r="216" spans="1:15" ht="15" customHeight="1" x14ac:dyDescent="0.2">
      <c r="A216" s="9">
        <v>211</v>
      </c>
      <c r="B216" s="27">
        <f t="shared" si="18"/>
        <v>1030.7767464582316</v>
      </c>
      <c r="C216" s="27">
        <f t="shared" si="19"/>
        <v>4160.2149487054221</v>
      </c>
      <c r="D216" s="28">
        <v>4.17</v>
      </c>
      <c r="E216" s="28">
        <v>4.17</v>
      </c>
      <c r="F216" s="9" t="str">
        <f t="shared" si="20"/>
        <v>Identical</v>
      </c>
      <c r="G216" s="27">
        <f t="shared" si="21"/>
        <v>1030.7767464582316</v>
      </c>
      <c r="H216" s="29">
        <v>1.1499999999999999</v>
      </c>
      <c r="I216" s="29">
        <v>1.1499999999999999</v>
      </c>
      <c r="J216" s="9" t="str">
        <f t="shared" si="22"/>
        <v>Identical</v>
      </c>
      <c r="K216" s="9" t="s">
        <v>539</v>
      </c>
      <c r="L216" s="9" t="s">
        <v>539</v>
      </c>
      <c r="M216" s="9" t="str">
        <f t="shared" si="23"/>
        <v>Same</v>
      </c>
      <c r="N216" s="30" t="s">
        <v>972</v>
      </c>
      <c r="O216" s="30" t="s">
        <v>972</v>
      </c>
    </row>
    <row r="217" spans="1:15" ht="15" customHeight="1" x14ac:dyDescent="0.2">
      <c r="A217" s="9">
        <v>212</v>
      </c>
      <c r="B217" s="27">
        <f t="shared" si="18"/>
        <v>1035.6619443087445</v>
      </c>
      <c r="C217" s="27">
        <f t="shared" si="19"/>
        <v>4179.9316072300926</v>
      </c>
      <c r="D217" s="28">
        <v>4.18</v>
      </c>
      <c r="E217" s="28">
        <v>4.1900000000000004</v>
      </c>
      <c r="F217" s="9" t="str">
        <f t="shared" si="20"/>
        <v>Within 10 mV (calibration line)</v>
      </c>
      <c r="G217" s="27">
        <f t="shared" si="21"/>
        <v>1035.6619443087445</v>
      </c>
      <c r="H217" s="29">
        <v>1.1599999999999999</v>
      </c>
      <c r="I217" s="29">
        <v>1.1599999999999999</v>
      </c>
      <c r="J217" s="9" t="str">
        <f t="shared" si="22"/>
        <v>Identical</v>
      </c>
      <c r="K217" s="9" t="s">
        <v>539</v>
      </c>
      <c r="L217" s="9" t="s">
        <v>539</v>
      </c>
      <c r="M217" s="9" t="str">
        <f t="shared" si="23"/>
        <v>Same</v>
      </c>
      <c r="N217" s="30" t="s">
        <v>973</v>
      </c>
      <c r="O217" s="30" t="s">
        <v>973</v>
      </c>
    </row>
    <row r="218" spans="1:15" ht="15" customHeight="1" x14ac:dyDescent="0.2">
      <c r="A218" s="9">
        <v>213</v>
      </c>
      <c r="B218" s="27">
        <f t="shared" si="18"/>
        <v>1040.5471421592576</v>
      </c>
      <c r="C218" s="27">
        <f t="shared" si="19"/>
        <v>4199.6482657547631</v>
      </c>
      <c r="D218" s="28">
        <v>4.2</v>
      </c>
      <c r="E218" s="28">
        <v>4.21</v>
      </c>
      <c r="F218" s="9" t="str">
        <f t="shared" si="20"/>
        <v>Within 10 mV (calibration line)</v>
      </c>
      <c r="G218" s="27">
        <f t="shared" si="21"/>
        <v>1040.5471421592576</v>
      </c>
      <c r="H218" s="29">
        <v>1.1599999999999999</v>
      </c>
      <c r="I218" s="29">
        <v>1.17</v>
      </c>
      <c r="J218" s="9" t="str">
        <f t="shared" si="22"/>
        <v>+0.01 A (nearest step)</v>
      </c>
      <c r="K218" s="9" t="s">
        <v>539</v>
      </c>
      <c r="L218" s="9" t="s">
        <v>539</v>
      </c>
      <c r="M218" s="9" t="str">
        <f t="shared" si="23"/>
        <v>Same</v>
      </c>
      <c r="N218" s="30" t="s">
        <v>973</v>
      </c>
      <c r="O218" s="30" t="s">
        <v>974</v>
      </c>
    </row>
    <row r="219" spans="1:15" ht="15" customHeight="1" x14ac:dyDescent="0.2">
      <c r="A219" s="9">
        <v>214</v>
      </c>
      <c r="B219" s="27">
        <f t="shared" si="18"/>
        <v>1045.4323400097705</v>
      </c>
      <c r="C219" s="27">
        <f t="shared" si="19"/>
        <v>4219.3649242794336</v>
      </c>
      <c r="D219" s="28">
        <v>4.22</v>
      </c>
      <c r="E219" s="28">
        <v>4.2300000000000004</v>
      </c>
      <c r="F219" s="9" t="str">
        <f t="shared" si="20"/>
        <v>Within 10 mV (calibration line)</v>
      </c>
      <c r="G219" s="27">
        <f t="shared" si="21"/>
        <v>1045.4323400097705</v>
      </c>
      <c r="H219" s="29">
        <v>1.17</v>
      </c>
      <c r="I219" s="29">
        <v>1.17</v>
      </c>
      <c r="J219" s="9" t="str">
        <f t="shared" si="22"/>
        <v>Identical</v>
      </c>
      <c r="K219" s="9" t="s">
        <v>539</v>
      </c>
      <c r="L219" s="9" t="s">
        <v>539</v>
      </c>
      <c r="M219" s="9" t="str">
        <f t="shared" si="23"/>
        <v>Same</v>
      </c>
      <c r="N219" s="30" t="s">
        <v>974</v>
      </c>
      <c r="O219" s="30" t="s">
        <v>974</v>
      </c>
    </row>
    <row r="220" spans="1:15" ht="15" customHeight="1" x14ac:dyDescent="0.2">
      <c r="A220" s="9">
        <v>215</v>
      </c>
      <c r="B220" s="27">
        <f t="shared" si="18"/>
        <v>1050.3175378602834</v>
      </c>
      <c r="C220" s="27">
        <f t="shared" si="19"/>
        <v>4239.0815828041032</v>
      </c>
      <c r="D220" s="28">
        <v>4.24</v>
      </c>
      <c r="E220" s="28">
        <v>4.25</v>
      </c>
      <c r="F220" s="9" t="str">
        <f t="shared" si="20"/>
        <v>Within 10 mV (calibration line)</v>
      </c>
      <c r="G220" s="27">
        <f t="shared" si="21"/>
        <v>1050.3175378602834</v>
      </c>
      <c r="H220" s="29">
        <v>1.18</v>
      </c>
      <c r="I220" s="29">
        <v>1.18</v>
      </c>
      <c r="J220" s="9" t="str">
        <f t="shared" si="22"/>
        <v>Identical</v>
      </c>
      <c r="K220" s="9" t="s">
        <v>539</v>
      </c>
      <c r="L220" s="9" t="s">
        <v>539</v>
      </c>
      <c r="M220" s="9" t="str">
        <f t="shared" si="23"/>
        <v>Same</v>
      </c>
      <c r="N220" s="30" t="s">
        <v>975</v>
      </c>
      <c r="O220" s="30" t="s">
        <v>975</v>
      </c>
    </row>
    <row r="221" spans="1:15" ht="15" customHeight="1" x14ac:dyDescent="0.2">
      <c r="A221" s="9">
        <v>216</v>
      </c>
      <c r="B221" s="27">
        <f t="shared" si="18"/>
        <v>1055.2027357107963</v>
      </c>
      <c r="C221" s="27">
        <f t="shared" si="19"/>
        <v>4258.7982413287737</v>
      </c>
      <c r="D221" s="28">
        <v>4.26</v>
      </c>
      <c r="E221" s="28">
        <v>4.2699999999999996</v>
      </c>
      <c r="F221" s="9" t="str">
        <f t="shared" si="20"/>
        <v>Within 10 mV (calibration line)</v>
      </c>
      <c r="G221" s="27">
        <f t="shared" si="21"/>
        <v>1055.2027357107963</v>
      </c>
      <c r="H221" s="29">
        <v>1.18</v>
      </c>
      <c r="I221" s="29">
        <v>1.18</v>
      </c>
      <c r="J221" s="9" t="str">
        <f t="shared" si="22"/>
        <v>Identical</v>
      </c>
      <c r="K221" s="9" t="s">
        <v>539</v>
      </c>
      <c r="L221" s="9" t="s">
        <v>539</v>
      </c>
      <c r="M221" s="9" t="str">
        <f t="shared" si="23"/>
        <v>Same</v>
      </c>
      <c r="N221" s="30" t="s">
        <v>975</v>
      </c>
      <c r="O221" s="30" t="s">
        <v>975</v>
      </c>
    </row>
    <row r="222" spans="1:15" ht="15" customHeight="1" x14ac:dyDescent="0.2">
      <c r="A222" s="9">
        <v>217</v>
      </c>
      <c r="B222" s="27">
        <f t="shared" si="18"/>
        <v>1060.0879335613095</v>
      </c>
      <c r="C222" s="27">
        <f t="shared" si="19"/>
        <v>4278.5148998534441</v>
      </c>
      <c r="D222" s="28">
        <v>4.28</v>
      </c>
      <c r="E222" s="28">
        <v>4.29</v>
      </c>
      <c r="F222" s="9" t="str">
        <f t="shared" si="20"/>
        <v>Within 10 mV (calibration line)</v>
      </c>
      <c r="G222" s="27">
        <f t="shared" si="21"/>
        <v>1060.0879335613095</v>
      </c>
      <c r="H222" s="29">
        <v>1.19</v>
      </c>
      <c r="I222" s="29">
        <v>1.19</v>
      </c>
      <c r="J222" s="9" t="str">
        <f t="shared" si="22"/>
        <v>Identical</v>
      </c>
      <c r="K222" s="9" t="s">
        <v>539</v>
      </c>
      <c r="L222" s="9" t="s">
        <v>539</v>
      </c>
      <c r="M222" s="9" t="str">
        <f t="shared" si="23"/>
        <v>Same</v>
      </c>
      <c r="N222" s="30" t="s">
        <v>976</v>
      </c>
      <c r="O222" s="30" t="s">
        <v>976</v>
      </c>
    </row>
    <row r="223" spans="1:15" ht="15" customHeight="1" x14ac:dyDescent="0.2">
      <c r="A223" s="9">
        <v>218</v>
      </c>
      <c r="B223" s="27">
        <f t="shared" si="18"/>
        <v>1064.9731314118224</v>
      </c>
      <c r="C223" s="27">
        <f t="shared" si="19"/>
        <v>4298.2315583781146</v>
      </c>
      <c r="D223" s="28">
        <v>4.3</v>
      </c>
      <c r="E223" s="28">
        <v>4.3099999999999996</v>
      </c>
      <c r="F223" s="9" t="str">
        <f t="shared" si="20"/>
        <v>Within 10 mV (calibration line)</v>
      </c>
      <c r="G223" s="27">
        <f t="shared" si="21"/>
        <v>1064.9731314118224</v>
      </c>
      <c r="H223" s="29">
        <v>1.19</v>
      </c>
      <c r="I223" s="29">
        <v>1.19</v>
      </c>
      <c r="J223" s="9" t="str">
        <f t="shared" si="22"/>
        <v>Identical</v>
      </c>
      <c r="K223" s="9" t="s">
        <v>539</v>
      </c>
      <c r="L223" s="9" t="s">
        <v>539</v>
      </c>
      <c r="M223" s="9" t="str">
        <f t="shared" si="23"/>
        <v>Same</v>
      </c>
      <c r="N223" s="30" t="s">
        <v>976</v>
      </c>
      <c r="O223" s="30" t="s">
        <v>976</v>
      </c>
    </row>
    <row r="224" spans="1:15" ht="15" customHeight="1" x14ac:dyDescent="0.2">
      <c r="A224" s="9">
        <v>219</v>
      </c>
      <c r="B224" s="27">
        <f t="shared" si="18"/>
        <v>1069.8583292623352</v>
      </c>
      <c r="C224" s="27">
        <f t="shared" si="19"/>
        <v>4317.9482169027842</v>
      </c>
      <c r="D224" s="28">
        <v>4.32</v>
      </c>
      <c r="E224" s="28">
        <v>4.33</v>
      </c>
      <c r="F224" s="9" t="str">
        <f t="shared" si="20"/>
        <v>Within 10 mV (calibration line)</v>
      </c>
      <c r="G224" s="27">
        <f t="shared" si="21"/>
        <v>1069.8583292623352</v>
      </c>
      <c r="H224" s="29">
        <v>1.2</v>
      </c>
      <c r="I224" s="29">
        <v>1.2</v>
      </c>
      <c r="J224" s="9" t="str">
        <f t="shared" si="22"/>
        <v>Identical</v>
      </c>
      <c r="K224" s="9" t="s">
        <v>539</v>
      </c>
      <c r="L224" s="9" t="s">
        <v>539</v>
      </c>
      <c r="M224" s="9" t="str">
        <f t="shared" si="23"/>
        <v>Same</v>
      </c>
      <c r="N224" s="30" t="s">
        <v>977</v>
      </c>
      <c r="O224" s="30" t="s">
        <v>977</v>
      </c>
    </row>
    <row r="225" spans="1:15" ht="15" customHeight="1" x14ac:dyDescent="0.2">
      <c r="A225" s="9">
        <v>220</v>
      </c>
      <c r="B225" s="27">
        <f t="shared" si="18"/>
        <v>1074.7435271128481</v>
      </c>
      <c r="C225" s="27">
        <f t="shared" si="19"/>
        <v>4337.6648754274547</v>
      </c>
      <c r="D225" s="28">
        <v>4.34</v>
      </c>
      <c r="E225" s="28">
        <v>4.3499999999999996</v>
      </c>
      <c r="F225" s="9" t="str">
        <f t="shared" si="20"/>
        <v>Within 10 mV (calibration line)</v>
      </c>
      <c r="G225" s="27">
        <f t="shared" si="21"/>
        <v>1074.7435271128481</v>
      </c>
      <c r="H225" s="29">
        <v>1.2</v>
      </c>
      <c r="I225" s="29">
        <v>1.2</v>
      </c>
      <c r="J225" s="9" t="str">
        <f t="shared" si="22"/>
        <v>Identical</v>
      </c>
      <c r="K225" s="9" t="s">
        <v>539</v>
      </c>
      <c r="L225" s="9" t="s">
        <v>539</v>
      </c>
      <c r="M225" s="9" t="str">
        <f t="shared" si="23"/>
        <v>Same</v>
      </c>
      <c r="N225" s="30" t="s">
        <v>977</v>
      </c>
      <c r="O225" s="30" t="s">
        <v>977</v>
      </c>
    </row>
    <row r="226" spans="1:15" ht="15" customHeight="1" x14ac:dyDescent="0.2">
      <c r="A226" s="9">
        <v>221</v>
      </c>
      <c r="B226" s="27">
        <f t="shared" si="18"/>
        <v>1079.6287249633613</v>
      </c>
      <c r="C226" s="27">
        <f t="shared" si="19"/>
        <v>4357.3815339521252</v>
      </c>
      <c r="D226" s="28">
        <v>4.3600000000000003</v>
      </c>
      <c r="E226" s="28">
        <v>4.37</v>
      </c>
      <c r="F226" s="9" t="str">
        <f t="shared" si="20"/>
        <v>Within 10 mV (calibration line)</v>
      </c>
      <c r="G226" s="27">
        <f t="shared" si="21"/>
        <v>1079.6287249633613</v>
      </c>
      <c r="H226" s="29">
        <v>1.21</v>
      </c>
      <c r="I226" s="29">
        <v>1.21</v>
      </c>
      <c r="J226" s="9" t="str">
        <f t="shared" si="22"/>
        <v>Identical</v>
      </c>
      <c r="K226" s="9" t="s">
        <v>539</v>
      </c>
      <c r="L226" s="9" t="s">
        <v>539</v>
      </c>
      <c r="M226" s="9" t="str">
        <f t="shared" si="23"/>
        <v>Same</v>
      </c>
      <c r="N226" s="30" t="s">
        <v>978</v>
      </c>
      <c r="O226" s="30" t="s">
        <v>978</v>
      </c>
    </row>
    <row r="227" spans="1:15" ht="15" customHeight="1" x14ac:dyDescent="0.2">
      <c r="A227" s="9">
        <v>222</v>
      </c>
      <c r="B227" s="27">
        <f t="shared" si="18"/>
        <v>1084.5139228138739</v>
      </c>
      <c r="C227" s="27">
        <f t="shared" si="19"/>
        <v>4377.0981924767948</v>
      </c>
      <c r="D227" s="28">
        <v>4.38</v>
      </c>
      <c r="E227" s="28">
        <v>4.3899999999999997</v>
      </c>
      <c r="F227" s="9" t="str">
        <f t="shared" si="20"/>
        <v>Within 10 mV (calibration line)</v>
      </c>
      <c r="G227" s="27">
        <f t="shared" si="21"/>
        <v>1084.5139228138739</v>
      </c>
      <c r="H227" s="29">
        <v>1.21</v>
      </c>
      <c r="I227" s="29">
        <v>1.22</v>
      </c>
      <c r="J227" s="9" t="str">
        <f t="shared" si="22"/>
        <v>+0.01 A (nearest step)</v>
      </c>
      <c r="K227" s="9" t="s">
        <v>539</v>
      </c>
      <c r="L227" s="9" t="s">
        <v>539</v>
      </c>
      <c r="M227" s="9" t="str">
        <f t="shared" si="23"/>
        <v>Same</v>
      </c>
      <c r="N227" s="30" t="s">
        <v>978</v>
      </c>
      <c r="O227" s="30" t="s">
        <v>979</v>
      </c>
    </row>
    <row r="228" spans="1:15" ht="15" customHeight="1" x14ac:dyDescent="0.2">
      <c r="A228" s="9">
        <v>223</v>
      </c>
      <c r="B228" s="27">
        <f t="shared" si="18"/>
        <v>1089.3991206643868</v>
      </c>
      <c r="C228" s="27">
        <f t="shared" si="19"/>
        <v>4396.8148510014644</v>
      </c>
      <c r="D228" s="28">
        <v>4.4000000000000004</v>
      </c>
      <c r="E228" s="28">
        <v>4.41</v>
      </c>
      <c r="F228" s="9" t="str">
        <f t="shared" si="20"/>
        <v>Within 10 mV (calibration line)</v>
      </c>
      <c r="G228" s="27">
        <f t="shared" si="21"/>
        <v>1089.3991206643868</v>
      </c>
      <c r="H228" s="29">
        <v>1.22</v>
      </c>
      <c r="I228" s="29">
        <v>1.22</v>
      </c>
      <c r="J228" s="9" t="str">
        <f t="shared" si="22"/>
        <v>Identical</v>
      </c>
      <c r="K228" s="9" t="s">
        <v>539</v>
      </c>
      <c r="L228" s="9" t="s">
        <v>539</v>
      </c>
      <c r="M228" s="9" t="str">
        <f t="shared" si="23"/>
        <v>Same</v>
      </c>
      <c r="N228" s="30" t="s">
        <v>979</v>
      </c>
      <c r="O228" s="30" t="s">
        <v>979</v>
      </c>
    </row>
    <row r="229" spans="1:15" ht="15" customHeight="1" x14ac:dyDescent="0.2">
      <c r="A229" s="9">
        <v>224</v>
      </c>
      <c r="B229" s="27">
        <f t="shared" si="18"/>
        <v>1094.2843185148997</v>
      </c>
      <c r="C229" s="27">
        <f t="shared" si="19"/>
        <v>4416.5315095261349</v>
      </c>
      <c r="D229" s="28">
        <v>4.42</v>
      </c>
      <c r="E229" s="28">
        <v>4.43</v>
      </c>
      <c r="F229" s="9" t="str">
        <f t="shared" si="20"/>
        <v>Within 10 mV (calibration line)</v>
      </c>
      <c r="G229" s="27">
        <f t="shared" si="21"/>
        <v>1094.2843185148997</v>
      </c>
      <c r="H229" s="29">
        <v>1.23</v>
      </c>
      <c r="I229" s="29">
        <v>1.23</v>
      </c>
      <c r="J229" s="9" t="str">
        <f t="shared" si="22"/>
        <v>Identical</v>
      </c>
      <c r="K229" s="9" t="s">
        <v>539</v>
      </c>
      <c r="L229" s="9" t="s">
        <v>539</v>
      </c>
      <c r="M229" s="9" t="str">
        <f t="shared" si="23"/>
        <v>Same</v>
      </c>
      <c r="N229" s="30" t="s">
        <v>980</v>
      </c>
      <c r="O229" s="30" t="s">
        <v>980</v>
      </c>
    </row>
    <row r="230" spans="1:15" ht="15" customHeight="1" x14ac:dyDescent="0.2">
      <c r="A230" s="9">
        <v>225</v>
      </c>
      <c r="B230" s="27">
        <f t="shared" si="18"/>
        <v>1099.1695163654128</v>
      </c>
      <c r="C230" s="27">
        <f t="shared" si="19"/>
        <v>4436.2481680508054</v>
      </c>
      <c r="D230" s="28">
        <v>4.4400000000000004</v>
      </c>
      <c r="E230" s="28">
        <v>4.45</v>
      </c>
      <c r="F230" s="9" t="str">
        <f t="shared" si="20"/>
        <v>Within 10 mV (calibration line)</v>
      </c>
      <c r="G230" s="27">
        <f t="shared" si="21"/>
        <v>1099.1695163654128</v>
      </c>
      <c r="H230" s="29">
        <v>1.23</v>
      </c>
      <c r="I230" s="29">
        <v>1.23</v>
      </c>
      <c r="J230" s="9" t="str">
        <f t="shared" si="22"/>
        <v>Identical</v>
      </c>
      <c r="K230" s="9" t="s">
        <v>539</v>
      </c>
      <c r="L230" s="9" t="s">
        <v>539</v>
      </c>
      <c r="M230" s="9" t="str">
        <f t="shared" si="23"/>
        <v>Same</v>
      </c>
      <c r="N230" s="30" t="s">
        <v>980</v>
      </c>
      <c r="O230" s="30" t="s">
        <v>980</v>
      </c>
    </row>
    <row r="231" spans="1:15" ht="15" customHeight="1" x14ac:dyDescent="0.2">
      <c r="A231" s="9">
        <v>226</v>
      </c>
      <c r="B231" s="27">
        <f t="shared" si="18"/>
        <v>1104.0547142159257</v>
      </c>
      <c r="C231" s="27">
        <f t="shared" si="19"/>
        <v>4455.9648265754759</v>
      </c>
      <c r="D231" s="28">
        <v>4.46</v>
      </c>
      <c r="E231" s="28">
        <v>4.47</v>
      </c>
      <c r="F231" s="9" t="str">
        <f t="shared" si="20"/>
        <v>Within 10 mV (calibration line)</v>
      </c>
      <c r="G231" s="27">
        <f t="shared" si="21"/>
        <v>1104.0547142159257</v>
      </c>
      <c r="H231" s="29">
        <v>1.24</v>
      </c>
      <c r="I231" s="29">
        <v>1.24</v>
      </c>
      <c r="J231" s="9" t="str">
        <f t="shared" si="22"/>
        <v>Identical</v>
      </c>
      <c r="K231" s="9" t="s">
        <v>539</v>
      </c>
      <c r="L231" s="9" t="s">
        <v>539</v>
      </c>
      <c r="M231" s="9" t="str">
        <f t="shared" si="23"/>
        <v>Same</v>
      </c>
      <c r="N231" s="30" t="s">
        <v>981</v>
      </c>
      <c r="O231" s="30" t="s">
        <v>981</v>
      </c>
    </row>
    <row r="232" spans="1:15" ht="15" customHeight="1" x14ac:dyDescent="0.2">
      <c r="A232" s="9">
        <v>227</v>
      </c>
      <c r="B232" s="27">
        <f t="shared" si="18"/>
        <v>1108.9399120664386</v>
      </c>
      <c r="C232" s="27">
        <f t="shared" si="19"/>
        <v>4475.6814851001454</v>
      </c>
      <c r="D232" s="28">
        <v>4.4800000000000004</v>
      </c>
      <c r="E232" s="28">
        <v>4.49</v>
      </c>
      <c r="F232" s="9" t="str">
        <f t="shared" si="20"/>
        <v>Within 10 mV (calibration line)</v>
      </c>
      <c r="G232" s="27">
        <f t="shared" si="21"/>
        <v>1108.9399120664386</v>
      </c>
      <c r="H232" s="29">
        <v>1.24</v>
      </c>
      <c r="I232" s="29">
        <v>1.24</v>
      </c>
      <c r="J232" s="9" t="str">
        <f t="shared" si="22"/>
        <v>Identical</v>
      </c>
      <c r="K232" s="9" t="s">
        <v>539</v>
      </c>
      <c r="L232" s="9" t="s">
        <v>539</v>
      </c>
      <c r="M232" s="9" t="str">
        <f t="shared" si="23"/>
        <v>Same</v>
      </c>
      <c r="N232" s="30" t="s">
        <v>981</v>
      </c>
      <c r="O232" s="30" t="s">
        <v>981</v>
      </c>
    </row>
    <row r="233" spans="1:15" ht="15" customHeight="1" x14ac:dyDescent="0.2">
      <c r="A233" s="9">
        <v>228</v>
      </c>
      <c r="B233" s="27">
        <f t="shared" si="18"/>
        <v>1113.8251099169515</v>
      </c>
      <c r="C233" s="27">
        <f t="shared" si="19"/>
        <v>4495.3981436248159</v>
      </c>
      <c r="D233" s="28">
        <v>4.5</v>
      </c>
      <c r="E233" s="28">
        <v>4.51</v>
      </c>
      <c r="F233" s="9" t="str">
        <f t="shared" si="20"/>
        <v>Within 10 mV (calibration line)</v>
      </c>
      <c r="G233" s="27">
        <f t="shared" si="21"/>
        <v>1113.8251099169515</v>
      </c>
      <c r="H233" s="29">
        <v>1.25</v>
      </c>
      <c r="I233" s="29">
        <v>1.25</v>
      </c>
      <c r="J233" s="9" t="str">
        <f t="shared" si="22"/>
        <v>Identical</v>
      </c>
      <c r="K233" s="9" t="s">
        <v>539</v>
      </c>
      <c r="L233" s="9" t="s">
        <v>539</v>
      </c>
      <c r="M233" s="9" t="str">
        <f t="shared" si="23"/>
        <v>Same</v>
      </c>
      <c r="N233" s="30" t="s">
        <v>982</v>
      </c>
      <c r="O233" s="30" t="s">
        <v>982</v>
      </c>
    </row>
    <row r="234" spans="1:15" ht="15" customHeight="1" x14ac:dyDescent="0.2">
      <c r="A234" s="9">
        <v>229</v>
      </c>
      <c r="B234" s="27">
        <f t="shared" si="18"/>
        <v>1118.7103077674647</v>
      </c>
      <c r="C234" s="27">
        <f t="shared" si="19"/>
        <v>4515.1148021494873</v>
      </c>
      <c r="D234" s="28">
        <v>4.5199999999999996</v>
      </c>
      <c r="E234" s="28">
        <v>4.53</v>
      </c>
      <c r="F234" s="9" t="str">
        <f t="shared" si="20"/>
        <v>Within 10 mV (calibration line)</v>
      </c>
      <c r="G234" s="27">
        <f t="shared" si="21"/>
        <v>1118.7103077674647</v>
      </c>
      <c r="H234" s="29">
        <v>1.25</v>
      </c>
      <c r="I234" s="29">
        <v>1.25</v>
      </c>
      <c r="J234" s="9" t="str">
        <f t="shared" si="22"/>
        <v>Identical</v>
      </c>
      <c r="K234" s="9" t="s">
        <v>539</v>
      </c>
      <c r="L234" s="9" t="s">
        <v>539</v>
      </c>
      <c r="M234" s="9" t="str">
        <f t="shared" si="23"/>
        <v>Same</v>
      </c>
      <c r="N234" s="30" t="s">
        <v>982</v>
      </c>
      <c r="O234" s="30" t="s">
        <v>982</v>
      </c>
    </row>
    <row r="235" spans="1:15" ht="15" customHeight="1" x14ac:dyDescent="0.2">
      <c r="A235" s="9">
        <v>230</v>
      </c>
      <c r="B235" s="27">
        <f t="shared" si="18"/>
        <v>1123.5955056179776</v>
      </c>
      <c r="C235" s="27">
        <f t="shared" si="19"/>
        <v>4534.8314606741569</v>
      </c>
      <c r="D235" s="28">
        <v>4.54</v>
      </c>
      <c r="E235" s="28">
        <v>4.55</v>
      </c>
      <c r="F235" s="9" t="str">
        <f t="shared" si="20"/>
        <v>Within 10 mV (calibration line)</v>
      </c>
      <c r="G235" s="27">
        <f t="shared" si="21"/>
        <v>1123.5955056179776</v>
      </c>
      <c r="H235" s="29">
        <v>1.26</v>
      </c>
      <c r="I235" s="29">
        <v>1.26</v>
      </c>
      <c r="J235" s="9" t="str">
        <f t="shared" si="22"/>
        <v>Identical</v>
      </c>
      <c r="K235" s="9" t="s">
        <v>539</v>
      </c>
      <c r="L235" s="9" t="s">
        <v>539</v>
      </c>
      <c r="M235" s="9" t="str">
        <f t="shared" si="23"/>
        <v>Same</v>
      </c>
      <c r="N235" s="30" t="s">
        <v>983</v>
      </c>
      <c r="O235" s="30" t="s">
        <v>983</v>
      </c>
    </row>
    <row r="236" spans="1:15" ht="15" customHeight="1" x14ac:dyDescent="0.2">
      <c r="A236" s="9">
        <v>231</v>
      </c>
      <c r="B236" s="27">
        <f t="shared" si="18"/>
        <v>1128.4807034684904</v>
      </c>
      <c r="C236" s="27">
        <f t="shared" si="19"/>
        <v>4554.5481191988274</v>
      </c>
      <c r="D236" s="28">
        <v>4.5599999999999996</v>
      </c>
      <c r="E236" s="28">
        <v>4.57</v>
      </c>
      <c r="F236" s="9" t="str">
        <f t="shared" si="20"/>
        <v>Within 10 mV (calibration line)</v>
      </c>
      <c r="G236" s="27">
        <f t="shared" si="21"/>
        <v>1128.4807034684904</v>
      </c>
      <c r="H236" s="29">
        <v>1.26</v>
      </c>
      <c r="I236" s="29">
        <v>1.26</v>
      </c>
      <c r="J236" s="9" t="str">
        <f t="shared" si="22"/>
        <v>Identical</v>
      </c>
      <c r="K236" s="9" t="s">
        <v>539</v>
      </c>
      <c r="L236" s="9" t="s">
        <v>539</v>
      </c>
      <c r="M236" s="9" t="str">
        <f t="shared" si="23"/>
        <v>Same</v>
      </c>
      <c r="N236" s="30" t="s">
        <v>983</v>
      </c>
      <c r="O236" s="30" t="s">
        <v>983</v>
      </c>
    </row>
    <row r="237" spans="1:15" ht="15" customHeight="1" x14ac:dyDescent="0.2">
      <c r="A237" s="9">
        <v>232</v>
      </c>
      <c r="B237" s="27">
        <f t="shared" si="18"/>
        <v>1133.3659013190033</v>
      </c>
      <c r="C237" s="27">
        <f t="shared" si="19"/>
        <v>4574.264777723497</v>
      </c>
      <c r="D237" s="28">
        <v>4.58</v>
      </c>
      <c r="E237" s="28">
        <v>4.59</v>
      </c>
      <c r="F237" s="9" t="str">
        <f t="shared" si="20"/>
        <v>Within 10 mV (calibration line)</v>
      </c>
      <c r="G237" s="27">
        <f t="shared" si="21"/>
        <v>1133.3659013190033</v>
      </c>
      <c r="H237" s="29">
        <v>1.27</v>
      </c>
      <c r="I237" s="29">
        <v>1.27</v>
      </c>
      <c r="J237" s="9" t="str">
        <f t="shared" si="22"/>
        <v>Identical</v>
      </c>
      <c r="K237" s="9" t="s">
        <v>539</v>
      </c>
      <c r="L237" s="9" t="s">
        <v>539</v>
      </c>
      <c r="M237" s="9" t="str">
        <f t="shared" si="23"/>
        <v>Same</v>
      </c>
      <c r="N237" s="30" t="s">
        <v>984</v>
      </c>
      <c r="O237" s="30" t="s">
        <v>984</v>
      </c>
    </row>
    <row r="238" spans="1:15" ht="15" customHeight="1" x14ac:dyDescent="0.2">
      <c r="A238" s="9">
        <v>233</v>
      </c>
      <c r="B238" s="27">
        <f t="shared" si="18"/>
        <v>1138.2510991695165</v>
      </c>
      <c r="C238" s="27">
        <f t="shared" si="19"/>
        <v>4593.9814362481684</v>
      </c>
      <c r="D238" s="28">
        <v>4.5999999999999996</v>
      </c>
      <c r="E238" s="28">
        <v>4.6100000000000003</v>
      </c>
      <c r="F238" s="9" t="str">
        <f t="shared" si="20"/>
        <v>Within 10 mV (calibration line)</v>
      </c>
      <c r="G238" s="27">
        <f t="shared" si="21"/>
        <v>1138.2510991695165</v>
      </c>
      <c r="H238" s="29">
        <v>1.28</v>
      </c>
      <c r="I238" s="29">
        <v>1.28</v>
      </c>
      <c r="J238" s="9" t="str">
        <f t="shared" si="22"/>
        <v>Identical</v>
      </c>
      <c r="K238" s="9" t="s">
        <v>539</v>
      </c>
      <c r="L238" s="9" t="s">
        <v>539</v>
      </c>
      <c r="M238" s="9" t="str">
        <f t="shared" si="23"/>
        <v>Same</v>
      </c>
      <c r="N238" s="30" t="s">
        <v>985</v>
      </c>
      <c r="O238" s="30" t="s">
        <v>985</v>
      </c>
    </row>
    <row r="239" spans="1:15" ht="15" customHeight="1" x14ac:dyDescent="0.2">
      <c r="A239" s="9">
        <v>234</v>
      </c>
      <c r="B239" s="27">
        <f t="shared" si="18"/>
        <v>1143.1362970200294</v>
      </c>
      <c r="C239" s="27">
        <f t="shared" si="19"/>
        <v>4613.698094772838</v>
      </c>
      <c r="D239" s="28">
        <v>4.62</v>
      </c>
      <c r="E239" s="28">
        <v>4.63</v>
      </c>
      <c r="F239" s="9" t="str">
        <f t="shared" si="20"/>
        <v>Within 10 mV (calibration line)</v>
      </c>
      <c r="G239" s="27">
        <f t="shared" si="21"/>
        <v>1143.1362970200294</v>
      </c>
      <c r="H239" s="29">
        <v>1.28</v>
      </c>
      <c r="I239" s="29">
        <v>1.28</v>
      </c>
      <c r="J239" s="9" t="str">
        <f t="shared" si="22"/>
        <v>Identical</v>
      </c>
      <c r="K239" s="9" t="s">
        <v>539</v>
      </c>
      <c r="L239" s="9" t="s">
        <v>539</v>
      </c>
      <c r="M239" s="9" t="str">
        <f t="shared" si="23"/>
        <v>Same</v>
      </c>
      <c r="N239" s="30" t="s">
        <v>985</v>
      </c>
      <c r="O239" s="30" t="s">
        <v>985</v>
      </c>
    </row>
    <row r="240" spans="1:15" ht="15" customHeight="1" x14ac:dyDescent="0.2">
      <c r="A240" s="9">
        <v>235</v>
      </c>
      <c r="B240" s="27">
        <f t="shared" si="18"/>
        <v>1148.0214948705423</v>
      </c>
      <c r="C240" s="27">
        <f t="shared" si="19"/>
        <v>4633.4147532975085</v>
      </c>
      <c r="D240" s="28">
        <v>4.6399999999999997</v>
      </c>
      <c r="E240" s="28">
        <v>4.6399999999999997</v>
      </c>
      <c r="F240" s="9" t="str">
        <f t="shared" si="20"/>
        <v>Identical</v>
      </c>
      <c r="G240" s="27">
        <f t="shared" si="21"/>
        <v>1148.0214948705423</v>
      </c>
      <c r="H240" s="29">
        <v>1.29</v>
      </c>
      <c r="I240" s="29">
        <v>1.29</v>
      </c>
      <c r="J240" s="9" t="str">
        <f t="shared" si="22"/>
        <v>Identical</v>
      </c>
      <c r="K240" s="9" t="s">
        <v>539</v>
      </c>
      <c r="L240" s="9" t="s">
        <v>539</v>
      </c>
      <c r="M240" s="9" t="str">
        <f t="shared" si="23"/>
        <v>Same</v>
      </c>
      <c r="N240" s="30" t="s">
        <v>986</v>
      </c>
      <c r="O240" s="30" t="s">
        <v>986</v>
      </c>
    </row>
    <row r="241" spans="1:15" ht="15" customHeight="1" x14ac:dyDescent="0.2">
      <c r="A241" s="9">
        <v>236</v>
      </c>
      <c r="B241" s="27">
        <f t="shared" si="18"/>
        <v>1152.9066927210552</v>
      </c>
      <c r="C241" s="27">
        <f t="shared" si="19"/>
        <v>4653.1314118221781</v>
      </c>
      <c r="D241" s="28">
        <v>4.66</v>
      </c>
      <c r="E241" s="28">
        <v>4.66</v>
      </c>
      <c r="F241" s="9" t="str">
        <f t="shared" si="20"/>
        <v>Identical</v>
      </c>
      <c r="G241" s="27">
        <f t="shared" si="21"/>
        <v>1152.9066927210552</v>
      </c>
      <c r="H241" s="29">
        <v>1.29</v>
      </c>
      <c r="I241" s="29">
        <v>1.29</v>
      </c>
      <c r="J241" s="9" t="str">
        <f t="shared" si="22"/>
        <v>Identical</v>
      </c>
      <c r="K241" s="9" t="s">
        <v>539</v>
      </c>
      <c r="L241" s="9" t="s">
        <v>539</v>
      </c>
      <c r="M241" s="9" t="str">
        <f t="shared" si="23"/>
        <v>Same</v>
      </c>
      <c r="N241" s="30" t="s">
        <v>986</v>
      </c>
      <c r="O241" s="30" t="s">
        <v>986</v>
      </c>
    </row>
    <row r="242" spans="1:15" ht="15" customHeight="1" x14ac:dyDescent="0.2">
      <c r="A242" s="9">
        <v>237</v>
      </c>
      <c r="B242" s="27">
        <f t="shared" si="18"/>
        <v>1157.7918905715683</v>
      </c>
      <c r="C242" s="27">
        <f t="shared" si="19"/>
        <v>4672.8480703468495</v>
      </c>
      <c r="D242" s="28">
        <v>4.68</v>
      </c>
      <c r="E242" s="28">
        <v>4.68</v>
      </c>
      <c r="F242" s="9" t="str">
        <f t="shared" si="20"/>
        <v>Identical</v>
      </c>
      <c r="G242" s="27">
        <f t="shared" si="21"/>
        <v>1157.7918905715683</v>
      </c>
      <c r="H242" s="29">
        <v>1.3</v>
      </c>
      <c r="I242" s="29">
        <v>1.3</v>
      </c>
      <c r="J242" s="9" t="str">
        <f t="shared" si="22"/>
        <v>Identical</v>
      </c>
      <c r="K242" s="9" t="s">
        <v>539</v>
      </c>
      <c r="L242" s="9" t="s">
        <v>539</v>
      </c>
      <c r="M242" s="9" t="str">
        <f t="shared" si="23"/>
        <v>Same</v>
      </c>
      <c r="N242" s="30" t="s">
        <v>987</v>
      </c>
      <c r="O242" s="30" t="s">
        <v>987</v>
      </c>
    </row>
    <row r="243" spans="1:15" ht="15" customHeight="1" x14ac:dyDescent="0.2">
      <c r="A243" s="9">
        <v>238</v>
      </c>
      <c r="B243" s="27">
        <f t="shared" si="18"/>
        <v>1162.6770884220812</v>
      </c>
      <c r="C243" s="27">
        <f t="shared" si="19"/>
        <v>4692.564728871519</v>
      </c>
      <c r="D243" s="28">
        <v>4.7</v>
      </c>
      <c r="E243" s="28">
        <v>4.7</v>
      </c>
      <c r="F243" s="9" t="str">
        <f t="shared" si="20"/>
        <v>Identical</v>
      </c>
      <c r="G243" s="27">
        <f t="shared" si="21"/>
        <v>1162.6770884220812</v>
      </c>
      <c r="H243" s="29">
        <v>1.3</v>
      </c>
      <c r="I243" s="29">
        <v>1.3</v>
      </c>
      <c r="J243" s="9" t="str">
        <f t="shared" si="22"/>
        <v>Identical</v>
      </c>
      <c r="K243" s="9" t="s">
        <v>539</v>
      </c>
      <c r="L243" s="9" t="s">
        <v>539</v>
      </c>
      <c r="M243" s="9" t="str">
        <f t="shared" si="23"/>
        <v>Same</v>
      </c>
      <c r="N243" s="30" t="s">
        <v>987</v>
      </c>
      <c r="O243" s="30" t="s">
        <v>987</v>
      </c>
    </row>
    <row r="244" spans="1:15" ht="15" customHeight="1" x14ac:dyDescent="0.2">
      <c r="A244" s="9">
        <v>239</v>
      </c>
      <c r="B244" s="27">
        <f t="shared" si="18"/>
        <v>1167.5622862725941</v>
      </c>
      <c r="C244" s="27">
        <f t="shared" si="19"/>
        <v>4712.2813873961895</v>
      </c>
      <c r="D244" s="28">
        <v>4.72</v>
      </c>
      <c r="E244" s="28">
        <v>4.72</v>
      </c>
      <c r="F244" s="9" t="str">
        <f t="shared" si="20"/>
        <v>Identical</v>
      </c>
      <c r="G244" s="27">
        <f t="shared" si="21"/>
        <v>1167.5622862725941</v>
      </c>
      <c r="H244" s="29">
        <v>1.31</v>
      </c>
      <c r="I244" s="29">
        <v>1.31</v>
      </c>
      <c r="J244" s="9" t="str">
        <f t="shared" si="22"/>
        <v>Identical</v>
      </c>
      <c r="K244" s="9" t="s">
        <v>539</v>
      </c>
      <c r="L244" s="9" t="s">
        <v>539</v>
      </c>
      <c r="M244" s="9" t="str">
        <f t="shared" si="23"/>
        <v>Same</v>
      </c>
      <c r="N244" s="30" t="s">
        <v>988</v>
      </c>
      <c r="O244" s="30" t="s">
        <v>988</v>
      </c>
    </row>
    <row r="245" spans="1:15" ht="15" customHeight="1" x14ac:dyDescent="0.2">
      <c r="A245" s="9">
        <v>240</v>
      </c>
      <c r="B245" s="27">
        <f t="shared" si="18"/>
        <v>1172.447484123107</v>
      </c>
      <c r="C245" s="27">
        <f t="shared" si="19"/>
        <v>4731.9980459208591</v>
      </c>
      <c r="D245" s="28">
        <v>4.74</v>
      </c>
      <c r="E245" s="28">
        <v>4.74</v>
      </c>
      <c r="F245" s="9" t="str">
        <f t="shared" si="20"/>
        <v>Identical</v>
      </c>
      <c r="G245" s="27">
        <f t="shared" si="21"/>
        <v>1172.447484123107</v>
      </c>
      <c r="H245" s="29">
        <v>1.31</v>
      </c>
      <c r="I245" s="29">
        <v>1.31</v>
      </c>
      <c r="J245" s="9" t="str">
        <f t="shared" si="22"/>
        <v>Identical</v>
      </c>
      <c r="K245" s="9" t="s">
        <v>539</v>
      </c>
      <c r="L245" s="9" t="s">
        <v>539</v>
      </c>
      <c r="M245" s="9" t="str">
        <f t="shared" si="23"/>
        <v>Same</v>
      </c>
      <c r="N245" s="30" t="s">
        <v>988</v>
      </c>
      <c r="O245" s="30" t="s">
        <v>988</v>
      </c>
    </row>
    <row r="246" spans="1:15" ht="15" customHeight="1" x14ac:dyDescent="0.2">
      <c r="A246" s="9">
        <v>241</v>
      </c>
      <c r="B246" s="27">
        <f t="shared" si="18"/>
        <v>1177.3326819736201</v>
      </c>
      <c r="C246" s="27">
        <f t="shared" si="19"/>
        <v>4751.7147044455305</v>
      </c>
      <c r="D246" s="28">
        <v>4.76</v>
      </c>
      <c r="E246" s="28">
        <v>4.76</v>
      </c>
      <c r="F246" s="9" t="str">
        <f t="shared" si="20"/>
        <v>Identical</v>
      </c>
      <c r="G246" s="27">
        <f t="shared" si="21"/>
        <v>1177.3326819736201</v>
      </c>
      <c r="H246" s="29">
        <v>1.32</v>
      </c>
      <c r="I246" s="29">
        <v>1.32</v>
      </c>
      <c r="J246" s="9" t="str">
        <f t="shared" si="22"/>
        <v>Identical</v>
      </c>
      <c r="K246" s="9" t="s">
        <v>539</v>
      </c>
      <c r="L246" s="9" t="s">
        <v>539</v>
      </c>
      <c r="M246" s="9" t="str">
        <f t="shared" si="23"/>
        <v>Same</v>
      </c>
      <c r="N246" s="30" t="s">
        <v>989</v>
      </c>
      <c r="O246" s="30" t="s">
        <v>989</v>
      </c>
    </row>
    <row r="247" spans="1:15" ht="15" customHeight="1" x14ac:dyDescent="0.2">
      <c r="A247" s="9">
        <v>242</v>
      </c>
      <c r="B247" s="27">
        <f t="shared" si="18"/>
        <v>1182.217879824133</v>
      </c>
      <c r="C247" s="27">
        <f t="shared" si="19"/>
        <v>4771.4313629702001</v>
      </c>
      <c r="D247" s="28">
        <v>4.78</v>
      </c>
      <c r="E247" s="28">
        <v>4.78</v>
      </c>
      <c r="F247" s="9" t="str">
        <f t="shared" si="20"/>
        <v>Identical</v>
      </c>
      <c r="G247" s="27">
        <f t="shared" si="21"/>
        <v>1182.217879824133</v>
      </c>
      <c r="H247" s="29">
        <v>1.32</v>
      </c>
      <c r="I247" s="29">
        <v>1.32</v>
      </c>
      <c r="J247" s="9" t="str">
        <f t="shared" si="22"/>
        <v>Identical</v>
      </c>
      <c r="K247" s="9" t="s">
        <v>539</v>
      </c>
      <c r="L247" s="9" t="s">
        <v>539</v>
      </c>
      <c r="M247" s="9" t="str">
        <f t="shared" si="23"/>
        <v>Same</v>
      </c>
      <c r="N247" s="30" t="s">
        <v>989</v>
      </c>
      <c r="O247" s="30" t="s">
        <v>989</v>
      </c>
    </row>
    <row r="248" spans="1:15" ht="15" customHeight="1" x14ac:dyDescent="0.2">
      <c r="A248" s="9">
        <v>243</v>
      </c>
      <c r="B248" s="27">
        <f t="shared" si="18"/>
        <v>1187.1030776746459</v>
      </c>
      <c r="C248" s="27">
        <f t="shared" si="19"/>
        <v>4791.1480214948706</v>
      </c>
      <c r="D248" s="28">
        <v>4.8</v>
      </c>
      <c r="E248" s="28">
        <v>4.8</v>
      </c>
      <c r="F248" s="9" t="str">
        <f t="shared" si="20"/>
        <v>Identical</v>
      </c>
      <c r="G248" s="27">
        <f t="shared" si="21"/>
        <v>1187.1030776746459</v>
      </c>
      <c r="H248" s="29">
        <v>1.33</v>
      </c>
      <c r="I248" s="29">
        <v>1.33</v>
      </c>
      <c r="J248" s="9" t="str">
        <f t="shared" si="22"/>
        <v>Identical</v>
      </c>
      <c r="K248" s="9" t="s">
        <v>539</v>
      </c>
      <c r="L248" s="9" t="s">
        <v>539</v>
      </c>
      <c r="M248" s="9" t="str">
        <f t="shared" si="23"/>
        <v>Same</v>
      </c>
      <c r="N248" s="30" t="s">
        <v>990</v>
      </c>
      <c r="O248" s="30" t="s">
        <v>990</v>
      </c>
    </row>
    <row r="249" spans="1:15" ht="15" customHeight="1" x14ac:dyDescent="0.2">
      <c r="A249" s="9">
        <v>244</v>
      </c>
      <c r="B249" s="27">
        <f t="shared" si="18"/>
        <v>1191.9882755251588</v>
      </c>
      <c r="C249" s="27">
        <f t="shared" si="19"/>
        <v>4810.8646800195402</v>
      </c>
      <c r="D249" s="28">
        <v>4.82</v>
      </c>
      <c r="E249" s="28">
        <v>4.82</v>
      </c>
      <c r="F249" s="9" t="str">
        <f t="shared" si="20"/>
        <v>Identical</v>
      </c>
      <c r="G249" s="27">
        <f t="shared" si="21"/>
        <v>1191.9882755251588</v>
      </c>
      <c r="H249" s="29">
        <v>1.33</v>
      </c>
      <c r="I249" s="29">
        <v>1.34</v>
      </c>
      <c r="J249" s="9" t="str">
        <f t="shared" si="22"/>
        <v>+0.01 A (nearest step)</v>
      </c>
      <c r="K249" s="9" t="s">
        <v>539</v>
      </c>
      <c r="L249" s="9" t="s">
        <v>539</v>
      </c>
      <c r="M249" s="9" t="str">
        <f t="shared" si="23"/>
        <v>Same</v>
      </c>
      <c r="N249" s="30" t="s">
        <v>990</v>
      </c>
      <c r="O249" s="30" t="s">
        <v>991</v>
      </c>
    </row>
    <row r="250" spans="1:15" ht="15" customHeight="1" x14ac:dyDescent="0.2">
      <c r="A250" s="9">
        <v>245</v>
      </c>
      <c r="B250" s="27">
        <f t="shared" si="18"/>
        <v>1196.8734733756719</v>
      </c>
      <c r="C250" s="27">
        <f t="shared" si="19"/>
        <v>4830.5813385442116</v>
      </c>
      <c r="D250" s="28">
        <v>4.84</v>
      </c>
      <c r="E250" s="28">
        <v>4.84</v>
      </c>
      <c r="F250" s="9" t="str">
        <f t="shared" si="20"/>
        <v>Identical</v>
      </c>
      <c r="G250" s="27">
        <f t="shared" si="21"/>
        <v>1196.8734733756719</v>
      </c>
      <c r="H250" s="29">
        <v>1.34</v>
      </c>
      <c r="I250" s="29">
        <v>1.34</v>
      </c>
      <c r="J250" s="9" t="str">
        <f t="shared" si="22"/>
        <v>Identical</v>
      </c>
      <c r="K250" s="9" t="s">
        <v>539</v>
      </c>
      <c r="L250" s="9" t="s">
        <v>539</v>
      </c>
      <c r="M250" s="9" t="str">
        <f t="shared" si="23"/>
        <v>Same</v>
      </c>
      <c r="N250" s="30" t="s">
        <v>991</v>
      </c>
      <c r="O250" s="30" t="s">
        <v>991</v>
      </c>
    </row>
    <row r="251" spans="1:15" ht="15" customHeight="1" x14ac:dyDescent="0.2">
      <c r="A251" s="9">
        <v>246</v>
      </c>
      <c r="B251" s="27">
        <f t="shared" si="18"/>
        <v>1201.7586712261848</v>
      </c>
      <c r="C251" s="27">
        <f t="shared" si="19"/>
        <v>4850.2979970688812</v>
      </c>
      <c r="D251" s="28">
        <v>4.8600000000000003</v>
      </c>
      <c r="E251" s="28">
        <v>4.8600000000000003</v>
      </c>
      <c r="F251" s="9" t="str">
        <f t="shared" si="20"/>
        <v>Identical</v>
      </c>
      <c r="G251" s="27">
        <f t="shared" si="21"/>
        <v>1201.7586712261848</v>
      </c>
      <c r="H251" s="29">
        <v>1.35</v>
      </c>
      <c r="I251" s="29">
        <v>1.35</v>
      </c>
      <c r="J251" s="9" t="str">
        <f t="shared" si="22"/>
        <v>Identical</v>
      </c>
      <c r="K251" s="9" t="s">
        <v>539</v>
      </c>
      <c r="L251" s="9" t="s">
        <v>539</v>
      </c>
      <c r="M251" s="9" t="str">
        <f t="shared" si="23"/>
        <v>Same</v>
      </c>
      <c r="N251" s="30" t="s">
        <v>992</v>
      </c>
      <c r="O251" s="30" t="s">
        <v>992</v>
      </c>
    </row>
    <row r="252" spans="1:15" ht="15" customHeight="1" x14ac:dyDescent="0.2">
      <c r="A252" s="9">
        <v>247</v>
      </c>
      <c r="B252" s="27">
        <f t="shared" si="18"/>
        <v>1206.6438690766977</v>
      </c>
      <c r="C252" s="27">
        <f t="shared" si="19"/>
        <v>4870.0146555935517</v>
      </c>
      <c r="D252" s="28">
        <v>4.88</v>
      </c>
      <c r="E252" s="28">
        <v>4.88</v>
      </c>
      <c r="F252" s="9" t="str">
        <f t="shared" si="20"/>
        <v>Identical</v>
      </c>
      <c r="G252" s="27">
        <f t="shared" si="21"/>
        <v>1206.6438690766977</v>
      </c>
      <c r="H252" s="29">
        <v>1.35</v>
      </c>
      <c r="I252" s="29">
        <v>1.35</v>
      </c>
      <c r="J252" s="9" t="str">
        <f t="shared" si="22"/>
        <v>Identical</v>
      </c>
      <c r="K252" s="9" t="s">
        <v>539</v>
      </c>
      <c r="L252" s="9" t="s">
        <v>539</v>
      </c>
      <c r="M252" s="9" t="str">
        <f t="shared" si="23"/>
        <v>Same</v>
      </c>
      <c r="N252" s="30" t="s">
        <v>992</v>
      </c>
      <c r="O252" s="30" t="s">
        <v>992</v>
      </c>
    </row>
    <row r="253" spans="1:15" ht="15" customHeight="1" x14ac:dyDescent="0.2">
      <c r="A253" s="9">
        <v>248</v>
      </c>
      <c r="B253" s="27">
        <f t="shared" si="18"/>
        <v>1211.5290669272106</v>
      </c>
      <c r="C253" s="27">
        <f t="shared" si="19"/>
        <v>4889.7313141182212</v>
      </c>
      <c r="D253" s="28">
        <v>4.8899999999999997</v>
      </c>
      <c r="E253" s="28">
        <v>4.9000000000000004</v>
      </c>
      <c r="F253" s="9" t="str">
        <f t="shared" si="20"/>
        <v>Within 10 mV (calibration line)</v>
      </c>
      <c r="G253" s="27">
        <f t="shared" si="21"/>
        <v>1211.5290669272106</v>
      </c>
      <c r="H253" s="29">
        <v>1.36</v>
      </c>
      <c r="I253" s="29">
        <v>1.36</v>
      </c>
      <c r="J253" s="9" t="str">
        <f t="shared" si="22"/>
        <v>Identical</v>
      </c>
      <c r="K253" s="9" t="s">
        <v>539</v>
      </c>
      <c r="L253" s="9" t="s">
        <v>539</v>
      </c>
      <c r="M253" s="9" t="str">
        <f t="shared" si="23"/>
        <v>Same</v>
      </c>
      <c r="N253" s="30" t="s">
        <v>993</v>
      </c>
      <c r="O253" s="30" t="s">
        <v>993</v>
      </c>
    </row>
    <row r="254" spans="1:15" ht="15" customHeight="1" x14ac:dyDescent="0.2">
      <c r="A254" s="9">
        <v>249</v>
      </c>
      <c r="B254" s="27">
        <f t="shared" si="18"/>
        <v>1216.4142647777237</v>
      </c>
      <c r="C254" s="27">
        <f t="shared" si="19"/>
        <v>4909.4479726428926</v>
      </c>
      <c r="D254" s="28">
        <v>4.91</v>
      </c>
      <c r="E254" s="28">
        <v>4.92</v>
      </c>
      <c r="F254" s="9" t="str">
        <f t="shared" si="20"/>
        <v>Within 10 mV (calibration line)</v>
      </c>
      <c r="G254" s="27">
        <f t="shared" si="21"/>
        <v>1216.4142647777237</v>
      </c>
      <c r="H254" s="29">
        <v>1.36</v>
      </c>
      <c r="I254" s="29">
        <v>1.36</v>
      </c>
      <c r="J254" s="9" t="str">
        <f t="shared" si="22"/>
        <v>Identical</v>
      </c>
      <c r="K254" s="9" t="s">
        <v>539</v>
      </c>
      <c r="L254" s="9" t="s">
        <v>539</v>
      </c>
      <c r="M254" s="9" t="str">
        <f t="shared" si="23"/>
        <v>Same</v>
      </c>
      <c r="N254" s="30" t="s">
        <v>993</v>
      </c>
      <c r="O254" s="30" t="s">
        <v>993</v>
      </c>
    </row>
    <row r="255" spans="1:15" ht="15" customHeight="1" x14ac:dyDescent="0.2">
      <c r="A255" s="9">
        <v>250</v>
      </c>
      <c r="B255" s="27">
        <f t="shared" si="18"/>
        <v>1221.2994626282366</v>
      </c>
      <c r="C255" s="27">
        <f t="shared" si="19"/>
        <v>4929.1646311675622</v>
      </c>
      <c r="D255" s="28">
        <v>4.93</v>
      </c>
      <c r="E255" s="28">
        <v>4.9400000000000004</v>
      </c>
      <c r="F255" s="9" t="str">
        <f t="shared" si="20"/>
        <v>Within 10 mV (calibration line)</v>
      </c>
      <c r="G255" s="27">
        <f t="shared" si="21"/>
        <v>1221.2994626282366</v>
      </c>
      <c r="H255" s="29">
        <v>1.37</v>
      </c>
      <c r="I255" s="29">
        <v>1.37</v>
      </c>
      <c r="J255" s="9" t="str">
        <f t="shared" si="22"/>
        <v>Identical</v>
      </c>
      <c r="K255" s="9" t="s">
        <v>539</v>
      </c>
      <c r="L255" s="9" t="s">
        <v>539</v>
      </c>
      <c r="M255" s="9" t="str">
        <f t="shared" si="23"/>
        <v>Same</v>
      </c>
      <c r="N255" s="30" t="s">
        <v>994</v>
      </c>
      <c r="O255" s="30" t="s">
        <v>994</v>
      </c>
    </row>
    <row r="256" spans="1:15" ht="15" customHeight="1" x14ac:dyDescent="0.2">
      <c r="A256" s="9">
        <v>251</v>
      </c>
      <c r="B256" s="27">
        <f t="shared" si="18"/>
        <v>1226.1846604787495</v>
      </c>
      <c r="C256" s="27">
        <f t="shared" si="19"/>
        <v>4948.8812896922327</v>
      </c>
      <c r="D256" s="28">
        <v>4.95</v>
      </c>
      <c r="E256" s="28">
        <v>4.96</v>
      </c>
      <c r="F256" s="9" t="str">
        <f t="shared" si="20"/>
        <v>Within 10 mV (calibration line)</v>
      </c>
      <c r="G256" s="27">
        <f t="shared" si="21"/>
        <v>1226.1846604787495</v>
      </c>
      <c r="H256" s="29">
        <v>1.37</v>
      </c>
      <c r="I256" s="29">
        <v>1.37</v>
      </c>
      <c r="J256" s="9" t="str">
        <f t="shared" si="22"/>
        <v>Identical</v>
      </c>
      <c r="K256" s="9" t="s">
        <v>539</v>
      </c>
      <c r="L256" s="9" t="s">
        <v>539</v>
      </c>
      <c r="M256" s="9" t="str">
        <f t="shared" si="23"/>
        <v>Same</v>
      </c>
      <c r="N256" s="30" t="s">
        <v>994</v>
      </c>
      <c r="O256" s="30" t="s">
        <v>994</v>
      </c>
    </row>
    <row r="257" spans="1:15" ht="15" customHeight="1" x14ac:dyDescent="0.2">
      <c r="A257" s="9">
        <v>252</v>
      </c>
      <c r="B257" s="27">
        <f t="shared" si="18"/>
        <v>1231.0698583292624</v>
      </c>
      <c r="C257" s="27">
        <f t="shared" si="19"/>
        <v>4968.5979482169023</v>
      </c>
      <c r="D257" s="28">
        <v>4.97</v>
      </c>
      <c r="E257" s="28">
        <v>4.9800000000000004</v>
      </c>
      <c r="F257" s="9" t="str">
        <f t="shared" si="20"/>
        <v>Within 10 mV (calibration line)</v>
      </c>
      <c r="G257" s="27">
        <f t="shared" si="21"/>
        <v>1231.0698583292624</v>
      </c>
      <c r="H257" s="29">
        <v>1.38</v>
      </c>
      <c r="I257" s="29">
        <v>1.38</v>
      </c>
      <c r="J257" s="9" t="str">
        <f t="shared" si="22"/>
        <v>Identical</v>
      </c>
      <c r="K257" s="9" t="s">
        <v>539</v>
      </c>
      <c r="L257" s="9" t="s">
        <v>539</v>
      </c>
      <c r="M257" s="9" t="str">
        <f t="shared" si="23"/>
        <v>Same</v>
      </c>
      <c r="N257" s="30" t="s">
        <v>995</v>
      </c>
      <c r="O257" s="30" t="s">
        <v>995</v>
      </c>
    </row>
    <row r="258" spans="1:15" ht="15" customHeight="1" x14ac:dyDescent="0.2">
      <c r="A258" s="9">
        <v>253</v>
      </c>
      <c r="B258" s="27">
        <f t="shared" si="18"/>
        <v>1235.9550561797755</v>
      </c>
      <c r="C258" s="27">
        <f t="shared" si="19"/>
        <v>4988.3146067415737</v>
      </c>
      <c r="D258" s="28">
        <v>4.99</v>
      </c>
      <c r="E258" s="28">
        <v>5</v>
      </c>
      <c r="F258" s="9" t="str">
        <f t="shared" si="20"/>
        <v>Within 10 mV (calibration line)</v>
      </c>
      <c r="G258" s="27">
        <f t="shared" si="21"/>
        <v>1235.9550561797755</v>
      </c>
      <c r="H258" s="29">
        <v>1.38</v>
      </c>
      <c r="I258" s="29">
        <v>1.39</v>
      </c>
      <c r="J258" s="9" t="str">
        <f t="shared" si="22"/>
        <v>+0.01 A (nearest step)</v>
      </c>
      <c r="K258" s="9" t="s">
        <v>539</v>
      </c>
      <c r="L258" s="9" t="s">
        <v>539</v>
      </c>
      <c r="M258" s="9" t="str">
        <f t="shared" si="23"/>
        <v>Same</v>
      </c>
      <c r="N258" s="30" t="s">
        <v>995</v>
      </c>
      <c r="O258" s="30" t="s">
        <v>996</v>
      </c>
    </row>
    <row r="259" spans="1:15" ht="15" customHeight="1" x14ac:dyDescent="0.2">
      <c r="A259" s="9">
        <v>254</v>
      </c>
      <c r="B259" s="27">
        <f t="shared" si="18"/>
        <v>1240.8402540302884</v>
      </c>
      <c r="C259" s="27">
        <f t="shared" si="19"/>
        <v>5008.0312652662433</v>
      </c>
      <c r="D259" s="28">
        <v>5.01</v>
      </c>
      <c r="E259" s="28">
        <v>5.0199999999999996</v>
      </c>
      <c r="F259" s="9" t="str">
        <f t="shared" si="20"/>
        <v>Within 10 mV (calibration line)</v>
      </c>
      <c r="G259" s="27">
        <f t="shared" si="21"/>
        <v>1240.8402540302884</v>
      </c>
      <c r="H259" s="29">
        <v>1.39</v>
      </c>
      <c r="I259" s="29">
        <v>1.39</v>
      </c>
      <c r="J259" s="9" t="str">
        <f t="shared" si="22"/>
        <v>Identical</v>
      </c>
      <c r="K259" s="9" t="s">
        <v>539</v>
      </c>
      <c r="L259" s="9" t="s">
        <v>539</v>
      </c>
      <c r="M259" s="9" t="str">
        <f t="shared" si="23"/>
        <v>Same</v>
      </c>
      <c r="N259" s="30" t="s">
        <v>996</v>
      </c>
      <c r="O259" s="30" t="s">
        <v>996</v>
      </c>
    </row>
    <row r="260" spans="1:15" ht="15" customHeight="1" x14ac:dyDescent="0.2">
      <c r="A260" s="9">
        <v>255</v>
      </c>
      <c r="B260" s="27">
        <f t="shared" si="18"/>
        <v>1245.7254518808013</v>
      </c>
      <c r="C260" s="27">
        <f t="shared" si="19"/>
        <v>5027.7479237909138</v>
      </c>
      <c r="D260" s="28">
        <v>5.03</v>
      </c>
      <c r="E260" s="28">
        <v>5.04</v>
      </c>
      <c r="F260" s="9" t="str">
        <f t="shared" si="20"/>
        <v>Within 10 mV (calibration line)</v>
      </c>
      <c r="G260" s="27">
        <f t="shared" si="21"/>
        <v>1245.7254518808013</v>
      </c>
      <c r="H260" s="29">
        <v>1.4</v>
      </c>
      <c r="I260" s="29">
        <v>1.4</v>
      </c>
      <c r="J260" s="9" t="str">
        <f t="shared" si="22"/>
        <v>Identical</v>
      </c>
      <c r="K260" s="9" t="s">
        <v>539</v>
      </c>
      <c r="L260" s="9" t="s">
        <v>539</v>
      </c>
      <c r="M260" s="9" t="str">
        <f t="shared" si="23"/>
        <v>Same</v>
      </c>
      <c r="N260" s="30" t="s">
        <v>997</v>
      </c>
      <c r="O260" s="30" t="s">
        <v>997</v>
      </c>
    </row>
    <row r="261" spans="1:15" ht="15" customHeight="1" x14ac:dyDescent="0.2">
      <c r="A261" s="9">
        <v>256</v>
      </c>
      <c r="B261" s="27">
        <f t="shared" ref="B261:B324" si="24">A261/$C$3*1000</f>
        <v>1250.610649731314</v>
      </c>
      <c r="C261" s="27">
        <f t="shared" ref="C261:C324" si="25">B261*$F$3</f>
        <v>5047.4645823155824</v>
      </c>
      <c r="D261" s="28">
        <v>5.05</v>
      </c>
      <c r="E261" s="28">
        <v>5.0599999999999996</v>
      </c>
      <c r="F261" s="9" t="str">
        <f t="shared" ref="F261:F324" si="26">IF(D261=E261,"Identical",IF(E261="OL","ADC full scale: now OL",IF(ABS(E261-D261)&lt;0.0105,"Within 10 mV (calibration line)",IF(AND(C261&lt;4200,ABS(E261-D261)&lt;0.0205),"-20 mV (end of old +30 mV band)",IF(C261&lt;830,"Low range fixed (F-02)","Different")))))</f>
        <v>Within 10 mV (calibration line)</v>
      </c>
      <c r="G261" s="27">
        <f t="shared" ref="G261:G324" si="27">B261</f>
        <v>1250.610649731314</v>
      </c>
      <c r="H261" s="29">
        <v>1.4</v>
      </c>
      <c r="I261" s="29">
        <v>1.4</v>
      </c>
      <c r="J261" s="9" t="str">
        <f t="shared" ref="J261:J324" si="28">IF(H261=I261,"Identical",IF(I261="OL","Above 5.00 A: now OL",IF(H261="ERR (999.23)","Gap bug fixed",IF(ABS(I261-H261-0.01)&lt;0.0001,"+0.01 A (nearest step)","Different"))))</f>
        <v>Identical</v>
      </c>
      <c r="K261" s="9" t="s">
        <v>539</v>
      </c>
      <c r="L261" s="9" t="s">
        <v>539</v>
      </c>
      <c r="M261" s="9" t="str">
        <f t="shared" ref="M261:M324" si="29">IF(K261=L261,"Same","Different")</f>
        <v>Same</v>
      </c>
      <c r="N261" s="30" t="s">
        <v>997</v>
      </c>
      <c r="O261" s="30" t="s">
        <v>997</v>
      </c>
    </row>
    <row r="262" spans="1:15" ht="15" customHeight="1" x14ac:dyDescent="0.2">
      <c r="A262" s="9">
        <v>257</v>
      </c>
      <c r="B262" s="27">
        <f t="shared" si="24"/>
        <v>1255.4958475818271</v>
      </c>
      <c r="C262" s="27">
        <f t="shared" si="25"/>
        <v>5067.1812408402538</v>
      </c>
      <c r="D262" s="28">
        <v>5.07</v>
      </c>
      <c r="E262" s="28">
        <v>5.08</v>
      </c>
      <c r="F262" s="9" t="str">
        <f t="shared" si="26"/>
        <v>Within 10 mV (calibration line)</v>
      </c>
      <c r="G262" s="27">
        <f t="shared" si="27"/>
        <v>1255.4958475818271</v>
      </c>
      <c r="H262" s="29">
        <v>1.41</v>
      </c>
      <c r="I262" s="29">
        <v>1.41</v>
      </c>
      <c r="J262" s="9" t="str">
        <f t="shared" si="28"/>
        <v>Identical</v>
      </c>
      <c r="K262" s="9" t="s">
        <v>539</v>
      </c>
      <c r="L262" s="9" t="s">
        <v>539</v>
      </c>
      <c r="M262" s="9" t="str">
        <f t="shared" si="29"/>
        <v>Same</v>
      </c>
      <c r="N262" s="30" t="s">
        <v>998</v>
      </c>
      <c r="O262" s="30" t="s">
        <v>998</v>
      </c>
    </row>
    <row r="263" spans="1:15" ht="15" customHeight="1" x14ac:dyDescent="0.2">
      <c r="A263" s="9">
        <v>258</v>
      </c>
      <c r="B263" s="27">
        <f t="shared" si="24"/>
        <v>1260.38104543234</v>
      </c>
      <c r="C263" s="27">
        <f t="shared" si="25"/>
        <v>5086.8978993649234</v>
      </c>
      <c r="D263" s="28">
        <v>5.09</v>
      </c>
      <c r="E263" s="28">
        <v>5.0999999999999996</v>
      </c>
      <c r="F263" s="9" t="str">
        <f t="shared" si="26"/>
        <v>Within 10 mV (calibration line)</v>
      </c>
      <c r="G263" s="27">
        <f t="shared" si="27"/>
        <v>1260.38104543234</v>
      </c>
      <c r="H263" s="29">
        <v>1.41</v>
      </c>
      <c r="I263" s="29">
        <v>1.41</v>
      </c>
      <c r="J263" s="9" t="str">
        <f t="shared" si="28"/>
        <v>Identical</v>
      </c>
      <c r="K263" s="9" t="s">
        <v>539</v>
      </c>
      <c r="L263" s="9" t="s">
        <v>539</v>
      </c>
      <c r="M263" s="9" t="str">
        <f t="shared" si="29"/>
        <v>Same</v>
      </c>
      <c r="N263" s="30" t="s">
        <v>998</v>
      </c>
      <c r="O263" s="30" t="s">
        <v>998</v>
      </c>
    </row>
    <row r="264" spans="1:15" ht="15" customHeight="1" x14ac:dyDescent="0.2">
      <c r="A264" s="9">
        <v>259</v>
      </c>
      <c r="B264" s="27">
        <f t="shared" si="24"/>
        <v>1265.2662432828529</v>
      </c>
      <c r="C264" s="27">
        <f t="shared" si="25"/>
        <v>5106.6145578895939</v>
      </c>
      <c r="D264" s="28">
        <v>5.1100000000000003</v>
      </c>
      <c r="E264" s="28">
        <v>5.12</v>
      </c>
      <c r="F264" s="9" t="str">
        <f t="shared" si="26"/>
        <v>Within 10 mV (calibration line)</v>
      </c>
      <c r="G264" s="27">
        <f t="shared" si="27"/>
        <v>1265.2662432828529</v>
      </c>
      <c r="H264" s="29">
        <v>1.42</v>
      </c>
      <c r="I264" s="29">
        <v>1.42</v>
      </c>
      <c r="J264" s="9" t="str">
        <f t="shared" si="28"/>
        <v>Identical</v>
      </c>
      <c r="K264" s="9" t="s">
        <v>539</v>
      </c>
      <c r="L264" s="9" t="s">
        <v>539</v>
      </c>
      <c r="M264" s="9" t="str">
        <f t="shared" si="29"/>
        <v>Same</v>
      </c>
      <c r="N264" s="30" t="s">
        <v>999</v>
      </c>
      <c r="O264" s="30" t="s">
        <v>999</v>
      </c>
    </row>
    <row r="265" spans="1:15" ht="15" customHeight="1" x14ac:dyDescent="0.2">
      <c r="A265" s="9">
        <v>260</v>
      </c>
      <c r="B265" s="27">
        <f t="shared" si="24"/>
        <v>1270.1514411333658</v>
      </c>
      <c r="C265" s="27">
        <f t="shared" si="25"/>
        <v>5126.3312164142635</v>
      </c>
      <c r="D265" s="28">
        <v>5.13</v>
      </c>
      <c r="E265" s="28">
        <v>5.14</v>
      </c>
      <c r="F265" s="9" t="str">
        <f t="shared" si="26"/>
        <v>Within 10 mV (calibration line)</v>
      </c>
      <c r="G265" s="27">
        <f t="shared" si="27"/>
        <v>1270.1514411333658</v>
      </c>
      <c r="H265" s="29">
        <v>1.42</v>
      </c>
      <c r="I265" s="29">
        <v>1.42</v>
      </c>
      <c r="J265" s="9" t="str">
        <f t="shared" si="28"/>
        <v>Identical</v>
      </c>
      <c r="K265" s="9" t="s">
        <v>539</v>
      </c>
      <c r="L265" s="9" t="s">
        <v>539</v>
      </c>
      <c r="M265" s="9" t="str">
        <f t="shared" si="29"/>
        <v>Same</v>
      </c>
      <c r="N265" s="30" t="s">
        <v>999</v>
      </c>
      <c r="O265" s="30" t="s">
        <v>999</v>
      </c>
    </row>
    <row r="266" spans="1:15" ht="15" customHeight="1" x14ac:dyDescent="0.2">
      <c r="A266" s="9">
        <v>261</v>
      </c>
      <c r="B266" s="27">
        <f t="shared" si="24"/>
        <v>1275.0366389838789</v>
      </c>
      <c r="C266" s="27">
        <f t="shared" si="25"/>
        <v>5146.0478749389349</v>
      </c>
      <c r="D266" s="28">
        <v>5.15</v>
      </c>
      <c r="E266" s="28">
        <v>5.16</v>
      </c>
      <c r="F266" s="9" t="str">
        <f t="shared" si="26"/>
        <v>Within 10 mV (calibration line)</v>
      </c>
      <c r="G266" s="27">
        <f t="shared" si="27"/>
        <v>1275.0366389838789</v>
      </c>
      <c r="H266" s="29">
        <v>1.43</v>
      </c>
      <c r="I266" s="29">
        <v>1.43</v>
      </c>
      <c r="J266" s="9" t="str">
        <f t="shared" si="28"/>
        <v>Identical</v>
      </c>
      <c r="K266" s="9" t="s">
        <v>539</v>
      </c>
      <c r="L266" s="9" t="s">
        <v>539</v>
      </c>
      <c r="M266" s="9" t="str">
        <f t="shared" si="29"/>
        <v>Same</v>
      </c>
      <c r="N266" s="30" t="s">
        <v>1000</v>
      </c>
      <c r="O266" s="30" t="s">
        <v>1000</v>
      </c>
    </row>
    <row r="267" spans="1:15" ht="15" customHeight="1" x14ac:dyDescent="0.2">
      <c r="A267" s="9">
        <v>262</v>
      </c>
      <c r="B267" s="27">
        <f t="shared" si="24"/>
        <v>1279.9218368343918</v>
      </c>
      <c r="C267" s="27">
        <f t="shared" si="25"/>
        <v>5165.7645334636045</v>
      </c>
      <c r="D267" s="28">
        <v>5.17</v>
      </c>
      <c r="E267" s="28">
        <v>5.17</v>
      </c>
      <c r="F267" s="9" t="str">
        <f t="shared" si="26"/>
        <v>Identical</v>
      </c>
      <c r="G267" s="27">
        <f t="shared" si="27"/>
        <v>1279.9218368343918</v>
      </c>
      <c r="H267" s="29">
        <v>1.43</v>
      </c>
      <c r="I267" s="29">
        <v>1.44</v>
      </c>
      <c r="J267" s="9" t="str">
        <f t="shared" si="28"/>
        <v>+0.01 A (nearest step)</v>
      </c>
      <c r="K267" s="9" t="s">
        <v>539</v>
      </c>
      <c r="L267" s="9" t="s">
        <v>539</v>
      </c>
      <c r="M267" s="9" t="str">
        <f t="shared" si="29"/>
        <v>Same</v>
      </c>
      <c r="N267" s="30" t="s">
        <v>1000</v>
      </c>
      <c r="O267" s="30" t="s">
        <v>1001</v>
      </c>
    </row>
    <row r="268" spans="1:15" ht="15" customHeight="1" x14ac:dyDescent="0.2">
      <c r="A268" s="9">
        <v>263</v>
      </c>
      <c r="B268" s="27">
        <f t="shared" si="24"/>
        <v>1284.8070346849047</v>
      </c>
      <c r="C268" s="27">
        <f t="shared" si="25"/>
        <v>5185.481191988275</v>
      </c>
      <c r="D268" s="28">
        <v>5.19</v>
      </c>
      <c r="E268" s="28">
        <v>5.19</v>
      </c>
      <c r="F268" s="9" t="str">
        <f t="shared" si="26"/>
        <v>Identical</v>
      </c>
      <c r="G268" s="27">
        <f t="shared" si="27"/>
        <v>1284.8070346849047</v>
      </c>
      <c r="H268" s="29">
        <v>1.44</v>
      </c>
      <c r="I268" s="29">
        <v>1.44</v>
      </c>
      <c r="J268" s="9" t="str">
        <f t="shared" si="28"/>
        <v>Identical</v>
      </c>
      <c r="K268" s="9" t="s">
        <v>539</v>
      </c>
      <c r="L268" s="9" t="s">
        <v>539</v>
      </c>
      <c r="M268" s="9" t="str">
        <f t="shared" si="29"/>
        <v>Same</v>
      </c>
      <c r="N268" s="30" t="s">
        <v>1001</v>
      </c>
      <c r="O268" s="30" t="s">
        <v>1001</v>
      </c>
    </row>
    <row r="269" spans="1:15" ht="15" customHeight="1" x14ac:dyDescent="0.2">
      <c r="A269" s="9">
        <v>264</v>
      </c>
      <c r="B269" s="27">
        <f t="shared" si="24"/>
        <v>1289.6922325354176</v>
      </c>
      <c r="C269" s="27">
        <f t="shared" si="25"/>
        <v>5205.1978505129446</v>
      </c>
      <c r="D269" s="28">
        <v>5.21</v>
      </c>
      <c r="E269" s="28">
        <v>5.21</v>
      </c>
      <c r="F269" s="9" t="str">
        <f t="shared" si="26"/>
        <v>Identical</v>
      </c>
      <c r="G269" s="27">
        <f t="shared" si="27"/>
        <v>1289.6922325354176</v>
      </c>
      <c r="H269" s="29">
        <v>1.45</v>
      </c>
      <c r="I269" s="29">
        <v>1.45</v>
      </c>
      <c r="J269" s="9" t="str">
        <f t="shared" si="28"/>
        <v>Identical</v>
      </c>
      <c r="K269" s="9" t="s">
        <v>539</v>
      </c>
      <c r="L269" s="9" t="s">
        <v>539</v>
      </c>
      <c r="M269" s="9" t="str">
        <f t="shared" si="29"/>
        <v>Same</v>
      </c>
      <c r="N269" s="30" t="s">
        <v>1002</v>
      </c>
      <c r="O269" s="30" t="s">
        <v>1002</v>
      </c>
    </row>
    <row r="270" spans="1:15" ht="15" customHeight="1" x14ac:dyDescent="0.2">
      <c r="A270" s="9">
        <v>265</v>
      </c>
      <c r="B270" s="27">
        <f t="shared" si="24"/>
        <v>1294.5774303859307</v>
      </c>
      <c r="C270" s="27">
        <f t="shared" si="25"/>
        <v>5224.914509037616</v>
      </c>
      <c r="D270" s="28">
        <v>5.23</v>
      </c>
      <c r="E270" s="28">
        <v>5.23</v>
      </c>
      <c r="F270" s="9" t="str">
        <f t="shared" si="26"/>
        <v>Identical</v>
      </c>
      <c r="G270" s="27">
        <f t="shared" si="27"/>
        <v>1294.5774303859307</v>
      </c>
      <c r="H270" s="29">
        <v>1.45</v>
      </c>
      <c r="I270" s="29">
        <v>1.45</v>
      </c>
      <c r="J270" s="9" t="str">
        <f t="shared" si="28"/>
        <v>Identical</v>
      </c>
      <c r="K270" s="9" t="s">
        <v>539</v>
      </c>
      <c r="L270" s="9" t="s">
        <v>539</v>
      </c>
      <c r="M270" s="9" t="str">
        <f t="shared" si="29"/>
        <v>Same</v>
      </c>
      <c r="N270" s="30" t="s">
        <v>1002</v>
      </c>
      <c r="O270" s="30" t="s">
        <v>1002</v>
      </c>
    </row>
    <row r="271" spans="1:15" ht="15" customHeight="1" x14ac:dyDescent="0.2">
      <c r="A271" s="9">
        <v>266</v>
      </c>
      <c r="B271" s="27">
        <f t="shared" si="24"/>
        <v>1299.4626282364436</v>
      </c>
      <c r="C271" s="27">
        <f t="shared" si="25"/>
        <v>5244.6311675622856</v>
      </c>
      <c r="D271" s="28">
        <v>5.25</v>
      </c>
      <c r="E271" s="28">
        <v>5.25</v>
      </c>
      <c r="F271" s="9" t="str">
        <f t="shared" si="26"/>
        <v>Identical</v>
      </c>
      <c r="G271" s="27">
        <f t="shared" si="27"/>
        <v>1299.4626282364436</v>
      </c>
      <c r="H271" s="29">
        <v>1.46</v>
      </c>
      <c r="I271" s="29">
        <v>1.46</v>
      </c>
      <c r="J271" s="9" t="str">
        <f t="shared" si="28"/>
        <v>Identical</v>
      </c>
      <c r="K271" s="9" t="s">
        <v>539</v>
      </c>
      <c r="L271" s="9" t="s">
        <v>539</v>
      </c>
      <c r="M271" s="9" t="str">
        <f t="shared" si="29"/>
        <v>Same</v>
      </c>
      <c r="N271" s="30" t="s">
        <v>1003</v>
      </c>
      <c r="O271" s="30" t="s">
        <v>1003</v>
      </c>
    </row>
    <row r="272" spans="1:15" ht="15" customHeight="1" x14ac:dyDescent="0.2">
      <c r="A272" s="9">
        <v>267</v>
      </c>
      <c r="B272" s="27">
        <f t="shared" si="24"/>
        <v>1304.3478260869565</v>
      </c>
      <c r="C272" s="27">
        <f t="shared" si="25"/>
        <v>5264.347826086956</v>
      </c>
      <c r="D272" s="28">
        <v>5.27</v>
      </c>
      <c r="E272" s="28">
        <v>5.27</v>
      </c>
      <c r="F272" s="9" t="str">
        <f t="shared" si="26"/>
        <v>Identical</v>
      </c>
      <c r="G272" s="27">
        <f t="shared" si="27"/>
        <v>1304.3478260869565</v>
      </c>
      <c r="H272" s="29">
        <v>1.46</v>
      </c>
      <c r="I272" s="29">
        <v>1.46</v>
      </c>
      <c r="J272" s="9" t="str">
        <f t="shared" si="28"/>
        <v>Identical</v>
      </c>
      <c r="K272" s="9" t="s">
        <v>539</v>
      </c>
      <c r="L272" s="9" t="s">
        <v>539</v>
      </c>
      <c r="M272" s="9" t="str">
        <f t="shared" si="29"/>
        <v>Same</v>
      </c>
      <c r="N272" s="30" t="s">
        <v>1003</v>
      </c>
      <c r="O272" s="30" t="s">
        <v>1003</v>
      </c>
    </row>
    <row r="273" spans="1:15" ht="15" customHeight="1" x14ac:dyDescent="0.2">
      <c r="A273" s="9">
        <v>268</v>
      </c>
      <c r="B273" s="27">
        <f t="shared" si="24"/>
        <v>1309.2330239374694</v>
      </c>
      <c r="C273" s="27">
        <f t="shared" si="25"/>
        <v>5284.0644846116256</v>
      </c>
      <c r="D273" s="28">
        <v>5.29</v>
      </c>
      <c r="E273" s="28">
        <v>5.29</v>
      </c>
      <c r="F273" s="9" t="str">
        <f t="shared" si="26"/>
        <v>Identical</v>
      </c>
      <c r="G273" s="27">
        <f t="shared" si="27"/>
        <v>1309.2330239374694</v>
      </c>
      <c r="H273" s="29">
        <v>1.47</v>
      </c>
      <c r="I273" s="29">
        <v>1.47</v>
      </c>
      <c r="J273" s="9" t="str">
        <f t="shared" si="28"/>
        <v>Identical</v>
      </c>
      <c r="K273" s="9" t="s">
        <v>539</v>
      </c>
      <c r="L273" s="9" t="s">
        <v>539</v>
      </c>
      <c r="M273" s="9" t="str">
        <f t="shared" si="29"/>
        <v>Same</v>
      </c>
      <c r="N273" s="30" t="s">
        <v>1004</v>
      </c>
      <c r="O273" s="30" t="s">
        <v>1004</v>
      </c>
    </row>
    <row r="274" spans="1:15" ht="15" customHeight="1" x14ac:dyDescent="0.2">
      <c r="A274" s="9">
        <v>269</v>
      </c>
      <c r="B274" s="27">
        <f t="shared" si="24"/>
        <v>1314.1182217879825</v>
      </c>
      <c r="C274" s="27">
        <f t="shared" si="25"/>
        <v>5303.781143136297</v>
      </c>
      <c r="D274" s="28">
        <v>5.31</v>
      </c>
      <c r="E274" s="28">
        <v>5.31</v>
      </c>
      <c r="F274" s="9" t="str">
        <f t="shared" si="26"/>
        <v>Identical</v>
      </c>
      <c r="G274" s="27">
        <f t="shared" si="27"/>
        <v>1314.1182217879825</v>
      </c>
      <c r="H274" s="29">
        <v>1.47</v>
      </c>
      <c r="I274" s="29">
        <v>1.47</v>
      </c>
      <c r="J274" s="9" t="str">
        <f t="shared" si="28"/>
        <v>Identical</v>
      </c>
      <c r="K274" s="9" t="s">
        <v>539</v>
      </c>
      <c r="L274" s="9" t="s">
        <v>539</v>
      </c>
      <c r="M274" s="9" t="str">
        <f t="shared" si="29"/>
        <v>Same</v>
      </c>
      <c r="N274" s="30" t="s">
        <v>1004</v>
      </c>
      <c r="O274" s="30" t="s">
        <v>1004</v>
      </c>
    </row>
    <row r="275" spans="1:15" ht="15" customHeight="1" x14ac:dyDescent="0.2">
      <c r="A275" s="9">
        <v>270</v>
      </c>
      <c r="B275" s="27">
        <f t="shared" si="24"/>
        <v>1319.0034196384954</v>
      </c>
      <c r="C275" s="27">
        <f t="shared" si="25"/>
        <v>5323.4978016609666</v>
      </c>
      <c r="D275" s="28">
        <v>5.33</v>
      </c>
      <c r="E275" s="28">
        <v>5.33</v>
      </c>
      <c r="F275" s="9" t="str">
        <f t="shared" si="26"/>
        <v>Identical</v>
      </c>
      <c r="G275" s="27">
        <f t="shared" si="27"/>
        <v>1319.0034196384954</v>
      </c>
      <c r="H275" s="29">
        <v>1.48</v>
      </c>
      <c r="I275" s="29">
        <v>1.48</v>
      </c>
      <c r="J275" s="9" t="str">
        <f t="shared" si="28"/>
        <v>Identical</v>
      </c>
      <c r="K275" s="9" t="s">
        <v>539</v>
      </c>
      <c r="L275" s="9" t="s">
        <v>539</v>
      </c>
      <c r="M275" s="9" t="str">
        <f t="shared" si="29"/>
        <v>Same</v>
      </c>
      <c r="N275" s="30" t="s">
        <v>1005</v>
      </c>
      <c r="O275" s="30" t="s">
        <v>1005</v>
      </c>
    </row>
    <row r="276" spans="1:15" ht="15" customHeight="1" x14ac:dyDescent="0.2">
      <c r="A276" s="9">
        <v>271</v>
      </c>
      <c r="B276" s="27">
        <f t="shared" si="24"/>
        <v>1323.8886174890083</v>
      </c>
      <c r="C276" s="27">
        <f t="shared" si="25"/>
        <v>5343.2144601856371</v>
      </c>
      <c r="D276" s="28">
        <v>5.35</v>
      </c>
      <c r="E276" s="28">
        <v>5.35</v>
      </c>
      <c r="F276" s="9" t="str">
        <f t="shared" si="26"/>
        <v>Identical</v>
      </c>
      <c r="G276" s="27">
        <f t="shared" si="27"/>
        <v>1323.8886174890083</v>
      </c>
      <c r="H276" s="29">
        <v>1.48</v>
      </c>
      <c r="I276" s="29">
        <v>1.48</v>
      </c>
      <c r="J276" s="9" t="str">
        <f t="shared" si="28"/>
        <v>Identical</v>
      </c>
      <c r="K276" s="9" t="s">
        <v>539</v>
      </c>
      <c r="L276" s="9" t="s">
        <v>539</v>
      </c>
      <c r="M276" s="9" t="str">
        <f t="shared" si="29"/>
        <v>Same</v>
      </c>
      <c r="N276" s="30" t="s">
        <v>1005</v>
      </c>
      <c r="O276" s="30" t="s">
        <v>1005</v>
      </c>
    </row>
    <row r="277" spans="1:15" ht="15" customHeight="1" x14ac:dyDescent="0.2">
      <c r="A277" s="9">
        <v>272</v>
      </c>
      <c r="B277" s="27">
        <f t="shared" si="24"/>
        <v>1328.7738153395212</v>
      </c>
      <c r="C277" s="27">
        <f t="shared" si="25"/>
        <v>5362.9311187103067</v>
      </c>
      <c r="D277" s="28">
        <v>5.37</v>
      </c>
      <c r="E277" s="28">
        <v>5.37</v>
      </c>
      <c r="F277" s="9" t="str">
        <f t="shared" si="26"/>
        <v>Identical</v>
      </c>
      <c r="G277" s="27">
        <f t="shared" si="27"/>
        <v>1328.7738153395212</v>
      </c>
      <c r="H277" s="29">
        <v>1.49</v>
      </c>
      <c r="I277" s="29">
        <v>1.49</v>
      </c>
      <c r="J277" s="9" t="str">
        <f t="shared" si="28"/>
        <v>Identical</v>
      </c>
      <c r="K277" s="9" t="s">
        <v>539</v>
      </c>
      <c r="L277" s="9" t="s">
        <v>539</v>
      </c>
      <c r="M277" s="9" t="str">
        <f t="shared" si="29"/>
        <v>Same</v>
      </c>
      <c r="N277" s="30" t="s">
        <v>1006</v>
      </c>
      <c r="O277" s="30" t="s">
        <v>1006</v>
      </c>
    </row>
    <row r="278" spans="1:15" ht="15" customHeight="1" x14ac:dyDescent="0.2">
      <c r="A278" s="9">
        <v>273</v>
      </c>
      <c r="B278" s="27">
        <f t="shared" si="24"/>
        <v>1333.6590131900343</v>
      </c>
      <c r="C278" s="27">
        <f t="shared" si="25"/>
        <v>5382.6477772349781</v>
      </c>
      <c r="D278" s="28">
        <v>5.39</v>
      </c>
      <c r="E278" s="28">
        <v>5.39</v>
      </c>
      <c r="F278" s="9" t="str">
        <f t="shared" si="26"/>
        <v>Identical</v>
      </c>
      <c r="G278" s="27">
        <f t="shared" si="27"/>
        <v>1333.6590131900343</v>
      </c>
      <c r="H278" s="29">
        <v>1.49</v>
      </c>
      <c r="I278" s="29">
        <v>1.5</v>
      </c>
      <c r="J278" s="9" t="str">
        <f t="shared" si="28"/>
        <v>+0.01 A (nearest step)</v>
      </c>
      <c r="K278" s="9" t="s">
        <v>539</v>
      </c>
      <c r="L278" s="9" t="s">
        <v>539</v>
      </c>
      <c r="M278" s="9" t="str">
        <f t="shared" si="29"/>
        <v>Same</v>
      </c>
      <c r="N278" s="30" t="s">
        <v>1006</v>
      </c>
      <c r="O278" s="30" t="s">
        <v>1007</v>
      </c>
    </row>
    <row r="279" spans="1:15" ht="15" customHeight="1" x14ac:dyDescent="0.2">
      <c r="A279" s="9">
        <v>274</v>
      </c>
      <c r="B279" s="27">
        <f t="shared" si="24"/>
        <v>1338.5442110405472</v>
      </c>
      <c r="C279" s="27">
        <f t="shared" si="25"/>
        <v>5402.3644357596477</v>
      </c>
      <c r="D279" s="28">
        <v>5.41</v>
      </c>
      <c r="E279" s="28">
        <v>5.41</v>
      </c>
      <c r="F279" s="9" t="str">
        <f t="shared" si="26"/>
        <v>Identical</v>
      </c>
      <c r="G279" s="27">
        <f t="shared" si="27"/>
        <v>1338.5442110405472</v>
      </c>
      <c r="H279" s="29">
        <v>1.5</v>
      </c>
      <c r="I279" s="29">
        <v>1.5</v>
      </c>
      <c r="J279" s="9" t="str">
        <f t="shared" si="28"/>
        <v>Identical</v>
      </c>
      <c r="K279" s="9" t="s">
        <v>539</v>
      </c>
      <c r="L279" s="9" t="s">
        <v>539</v>
      </c>
      <c r="M279" s="9" t="str">
        <f t="shared" si="29"/>
        <v>Same</v>
      </c>
      <c r="N279" s="30" t="s">
        <v>1007</v>
      </c>
      <c r="O279" s="30" t="s">
        <v>1007</v>
      </c>
    </row>
    <row r="280" spans="1:15" ht="15" customHeight="1" x14ac:dyDescent="0.2">
      <c r="A280" s="9">
        <v>275</v>
      </c>
      <c r="B280" s="27">
        <f t="shared" si="24"/>
        <v>1343.4294088910601</v>
      </c>
      <c r="C280" s="27">
        <f t="shared" si="25"/>
        <v>5422.0810942843182</v>
      </c>
      <c r="D280" s="28">
        <v>5.43</v>
      </c>
      <c r="E280" s="28">
        <v>5.43</v>
      </c>
      <c r="F280" s="9" t="str">
        <f t="shared" si="26"/>
        <v>Identical</v>
      </c>
      <c r="G280" s="27">
        <f t="shared" si="27"/>
        <v>1343.4294088910601</v>
      </c>
      <c r="H280" s="29">
        <v>1.51</v>
      </c>
      <c r="I280" s="29">
        <v>1.51</v>
      </c>
      <c r="J280" s="9" t="str">
        <f t="shared" si="28"/>
        <v>Identical</v>
      </c>
      <c r="K280" s="9" t="s">
        <v>539</v>
      </c>
      <c r="L280" s="9" t="s">
        <v>539</v>
      </c>
      <c r="M280" s="9" t="str">
        <f t="shared" si="29"/>
        <v>Same</v>
      </c>
      <c r="N280" s="30" t="s">
        <v>1008</v>
      </c>
      <c r="O280" s="30" t="s">
        <v>1008</v>
      </c>
    </row>
    <row r="281" spans="1:15" ht="15" customHeight="1" x14ac:dyDescent="0.2">
      <c r="A281" s="9">
        <v>276</v>
      </c>
      <c r="B281" s="27">
        <f t="shared" si="24"/>
        <v>1348.3146067415732</v>
      </c>
      <c r="C281" s="27">
        <f t="shared" si="25"/>
        <v>5441.7977528089887</v>
      </c>
      <c r="D281" s="28">
        <v>5.45</v>
      </c>
      <c r="E281" s="28">
        <v>5.45</v>
      </c>
      <c r="F281" s="9" t="str">
        <f t="shared" si="26"/>
        <v>Identical</v>
      </c>
      <c r="G281" s="27">
        <f t="shared" si="27"/>
        <v>1348.3146067415732</v>
      </c>
      <c r="H281" s="29">
        <v>1.51</v>
      </c>
      <c r="I281" s="29">
        <v>1.51</v>
      </c>
      <c r="J281" s="9" t="str">
        <f t="shared" si="28"/>
        <v>Identical</v>
      </c>
      <c r="K281" s="9" t="s">
        <v>539</v>
      </c>
      <c r="L281" s="9" t="s">
        <v>539</v>
      </c>
      <c r="M281" s="9" t="str">
        <f t="shared" si="29"/>
        <v>Same</v>
      </c>
      <c r="N281" s="30" t="s">
        <v>1008</v>
      </c>
      <c r="O281" s="30" t="s">
        <v>1008</v>
      </c>
    </row>
    <row r="282" spans="1:15" ht="15" customHeight="1" x14ac:dyDescent="0.2">
      <c r="A282" s="9">
        <v>277</v>
      </c>
      <c r="B282" s="27">
        <f t="shared" si="24"/>
        <v>1353.1998045920861</v>
      </c>
      <c r="C282" s="27">
        <f t="shared" si="25"/>
        <v>5461.5144113336592</v>
      </c>
      <c r="D282" s="28">
        <v>5.47</v>
      </c>
      <c r="E282" s="28">
        <v>5.47</v>
      </c>
      <c r="F282" s="9" t="str">
        <f t="shared" si="26"/>
        <v>Identical</v>
      </c>
      <c r="G282" s="27">
        <f t="shared" si="27"/>
        <v>1353.1998045920861</v>
      </c>
      <c r="H282" s="29">
        <v>1.52</v>
      </c>
      <c r="I282" s="29">
        <v>1.52</v>
      </c>
      <c r="J282" s="9" t="str">
        <f t="shared" si="28"/>
        <v>Identical</v>
      </c>
      <c r="K282" s="9" t="s">
        <v>539</v>
      </c>
      <c r="L282" s="9" t="s">
        <v>539</v>
      </c>
      <c r="M282" s="9" t="str">
        <f t="shared" si="29"/>
        <v>Same</v>
      </c>
      <c r="N282" s="30" t="s">
        <v>1009</v>
      </c>
      <c r="O282" s="30" t="s">
        <v>1009</v>
      </c>
    </row>
    <row r="283" spans="1:15" ht="15" customHeight="1" x14ac:dyDescent="0.2">
      <c r="A283" s="9">
        <v>278</v>
      </c>
      <c r="B283" s="27">
        <f t="shared" si="24"/>
        <v>1358.085002442599</v>
      </c>
      <c r="C283" s="27">
        <f t="shared" si="25"/>
        <v>5481.2310698583287</v>
      </c>
      <c r="D283" s="28">
        <v>5.49</v>
      </c>
      <c r="E283" s="28">
        <v>5.49</v>
      </c>
      <c r="F283" s="9" t="str">
        <f t="shared" si="26"/>
        <v>Identical</v>
      </c>
      <c r="G283" s="27">
        <f t="shared" si="27"/>
        <v>1358.085002442599</v>
      </c>
      <c r="H283" s="29">
        <v>1.52</v>
      </c>
      <c r="I283" s="29">
        <v>1.52</v>
      </c>
      <c r="J283" s="9" t="str">
        <f t="shared" si="28"/>
        <v>Identical</v>
      </c>
      <c r="K283" s="9" t="s">
        <v>539</v>
      </c>
      <c r="L283" s="9" t="s">
        <v>539</v>
      </c>
      <c r="M283" s="9" t="str">
        <f t="shared" si="29"/>
        <v>Same</v>
      </c>
      <c r="N283" s="30" t="s">
        <v>1009</v>
      </c>
      <c r="O283" s="30" t="s">
        <v>1009</v>
      </c>
    </row>
    <row r="284" spans="1:15" ht="15" customHeight="1" x14ac:dyDescent="0.2">
      <c r="A284" s="9">
        <v>279</v>
      </c>
      <c r="B284" s="27">
        <f t="shared" si="24"/>
        <v>1362.9702002931119</v>
      </c>
      <c r="C284" s="27">
        <f t="shared" si="25"/>
        <v>5500.9477283829992</v>
      </c>
      <c r="D284" s="28">
        <v>5.51</v>
      </c>
      <c r="E284" s="28">
        <v>5.51</v>
      </c>
      <c r="F284" s="9" t="str">
        <f t="shared" si="26"/>
        <v>Identical</v>
      </c>
      <c r="G284" s="27">
        <f t="shared" si="27"/>
        <v>1362.9702002931119</v>
      </c>
      <c r="H284" s="29">
        <v>1.53</v>
      </c>
      <c r="I284" s="29">
        <v>1.53</v>
      </c>
      <c r="J284" s="9" t="str">
        <f t="shared" si="28"/>
        <v>Identical</v>
      </c>
      <c r="K284" s="9" t="s">
        <v>539</v>
      </c>
      <c r="L284" s="9" t="s">
        <v>539</v>
      </c>
      <c r="M284" s="9" t="str">
        <f t="shared" si="29"/>
        <v>Same</v>
      </c>
      <c r="N284" s="30" t="s">
        <v>1010</v>
      </c>
      <c r="O284" s="30" t="s">
        <v>1010</v>
      </c>
    </row>
    <row r="285" spans="1:15" ht="15" customHeight="1" x14ac:dyDescent="0.2">
      <c r="A285" s="9">
        <v>280</v>
      </c>
      <c r="B285" s="27">
        <f t="shared" si="24"/>
        <v>1367.8553981436251</v>
      </c>
      <c r="C285" s="27">
        <f t="shared" si="25"/>
        <v>5520.6643869076697</v>
      </c>
      <c r="D285" s="28">
        <v>5.53</v>
      </c>
      <c r="E285" s="28">
        <v>5.53</v>
      </c>
      <c r="F285" s="9" t="str">
        <f t="shared" si="26"/>
        <v>Identical</v>
      </c>
      <c r="G285" s="27">
        <f t="shared" si="27"/>
        <v>1367.8553981436251</v>
      </c>
      <c r="H285" s="29">
        <v>1.53</v>
      </c>
      <c r="I285" s="29">
        <v>1.53</v>
      </c>
      <c r="J285" s="9" t="str">
        <f t="shared" si="28"/>
        <v>Identical</v>
      </c>
      <c r="K285" s="9" t="s">
        <v>539</v>
      </c>
      <c r="L285" s="9" t="s">
        <v>539</v>
      </c>
      <c r="M285" s="9" t="str">
        <f t="shared" si="29"/>
        <v>Same</v>
      </c>
      <c r="N285" s="30" t="s">
        <v>1010</v>
      </c>
      <c r="O285" s="30" t="s">
        <v>1010</v>
      </c>
    </row>
    <row r="286" spans="1:15" ht="15" customHeight="1" x14ac:dyDescent="0.2">
      <c r="A286" s="9">
        <v>281</v>
      </c>
      <c r="B286" s="27">
        <f t="shared" si="24"/>
        <v>1372.7405959941379</v>
      </c>
      <c r="C286" s="27">
        <f t="shared" si="25"/>
        <v>5540.3810454323402</v>
      </c>
      <c r="D286" s="28">
        <v>5.55</v>
      </c>
      <c r="E286" s="28">
        <v>5.55</v>
      </c>
      <c r="F286" s="9" t="str">
        <f t="shared" si="26"/>
        <v>Identical</v>
      </c>
      <c r="G286" s="27">
        <f t="shared" si="27"/>
        <v>1372.7405959941379</v>
      </c>
      <c r="H286" s="29">
        <v>1.54</v>
      </c>
      <c r="I286" s="29">
        <v>1.54</v>
      </c>
      <c r="J286" s="9" t="str">
        <f t="shared" si="28"/>
        <v>Identical</v>
      </c>
      <c r="K286" s="9" t="s">
        <v>539</v>
      </c>
      <c r="L286" s="9" t="s">
        <v>539</v>
      </c>
      <c r="M286" s="9" t="str">
        <f t="shared" si="29"/>
        <v>Same</v>
      </c>
      <c r="N286" s="30" t="s">
        <v>1011</v>
      </c>
      <c r="O286" s="30" t="s">
        <v>1011</v>
      </c>
    </row>
    <row r="287" spans="1:15" ht="15" customHeight="1" x14ac:dyDescent="0.2">
      <c r="A287" s="9">
        <v>282</v>
      </c>
      <c r="B287" s="27">
        <f t="shared" si="24"/>
        <v>1377.6257938446508</v>
      </c>
      <c r="C287" s="27">
        <f t="shared" si="25"/>
        <v>5560.0977039570098</v>
      </c>
      <c r="D287" s="28">
        <v>5.57</v>
      </c>
      <c r="E287" s="28">
        <v>5.57</v>
      </c>
      <c r="F287" s="9" t="str">
        <f t="shared" si="26"/>
        <v>Identical</v>
      </c>
      <c r="G287" s="27">
        <f t="shared" si="27"/>
        <v>1377.6257938446508</v>
      </c>
      <c r="H287" s="29">
        <v>1.54</v>
      </c>
      <c r="I287" s="29">
        <v>1.54</v>
      </c>
      <c r="J287" s="9" t="str">
        <f t="shared" si="28"/>
        <v>Identical</v>
      </c>
      <c r="K287" s="9" t="s">
        <v>539</v>
      </c>
      <c r="L287" s="9" t="s">
        <v>539</v>
      </c>
      <c r="M287" s="9" t="str">
        <f t="shared" si="29"/>
        <v>Same</v>
      </c>
      <c r="N287" s="30" t="s">
        <v>1011</v>
      </c>
      <c r="O287" s="30" t="s">
        <v>1011</v>
      </c>
    </row>
    <row r="288" spans="1:15" ht="15" customHeight="1" x14ac:dyDescent="0.2">
      <c r="A288" s="9">
        <v>283</v>
      </c>
      <c r="B288" s="27">
        <f t="shared" si="24"/>
        <v>1382.5109916951637</v>
      </c>
      <c r="C288" s="27">
        <f t="shared" si="25"/>
        <v>5579.8143624816803</v>
      </c>
      <c r="D288" s="28">
        <v>5.58</v>
      </c>
      <c r="E288" s="28">
        <v>5.59</v>
      </c>
      <c r="F288" s="9" t="str">
        <f t="shared" si="26"/>
        <v>Within 10 mV (calibration line)</v>
      </c>
      <c r="G288" s="27">
        <f t="shared" si="27"/>
        <v>1382.5109916951637</v>
      </c>
      <c r="H288" s="29">
        <v>1.55</v>
      </c>
      <c r="I288" s="29">
        <v>1.55</v>
      </c>
      <c r="J288" s="9" t="str">
        <f t="shared" si="28"/>
        <v>Identical</v>
      </c>
      <c r="K288" s="9" t="s">
        <v>539</v>
      </c>
      <c r="L288" s="9" t="s">
        <v>539</v>
      </c>
      <c r="M288" s="9" t="str">
        <f t="shared" si="29"/>
        <v>Same</v>
      </c>
      <c r="N288" s="30" t="s">
        <v>1012</v>
      </c>
      <c r="O288" s="30" t="s">
        <v>1012</v>
      </c>
    </row>
    <row r="289" spans="1:15" ht="15" customHeight="1" x14ac:dyDescent="0.2">
      <c r="A289" s="9">
        <v>284</v>
      </c>
      <c r="B289" s="27">
        <f t="shared" si="24"/>
        <v>1387.3961895456769</v>
      </c>
      <c r="C289" s="27">
        <f t="shared" si="25"/>
        <v>5599.5310210063517</v>
      </c>
      <c r="D289" s="28">
        <v>5.6</v>
      </c>
      <c r="E289" s="28">
        <v>5.61</v>
      </c>
      <c r="F289" s="9" t="str">
        <f t="shared" si="26"/>
        <v>Within 10 mV (calibration line)</v>
      </c>
      <c r="G289" s="27">
        <f t="shared" si="27"/>
        <v>1387.3961895456769</v>
      </c>
      <c r="H289" s="29">
        <v>1.55</v>
      </c>
      <c r="I289" s="29">
        <v>1.55</v>
      </c>
      <c r="J289" s="9" t="str">
        <f t="shared" si="28"/>
        <v>Identical</v>
      </c>
      <c r="K289" s="9" t="s">
        <v>539</v>
      </c>
      <c r="L289" s="9" t="s">
        <v>539</v>
      </c>
      <c r="M289" s="9" t="str">
        <f t="shared" si="29"/>
        <v>Same</v>
      </c>
      <c r="N289" s="30" t="s">
        <v>1012</v>
      </c>
      <c r="O289" s="30" t="s">
        <v>1012</v>
      </c>
    </row>
    <row r="290" spans="1:15" ht="15" customHeight="1" x14ac:dyDescent="0.2">
      <c r="A290" s="9">
        <v>285</v>
      </c>
      <c r="B290" s="27">
        <f t="shared" si="24"/>
        <v>1392.2813873961898</v>
      </c>
      <c r="C290" s="27">
        <f t="shared" si="25"/>
        <v>5619.2476795310213</v>
      </c>
      <c r="D290" s="28">
        <v>5.62</v>
      </c>
      <c r="E290" s="28">
        <v>5.63</v>
      </c>
      <c r="F290" s="9" t="str">
        <f t="shared" si="26"/>
        <v>Within 10 mV (calibration line)</v>
      </c>
      <c r="G290" s="27">
        <f t="shared" si="27"/>
        <v>1392.2813873961898</v>
      </c>
      <c r="H290" s="29">
        <v>1.56</v>
      </c>
      <c r="I290" s="29">
        <v>1.56</v>
      </c>
      <c r="J290" s="9" t="str">
        <f t="shared" si="28"/>
        <v>Identical</v>
      </c>
      <c r="K290" s="9" t="s">
        <v>539</v>
      </c>
      <c r="L290" s="9" t="s">
        <v>539</v>
      </c>
      <c r="M290" s="9" t="str">
        <f t="shared" si="29"/>
        <v>Same</v>
      </c>
      <c r="N290" s="30" t="s">
        <v>1013</v>
      </c>
      <c r="O290" s="30" t="s">
        <v>1013</v>
      </c>
    </row>
    <row r="291" spans="1:15" ht="15" customHeight="1" x14ac:dyDescent="0.2">
      <c r="A291" s="9">
        <v>286</v>
      </c>
      <c r="B291" s="27">
        <f t="shared" si="24"/>
        <v>1397.1665852467027</v>
      </c>
      <c r="C291" s="27">
        <f t="shared" si="25"/>
        <v>5638.9643380556918</v>
      </c>
      <c r="D291" s="28">
        <v>5.64</v>
      </c>
      <c r="E291" s="28">
        <v>5.65</v>
      </c>
      <c r="F291" s="9" t="str">
        <f t="shared" si="26"/>
        <v>Within 10 mV (calibration line)</v>
      </c>
      <c r="G291" s="27">
        <f t="shared" si="27"/>
        <v>1397.1665852467027</v>
      </c>
      <c r="H291" s="29">
        <v>1.57</v>
      </c>
      <c r="I291" s="29">
        <v>1.57</v>
      </c>
      <c r="J291" s="9" t="str">
        <f t="shared" si="28"/>
        <v>Identical</v>
      </c>
      <c r="K291" s="9" t="s">
        <v>539</v>
      </c>
      <c r="L291" s="9" t="s">
        <v>539</v>
      </c>
      <c r="M291" s="9" t="str">
        <f t="shared" si="29"/>
        <v>Same</v>
      </c>
      <c r="N291" s="30" t="s">
        <v>1014</v>
      </c>
      <c r="O291" s="30" t="s">
        <v>1014</v>
      </c>
    </row>
    <row r="292" spans="1:15" ht="15" customHeight="1" x14ac:dyDescent="0.2">
      <c r="A292" s="9">
        <v>287</v>
      </c>
      <c r="B292" s="27">
        <f t="shared" si="24"/>
        <v>1402.0517830972155</v>
      </c>
      <c r="C292" s="27">
        <f t="shared" si="25"/>
        <v>5658.6809965803614</v>
      </c>
      <c r="D292" s="28">
        <v>5.66</v>
      </c>
      <c r="E292" s="28">
        <v>5.67</v>
      </c>
      <c r="F292" s="9" t="str">
        <f t="shared" si="26"/>
        <v>Within 10 mV (calibration line)</v>
      </c>
      <c r="G292" s="27">
        <f t="shared" si="27"/>
        <v>1402.0517830972155</v>
      </c>
      <c r="H292" s="29">
        <v>1.57</v>
      </c>
      <c r="I292" s="29">
        <v>1.57</v>
      </c>
      <c r="J292" s="9" t="str">
        <f t="shared" si="28"/>
        <v>Identical</v>
      </c>
      <c r="K292" s="9" t="s">
        <v>539</v>
      </c>
      <c r="L292" s="9" t="s">
        <v>539</v>
      </c>
      <c r="M292" s="9" t="str">
        <f t="shared" si="29"/>
        <v>Same</v>
      </c>
      <c r="N292" s="30" t="s">
        <v>1014</v>
      </c>
      <c r="O292" s="30" t="s">
        <v>1014</v>
      </c>
    </row>
    <row r="293" spans="1:15" ht="15" customHeight="1" x14ac:dyDescent="0.2">
      <c r="A293" s="9">
        <v>288</v>
      </c>
      <c r="B293" s="27">
        <f t="shared" si="24"/>
        <v>1406.9369809477287</v>
      </c>
      <c r="C293" s="27">
        <f t="shared" si="25"/>
        <v>5678.3976551050328</v>
      </c>
      <c r="D293" s="28">
        <v>5.68</v>
      </c>
      <c r="E293" s="28">
        <v>5.69</v>
      </c>
      <c r="F293" s="9" t="str">
        <f t="shared" si="26"/>
        <v>Within 10 mV (calibration line)</v>
      </c>
      <c r="G293" s="27">
        <f t="shared" si="27"/>
        <v>1406.9369809477287</v>
      </c>
      <c r="H293" s="29">
        <v>1.58</v>
      </c>
      <c r="I293" s="29">
        <v>1.58</v>
      </c>
      <c r="J293" s="9" t="str">
        <f t="shared" si="28"/>
        <v>Identical</v>
      </c>
      <c r="K293" s="9" t="s">
        <v>539</v>
      </c>
      <c r="L293" s="9" t="s">
        <v>539</v>
      </c>
      <c r="M293" s="9" t="str">
        <f t="shared" si="29"/>
        <v>Same</v>
      </c>
      <c r="N293" s="30" t="s">
        <v>1015</v>
      </c>
      <c r="O293" s="30" t="s">
        <v>1015</v>
      </c>
    </row>
    <row r="294" spans="1:15" ht="15" customHeight="1" x14ac:dyDescent="0.2">
      <c r="A294" s="9">
        <v>289</v>
      </c>
      <c r="B294" s="27">
        <f t="shared" si="24"/>
        <v>1411.8221787982416</v>
      </c>
      <c r="C294" s="27">
        <f t="shared" si="25"/>
        <v>5698.1143136297023</v>
      </c>
      <c r="D294" s="28">
        <v>5.7</v>
      </c>
      <c r="E294" s="28">
        <v>5.71</v>
      </c>
      <c r="F294" s="9" t="str">
        <f t="shared" si="26"/>
        <v>Within 10 mV (calibration line)</v>
      </c>
      <c r="G294" s="27">
        <f t="shared" si="27"/>
        <v>1411.8221787982416</v>
      </c>
      <c r="H294" s="29">
        <v>1.58</v>
      </c>
      <c r="I294" s="29">
        <v>1.58</v>
      </c>
      <c r="J294" s="9" t="str">
        <f t="shared" si="28"/>
        <v>Identical</v>
      </c>
      <c r="K294" s="9" t="s">
        <v>539</v>
      </c>
      <c r="L294" s="9" t="s">
        <v>539</v>
      </c>
      <c r="M294" s="9" t="str">
        <f t="shared" si="29"/>
        <v>Same</v>
      </c>
      <c r="N294" s="30" t="s">
        <v>1015</v>
      </c>
      <c r="O294" s="30" t="s">
        <v>1015</v>
      </c>
    </row>
    <row r="295" spans="1:15" ht="15" customHeight="1" x14ac:dyDescent="0.2">
      <c r="A295" s="9">
        <v>290</v>
      </c>
      <c r="B295" s="27">
        <f t="shared" si="24"/>
        <v>1416.7073766487542</v>
      </c>
      <c r="C295" s="27">
        <f t="shared" si="25"/>
        <v>5717.8309721543719</v>
      </c>
      <c r="D295" s="28">
        <v>5.72</v>
      </c>
      <c r="E295" s="28">
        <v>5.72</v>
      </c>
      <c r="F295" s="9" t="str">
        <f t="shared" si="26"/>
        <v>Identical</v>
      </c>
      <c r="G295" s="27">
        <f t="shared" si="27"/>
        <v>1416.7073766487542</v>
      </c>
      <c r="H295" s="29">
        <v>1.59</v>
      </c>
      <c r="I295" s="29">
        <v>1.59</v>
      </c>
      <c r="J295" s="9" t="str">
        <f t="shared" si="28"/>
        <v>Identical</v>
      </c>
      <c r="K295" s="9" t="s">
        <v>539</v>
      </c>
      <c r="L295" s="9" t="s">
        <v>539</v>
      </c>
      <c r="M295" s="9" t="str">
        <f t="shared" si="29"/>
        <v>Same</v>
      </c>
      <c r="N295" s="30" t="s">
        <v>1016</v>
      </c>
      <c r="O295" s="30" t="s">
        <v>1016</v>
      </c>
    </row>
    <row r="296" spans="1:15" ht="15" customHeight="1" x14ac:dyDescent="0.2">
      <c r="A296" s="9">
        <v>291</v>
      </c>
      <c r="B296" s="27">
        <f t="shared" si="24"/>
        <v>1421.5925744992671</v>
      </c>
      <c r="C296" s="27">
        <f t="shared" si="25"/>
        <v>5737.5476306790415</v>
      </c>
      <c r="D296" s="28">
        <v>5.74</v>
      </c>
      <c r="E296" s="28">
        <v>5.74</v>
      </c>
      <c r="F296" s="9" t="str">
        <f t="shared" si="26"/>
        <v>Identical</v>
      </c>
      <c r="G296" s="27">
        <f t="shared" si="27"/>
        <v>1421.5925744992671</v>
      </c>
      <c r="H296" s="29">
        <v>1.59</v>
      </c>
      <c r="I296" s="29">
        <v>1.59</v>
      </c>
      <c r="J296" s="9" t="str">
        <f t="shared" si="28"/>
        <v>Identical</v>
      </c>
      <c r="K296" s="9" t="s">
        <v>539</v>
      </c>
      <c r="L296" s="9" t="s">
        <v>539</v>
      </c>
      <c r="M296" s="9" t="str">
        <f t="shared" si="29"/>
        <v>Same</v>
      </c>
      <c r="N296" s="30" t="s">
        <v>1016</v>
      </c>
      <c r="O296" s="30" t="s">
        <v>1016</v>
      </c>
    </row>
    <row r="297" spans="1:15" ht="15" customHeight="1" x14ac:dyDescent="0.2">
      <c r="A297" s="9">
        <v>292</v>
      </c>
      <c r="B297" s="27">
        <f t="shared" si="24"/>
        <v>1426.4777723497803</v>
      </c>
      <c r="C297" s="27">
        <f t="shared" si="25"/>
        <v>5757.2642892037129</v>
      </c>
      <c r="D297" s="28">
        <v>5.76</v>
      </c>
      <c r="E297" s="28">
        <v>5.76</v>
      </c>
      <c r="F297" s="9" t="str">
        <f t="shared" si="26"/>
        <v>Identical</v>
      </c>
      <c r="G297" s="27">
        <f t="shared" si="27"/>
        <v>1426.4777723497803</v>
      </c>
      <c r="H297" s="29">
        <v>1.6</v>
      </c>
      <c r="I297" s="29">
        <v>1.6</v>
      </c>
      <c r="J297" s="9" t="str">
        <f t="shared" si="28"/>
        <v>Identical</v>
      </c>
      <c r="K297" s="9" t="s">
        <v>539</v>
      </c>
      <c r="L297" s="9" t="s">
        <v>539</v>
      </c>
      <c r="M297" s="9" t="str">
        <f t="shared" si="29"/>
        <v>Same</v>
      </c>
      <c r="N297" s="30" t="s">
        <v>1017</v>
      </c>
      <c r="O297" s="30" t="s">
        <v>1017</v>
      </c>
    </row>
    <row r="298" spans="1:15" ht="15" customHeight="1" x14ac:dyDescent="0.2">
      <c r="A298" s="9">
        <v>293</v>
      </c>
      <c r="B298" s="27">
        <f t="shared" si="24"/>
        <v>1431.3629702002931</v>
      </c>
      <c r="C298" s="27">
        <f t="shared" si="25"/>
        <v>5776.9809477283825</v>
      </c>
      <c r="D298" s="28">
        <v>5.78</v>
      </c>
      <c r="E298" s="28">
        <v>5.78</v>
      </c>
      <c r="F298" s="9" t="str">
        <f t="shared" si="26"/>
        <v>Identical</v>
      </c>
      <c r="G298" s="27">
        <f t="shared" si="27"/>
        <v>1431.3629702002931</v>
      </c>
      <c r="H298" s="29">
        <v>1.6</v>
      </c>
      <c r="I298" s="29">
        <v>1.6</v>
      </c>
      <c r="J298" s="9" t="str">
        <f t="shared" si="28"/>
        <v>Identical</v>
      </c>
      <c r="K298" s="9" t="s">
        <v>539</v>
      </c>
      <c r="L298" s="9" t="s">
        <v>539</v>
      </c>
      <c r="M298" s="9" t="str">
        <f t="shared" si="29"/>
        <v>Same</v>
      </c>
      <c r="N298" s="30" t="s">
        <v>1017</v>
      </c>
      <c r="O298" s="30" t="s">
        <v>1017</v>
      </c>
    </row>
    <row r="299" spans="1:15" ht="15" customHeight="1" x14ac:dyDescent="0.2">
      <c r="A299" s="9">
        <v>294</v>
      </c>
      <c r="B299" s="27">
        <f t="shared" si="24"/>
        <v>1436.248168050806</v>
      </c>
      <c r="C299" s="27">
        <f t="shared" si="25"/>
        <v>5796.697606253053</v>
      </c>
      <c r="D299" s="28">
        <v>5.8</v>
      </c>
      <c r="E299" s="28">
        <v>5.8</v>
      </c>
      <c r="F299" s="9" t="str">
        <f t="shared" si="26"/>
        <v>Identical</v>
      </c>
      <c r="G299" s="27">
        <f t="shared" si="27"/>
        <v>1436.248168050806</v>
      </c>
      <c r="H299" s="29">
        <v>1.61</v>
      </c>
      <c r="I299" s="29">
        <v>1.61</v>
      </c>
      <c r="J299" s="9" t="str">
        <f t="shared" si="28"/>
        <v>Identical</v>
      </c>
      <c r="K299" s="9" t="s">
        <v>539</v>
      </c>
      <c r="L299" s="9" t="s">
        <v>539</v>
      </c>
      <c r="M299" s="9" t="str">
        <f t="shared" si="29"/>
        <v>Same</v>
      </c>
      <c r="N299" s="30" t="s">
        <v>1018</v>
      </c>
      <c r="O299" s="30" t="s">
        <v>1018</v>
      </c>
    </row>
    <row r="300" spans="1:15" ht="15" customHeight="1" x14ac:dyDescent="0.2">
      <c r="A300" s="9">
        <v>295</v>
      </c>
      <c r="B300" s="27">
        <f t="shared" si="24"/>
        <v>1441.1333659013189</v>
      </c>
      <c r="C300" s="27">
        <f t="shared" si="25"/>
        <v>5816.4142647777226</v>
      </c>
      <c r="D300" s="28">
        <v>5.82</v>
      </c>
      <c r="E300" s="28">
        <v>5.82</v>
      </c>
      <c r="F300" s="9" t="str">
        <f t="shared" si="26"/>
        <v>Identical</v>
      </c>
      <c r="G300" s="27">
        <f t="shared" si="27"/>
        <v>1441.1333659013189</v>
      </c>
      <c r="H300" s="29">
        <v>1.62</v>
      </c>
      <c r="I300" s="29">
        <v>1.62</v>
      </c>
      <c r="J300" s="9" t="str">
        <f t="shared" si="28"/>
        <v>Identical</v>
      </c>
      <c r="K300" s="9" t="s">
        <v>539</v>
      </c>
      <c r="L300" s="9" t="s">
        <v>539</v>
      </c>
      <c r="M300" s="9" t="str">
        <f t="shared" si="29"/>
        <v>Same</v>
      </c>
      <c r="N300" s="30" t="s">
        <v>1019</v>
      </c>
      <c r="O300" s="30" t="s">
        <v>1019</v>
      </c>
    </row>
    <row r="301" spans="1:15" ht="15" customHeight="1" x14ac:dyDescent="0.2">
      <c r="A301" s="9">
        <v>296</v>
      </c>
      <c r="B301" s="27">
        <f t="shared" si="24"/>
        <v>1446.0185637518321</v>
      </c>
      <c r="C301" s="27">
        <f t="shared" si="25"/>
        <v>5836.130923302394</v>
      </c>
      <c r="D301" s="28">
        <v>5.84</v>
      </c>
      <c r="E301" s="28">
        <v>5.84</v>
      </c>
      <c r="F301" s="9" t="str">
        <f t="shared" si="26"/>
        <v>Identical</v>
      </c>
      <c r="G301" s="27">
        <f t="shared" si="27"/>
        <v>1446.0185637518321</v>
      </c>
      <c r="H301" s="29">
        <v>1.62</v>
      </c>
      <c r="I301" s="29">
        <v>1.62</v>
      </c>
      <c r="J301" s="9" t="str">
        <f t="shared" si="28"/>
        <v>Identical</v>
      </c>
      <c r="K301" s="9" t="s">
        <v>539</v>
      </c>
      <c r="L301" s="9" t="s">
        <v>539</v>
      </c>
      <c r="M301" s="9" t="str">
        <f t="shared" si="29"/>
        <v>Same</v>
      </c>
      <c r="N301" s="30" t="s">
        <v>1019</v>
      </c>
      <c r="O301" s="30" t="s">
        <v>1019</v>
      </c>
    </row>
    <row r="302" spans="1:15" ht="15" customHeight="1" x14ac:dyDescent="0.2">
      <c r="A302" s="9">
        <v>297</v>
      </c>
      <c r="B302" s="27">
        <f t="shared" si="24"/>
        <v>1450.903761602345</v>
      </c>
      <c r="C302" s="27">
        <f t="shared" si="25"/>
        <v>5855.8475818270636</v>
      </c>
      <c r="D302" s="28">
        <v>5.86</v>
      </c>
      <c r="E302" s="28">
        <v>5.86</v>
      </c>
      <c r="F302" s="9" t="str">
        <f t="shared" si="26"/>
        <v>Identical</v>
      </c>
      <c r="G302" s="27">
        <f t="shared" si="27"/>
        <v>1450.903761602345</v>
      </c>
      <c r="H302" s="29">
        <v>1.63</v>
      </c>
      <c r="I302" s="29">
        <v>1.63</v>
      </c>
      <c r="J302" s="9" t="str">
        <f t="shared" si="28"/>
        <v>Identical</v>
      </c>
      <c r="K302" s="9" t="s">
        <v>539</v>
      </c>
      <c r="L302" s="9" t="s">
        <v>539</v>
      </c>
      <c r="M302" s="9" t="str">
        <f t="shared" si="29"/>
        <v>Same</v>
      </c>
      <c r="N302" s="30" t="s">
        <v>1020</v>
      </c>
      <c r="O302" s="30" t="s">
        <v>1020</v>
      </c>
    </row>
    <row r="303" spans="1:15" ht="15" customHeight="1" x14ac:dyDescent="0.2">
      <c r="A303" s="9">
        <v>298</v>
      </c>
      <c r="B303" s="27">
        <f t="shared" si="24"/>
        <v>1455.7889594528579</v>
      </c>
      <c r="C303" s="27">
        <f t="shared" si="25"/>
        <v>5875.564240351734</v>
      </c>
      <c r="D303" s="28">
        <v>5.88</v>
      </c>
      <c r="E303" s="28">
        <v>5.88</v>
      </c>
      <c r="F303" s="9" t="str">
        <f t="shared" si="26"/>
        <v>Identical</v>
      </c>
      <c r="G303" s="27">
        <f t="shared" si="27"/>
        <v>1455.7889594528579</v>
      </c>
      <c r="H303" s="29">
        <v>1.63</v>
      </c>
      <c r="I303" s="29">
        <v>1.63</v>
      </c>
      <c r="J303" s="9" t="str">
        <f t="shared" si="28"/>
        <v>Identical</v>
      </c>
      <c r="K303" s="9" t="s">
        <v>539</v>
      </c>
      <c r="L303" s="9" t="s">
        <v>539</v>
      </c>
      <c r="M303" s="9" t="str">
        <f t="shared" si="29"/>
        <v>Same</v>
      </c>
      <c r="N303" s="30" t="s">
        <v>1020</v>
      </c>
      <c r="O303" s="30" t="s">
        <v>1020</v>
      </c>
    </row>
    <row r="304" spans="1:15" ht="15" customHeight="1" x14ac:dyDescent="0.2">
      <c r="A304" s="9">
        <v>299</v>
      </c>
      <c r="B304" s="27">
        <f t="shared" si="24"/>
        <v>1460.6741573033707</v>
      </c>
      <c r="C304" s="27">
        <f t="shared" si="25"/>
        <v>5895.2808988764036</v>
      </c>
      <c r="D304" s="28">
        <v>5.9</v>
      </c>
      <c r="E304" s="28">
        <v>5.9</v>
      </c>
      <c r="F304" s="9" t="str">
        <f t="shared" si="26"/>
        <v>Identical</v>
      </c>
      <c r="G304" s="27">
        <f t="shared" si="27"/>
        <v>1460.6741573033707</v>
      </c>
      <c r="H304" s="29">
        <v>1.64</v>
      </c>
      <c r="I304" s="29">
        <v>1.64</v>
      </c>
      <c r="J304" s="9" t="str">
        <f t="shared" si="28"/>
        <v>Identical</v>
      </c>
      <c r="K304" s="9" t="s">
        <v>539</v>
      </c>
      <c r="L304" s="9" t="s">
        <v>539</v>
      </c>
      <c r="M304" s="9" t="str">
        <f t="shared" si="29"/>
        <v>Same</v>
      </c>
      <c r="N304" s="30" t="s">
        <v>1021</v>
      </c>
      <c r="O304" s="30" t="s">
        <v>1021</v>
      </c>
    </row>
    <row r="305" spans="1:15" ht="15" customHeight="1" x14ac:dyDescent="0.2">
      <c r="A305" s="9">
        <v>300</v>
      </c>
      <c r="B305" s="27">
        <f t="shared" si="24"/>
        <v>1465.5593551538839</v>
      </c>
      <c r="C305" s="27">
        <f t="shared" si="25"/>
        <v>5914.997557401075</v>
      </c>
      <c r="D305" s="28">
        <v>5.92</v>
      </c>
      <c r="E305" s="28">
        <v>5.92</v>
      </c>
      <c r="F305" s="9" t="str">
        <f t="shared" si="26"/>
        <v>Identical</v>
      </c>
      <c r="G305" s="27">
        <f t="shared" si="27"/>
        <v>1465.5593551538839</v>
      </c>
      <c r="H305" s="29">
        <v>1.64</v>
      </c>
      <c r="I305" s="29">
        <v>1.64</v>
      </c>
      <c r="J305" s="9" t="str">
        <f t="shared" si="28"/>
        <v>Identical</v>
      </c>
      <c r="K305" s="9" t="s">
        <v>539</v>
      </c>
      <c r="L305" s="9" t="s">
        <v>539</v>
      </c>
      <c r="M305" s="9" t="str">
        <f t="shared" si="29"/>
        <v>Same</v>
      </c>
      <c r="N305" s="30" t="s">
        <v>1021</v>
      </c>
      <c r="O305" s="30" t="s">
        <v>1021</v>
      </c>
    </row>
    <row r="306" spans="1:15" ht="15" customHeight="1" x14ac:dyDescent="0.2">
      <c r="A306" s="9">
        <v>301</v>
      </c>
      <c r="B306" s="27">
        <f t="shared" si="24"/>
        <v>1470.4445530043968</v>
      </c>
      <c r="C306" s="27">
        <f t="shared" si="25"/>
        <v>5934.7142159257446</v>
      </c>
      <c r="D306" s="28">
        <v>5.94</v>
      </c>
      <c r="E306" s="28">
        <v>5.94</v>
      </c>
      <c r="F306" s="9" t="str">
        <f t="shared" si="26"/>
        <v>Identical</v>
      </c>
      <c r="G306" s="27">
        <f t="shared" si="27"/>
        <v>1470.4445530043968</v>
      </c>
      <c r="H306" s="29">
        <v>1.65</v>
      </c>
      <c r="I306" s="29">
        <v>1.65</v>
      </c>
      <c r="J306" s="9" t="str">
        <f t="shared" si="28"/>
        <v>Identical</v>
      </c>
      <c r="K306" s="9" t="s">
        <v>539</v>
      </c>
      <c r="L306" s="9" t="s">
        <v>539</v>
      </c>
      <c r="M306" s="9" t="str">
        <f t="shared" si="29"/>
        <v>Same</v>
      </c>
      <c r="N306" s="30" t="s">
        <v>1022</v>
      </c>
      <c r="O306" s="30" t="s">
        <v>1022</v>
      </c>
    </row>
    <row r="307" spans="1:15" ht="15" customHeight="1" x14ac:dyDescent="0.2">
      <c r="A307" s="9">
        <v>302</v>
      </c>
      <c r="B307" s="27">
        <f t="shared" si="24"/>
        <v>1475.3297508549097</v>
      </c>
      <c r="C307" s="27">
        <f t="shared" si="25"/>
        <v>5954.4308744504151</v>
      </c>
      <c r="D307" s="28">
        <v>5.96</v>
      </c>
      <c r="E307" s="28">
        <v>5.96</v>
      </c>
      <c r="F307" s="9" t="str">
        <f t="shared" si="26"/>
        <v>Identical</v>
      </c>
      <c r="G307" s="27">
        <f t="shared" si="27"/>
        <v>1475.3297508549097</v>
      </c>
      <c r="H307" s="29">
        <v>1.65</v>
      </c>
      <c r="I307" s="29">
        <v>1.65</v>
      </c>
      <c r="J307" s="9" t="str">
        <f t="shared" si="28"/>
        <v>Identical</v>
      </c>
      <c r="K307" s="9" t="s">
        <v>539</v>
      </c>
      <c r="L307" s="9" t="s">
        <v>539</v>
      </c>
      <c r="M307" s="9" t="str">
        <f t="shared" si="29"/>
        <v>Same</v>
      </c>
      <c r="N307" s="30" t="s">
        <v>1022</v>
      </c>
      <c r="O307" s="30" t="s">
        <v>1022</v>
      </c>
    </row>
    <row r="308" spans="1:15" ht="15" customHeight="1" x14ac:dyDescent="0.2">
      <c r="A308" s="9">
        <v>303</v>
      </c>
      <c r="B308" s="27">
        <f t="shared" si="24"/>
        <v>1480.2149487054226</v>
      </c>
      <c r="C308" s="27">
        <f t="shared" si="25"/>
        <v>5974.1475329750847</v>
      </c>
      <c r="D308" s="28">
        <v>5.98</v>
      </c>
      <c r="E308" s="28">
        <v>5.98</v>
      </c>
      <c r="F308" s="9" t="str">
        <f t="shared" si="26"/>
        <v>Identical</v>
      </c>
      <c r="G308" s="27">
        <f t="shared" si="27"/>
        <v>1480.2149487054226</v>
      </c>
      <c r="H308" s="29">
        <v>1.66</v>
      </c>
      <c r="I308" s="29">
        <v>1.66</v>
      </c>
      <c r="J308" s="9" t="str">
        <f t="shared" si="28"/>
        <v>Identical</v>
      </c>
      <c r="K308" s="9" t="s">
        <v>539</v>
      </c>
      <c r="L308" s="9" t="s">
        <v>539</v>
      </c>
      <c r="M308" s="9" t="str">
        <f t="shared" si="29"/>
        <v>Same</v>
      </c>
      <c r="N308" s="30" t="s">
        <v>1023</v>
      </c>
      <c r="O308" s="30" t="s">
        <v>1023</v>
      </c>
    </row>
    <row r="309" spans="1:15" ht="15" customHeight="1" x14ac:dyDescent="0.2">
      <c r="A309" s="9">
        <v>304</v>
      </c>
      <c r="B309" s="27">
        <f t="shared" si="24"/>
        <v>1485.1001465559357</v>
      </c>
      <c r="C309" s="27">
        <f t="shared" si="25"/>
        <v>5993.8641914997561</v>
      </c>
      <c r="D309" s="28">
        <v>5.99</v>
      </c>
      <c r="E309" s="28">
        <v>6</v>
      </c>
      <c r="F309" s="9" t="str">
        <f t="shared" si="26"/>
        <v>Within 10 mV (calibration line)</v>
      </c>
      <c r="G309" s="27">
        <f t="shared" si="27"/>
        <v>1485.1001465559357</v>
      </c>
      <c r="H309" s="29">
        <v>1.67</v>
      </c>
      <c r="I309" s="29">
        <v>1.67</v>
      </c>
      <c r="J309" s="9" t="str">
        <f t="shared" si="28"/>
        <v>Identical</v>
      </c>
      <c r="K309" s="9" t="s">
        <v>539</v>
      </c>
      <c r="L309" s="9" t="s">
        <v>539</v>
      </c>
      <c r="M309" s="9" t="str">
        <f t="shared" si="29"/>
        <v>Same</v>
      </c>
      <c r="N309" s="30" t="s">
        <v>1024</v>
      </c>
      <c r="O309" s="30" t="s">
        <v>1024</v>
      </c>
    </row>
    <row r="310" spans="1:15" ht="15" customHeight="1" x14ac:dyDescent="0.2">
      <c r="A310" s="9">
        <v>305</v>
      </c>
      <c r="B310" s="27">
        <f t="shared" si="24"/>
        <v>1489.9853444064486</v>
      </c>
      <c r="C310" s="27">
        <f t="shared" si="25"/>
        <v>6013.5808500244257</v>
      </c>
      <c r="D310" s="28">
        <v>6.01</v>
      </c>
      <c r="E310" s="28">
        <v>6.02</v>
      </c>
      <c r="F310" s="9" t="str">
        <f t="shared" si="26"/>
        <v>Within 10 mV (calibration line)</v>
      </c>
      <c r="G310" s="27">
        <f t="shared" si="27"/>
        <v>1489.9853444064486</v>
      </c>
      <c r="H310" s="29">
        <v>1.67</v>
      </c>
      <c r="I310" s="29">
        <v>1.67</v>
      </c>
      <c r="J310" s="9" t="str">
        <f t="shared" si="28"/>
        <v>Identical</v>
      </c>
      <c r="K310" s="9" t="s">
        <v>539</v>
      </c>
      <c r="L310" s="9" t="s">
        <v>539</v>
      </c>
      <c r="M310" s="9" t="str">
        <f t="shared" si="29"/>
        <v>Same</v>
      </c>
      <c r="N310" s="30" t="s">
        <v>1024</v>
      </c>
      <c r="O310" s="30" t="s">
        <v>1024</v>
      </c>
    </row>
    <row r="311" spans="1:15" ht="15" customHeight="1" x14ac:dyDescent="0.2">
      <c r="A311" s="9">
        <v>306</v>
      </c>
      <c r="B311" s="27">
        <f t="shared" si="24"/>
        <v>1494.8705422569615</v>
      </c>
      <c r="C311" s="27">
        <f t="shared" si="25"/>
        <v>6033.2975085490962</v>
      </c>
      <c r="D311" s="28">
        <v>6.03</v>
      </c>
      <c r="E311" s="28">
        <v>6.04</v>
      </c>
      <c r="F311" s="9" t="str">
        <f t="shared" si="26"/>
        <v>Within 10 mV (calibration line)</v>
      </c>
      <c r="G311" s="27">
        <f t="shared" si="27"/>
        <v>1494.8705422569615</v>
      </c>
      <c r="H311" s="29">
        <v>1.68</v>
      </c>
      <c r="I311" s="29">
        <v>1.68</v>
      </c>
      <c r="J311" s="9" t="str">
        <f t="shared" si="28"/>
        <v>Identical</v>
      </c>
      <c r="K311" s="9" t="s">
        <v>539</v>
      </c>
      <c r="L311" s="9" t="s">
        <v>539</v>
      </c>
      <c r="M311" s="9" t="str">
        <f t="shared" si="29"/>
        <v>Same</v>
      </c>
      <c r="N311" s="30" t="s">
        <v>1025</v>
      </c>
      <c r="O311" s="30" t="s">
        <v>1025</v>
      </c>
    </row>
    <row r="312" spans="1:15" ht="15" customHeight="1" x14ac:dyDescent="0.2">
      <c r="A312" s="9">
        <v>307</v>
      </c>
      <c r="B312" s="27">
        <f t="shared" si="24"/>
        <v>1499.7557401074744</v>
      </c>
      <c r="C312" s="27">
        <f t="shared" si="25"/>
        <v>6053.0141670737657</v>
      </c>
      <c r="D312" s="28">
        <v>6.05</v>
      </c>
      <c r="E312" s="28">
        <v>6.06</v>
      </c>
      <c r="F312" s="9" t="str">
        <f t="shared" si="26"/>
        <v>Within 10 mV (calibration line)</v>
      </c>
      <c r="G312" s="27">
        <f t="shared" si="27"/>
        <v>1499.7557401074744</v>
      </c>
      <c r="H312" s="29">
        <v>1.68</v>
      </c>
      <c r="I312" s="29">
        <v>1.68</v>
      </c>
      <c r="J312" s="9" t="str">
        <f t="shared" si="28"/>
        <v>Identical</v>
      </c>
      <c r="K312" s="9" t="s">
        <v>539</v>
      </c>
      <c r="L312" s="9" t="s">
        <v>539</v>
      </c>
      <c r="M312" s="9" t="str">
        <f t="shared" si="29"/>
        <v>Same</v>
      </c>
      <c r="N312" s="30" t="s">
        <v>1025</v>
      </c>
      <c r="O312" s="30" t="s">
        <v>1025</v>
      </c>
    </row>
    <row r="313" spans="1:15" ht="15" customHeight="1" x14ac:dyDescent="0.2">
      <c r="A313" s="9">
        <v>308</v>
      </c>
      <c r="B313" s="27">
        <f t="shared" si="24"/>
        <v>1504.6409379579875</v>
      </c>
      <c r="C313" s="27">
        <f t="shared" si="25"/>
        <v>6072.7308255984371</v>
      </c>
      <c r="D313" s="28">
        <v>6.07</v>
      </c>
      <c r="E313" s="28">
        <v>6.08</v>
      </c>
      <c r="F313" s="9" t="str">
        <f t="shared" si="26"/>
        <v>Within 10 mV (calibration line)</v>
      </c>
      <c r="G313" s="27">
        <f t="shared" si="27"/>
        <v>1504.6409379579875</v>
      </c>
      <c r="H313" s="29">
        <v>1.69</v>
      </c>
      <c r="I313" s="29">
        <v>1.69</v>
      </c>
      <c r="J313" s="9" t="str">
        <f t="shared" si="28"/>
        <v>Identical</v>
      </c>
      <c r="K313" s="9" t="s">
        <v>539</v>
      </c>
      <c r="L313" s="9" t="s">
        <v>539</v>
      </c>
      <c r="M313" s="9" t="str">
        <f t="shared" si="29"/>
        <v>Same</v>
      </c>
      <c r="N313" s="30" t="s">
        <v>1026</v>
      </c>
      <c r="O313" s="30" t="s">
        <v>1026</v>
      </c>
    </row>
    <row r="314" spans="1:15" ht="15" customHeight="1" x14ac:dyDescent="0.2">
      <c r="A314" s="9">
        <v>309</v>
      </c>
      <c r="B314" s="27">
        <f t="shared" si="24"/>
        <v>1509.5261358085004</v>
      </c>
      <c r="C314" s="27">
        <f t="shared" si="25"/>
        <v>6092.4474841231067</v>
      </c>
      <c r="D314" s="28">
        <v>6.09</v>
      </c>
      <c r="E314" s="28">
        <v>6.1</v>
      </c>
      <c r="F314" s="9" t="str">
        <f t="shared" si="26"/>
        <v>Within 10 mV (calibration line)</v>
      </c>
      <c r="G314" s="27">
        <f t="shared" si="27"/>
        <v>1509.5261358085004</v>
      </c>
      <c r="H314" s="29">
        <v>1.69</v>
      </c>
      <c r="I314" s="29">
        <v>1.69</v>
      </c>
      <c r="J314" s="9" t="str">
        <f t="shared" si="28"/>
        <v>Identical</v>
      </c>
      <c r="K314" s="9" t="s">
        <v>539</v>
      </c>
      <c r="L314" s="9" t="s">
        <v>539</v>
      </c>
      <c r="M314" s="9" t="str">
        <f t="shared" si="29"/>
        <v>Same</v>
      </c>
      <c r="N314" s="30" t="s">
        <v>1026</v>
      </c>
      <c r="O314" s="30" t="s">
        <v>1026</v>
      </c>
    </row>
    <row r="315" spans="1:15" ht="15" customHeight="1" x14ac:dyDescent="0.2">
      <c r="A315" s="9">
        <v>310</v>
      </c>
      <c r="B315" s="27">
        <f t="shared" si="24"/>
        <v>1514.4113336590133</v>
      </c>
      <c r="C315" s="27">
        <f t="shared" si="25"/>
        <v>6112.1641426477772</v>
      </c>
      <c r="D315" s="28">
        <v>6.11</v>
      </c>
      <c r="E315" s="28">
        <v>6.12</v>
      </c>
      <c r="F315" s="9" t="str">
        <f t="shared" si="26"/>
        <v>Within 10 mV (calibration line)</v>
      </c>
      <c r="G315" s="27">
        <f t="shared" si="27"/>
        <v>1514.4113336590133</v>
      </c>
      <c r="H315" s="29">
        <v>1.7</v>
      </c>
      <c r="I315" s="29">
        <v>1.7</v>
      </c>
      <c r="J315" s="9" t="str">
        <f t="shared" si="28"/>
        <v>Identical</v>
      </c>
      <c r="K315" s="9" t="s">
        <v>539</v>
      </c>
      <c r="L315" s="9" t="s">
        <v>539</v>
      </c>
      <c r="M315" s="9" t="str">
        <f t="shared" si="29"/>
        <v>Same</v>
      </c>
      <c r="N315" s="30" t="s">
        <v>1027</v>
      </c>
      <c r="O315" s="30" t="s">
        <v>1027</v>
      </c>
    </row>
    <row r="316" spans="1:15" ht="15" customHeight="1" x14ac:dyDescent="0.2">
      <c r="A316" s="9">
        <v>311</v>
      </c>
      <c r="B316" s="27">
        <f t="shared" si="24"/>
        <v>1519.2965315095262</v>
      </c>
      <c r="C316" s="27">
        <f t="shared" si="25"/>
        <v>6131.8808011724468</v>
      </c>
      <c r="D316" s="28">
        <v>6.13</v>
      </c>
      <c r="E316" s="28">
        <v>6.14</v>
      </c>
      <c r="F316" s="9" t="str">
        <f t="shared" si="26"/>
        <v>Within 10 mV (calibration line)</v>
      </c>
      <c r="G316" s="27">
        <f t="shared" si="27"/>
        <v>1519.2965315095262</v>
      </c>
      <c r="H316" s="29">
        <v>1.7</v>
      </c>
      <c r="I316" s="29">
        <v>1.7</v>
      </c>
      <c r="J316" s="9" t="str">
        <f t="shared" si="28"/>
        <v>Identical</v>
      </c>
      <c r="K316" s="9" t="s">
        <v>539</v>
      </c>
      <c r="L316" s="9" t="s">
        <v>539</v>
      </c>
      <c r="M316" s="9" t="str">
        <f t="shared" si="29"/>
        <v>Same</v>
      </c>
      <c r="N316" s="30" t="s">
        <v>1027</v>
      </c>
      <c r="O316" s="30" t="s">
        <v>1027</v>
      </c>
    </row>
    <row r="317" spans="1:15" ht="15" customHeight="1" x14ac:dyDescent="0.2">
      <c r="A317" s="9">
        <v>312</v>
      </c>
      <c r="B317" s="27">
        <f t="shared" si="24"/>
        <v>1524.1817293600393</v>
      </c>
      <c r="C317" s="27">
        <f t="shared" si="25"/>
        <v>6151.5974596971182</v>
      </c>
      <c r="D317" s="28">
        <v>6.15</v>
      </c>
      <c r="E317" s="28">
        <v>6.16</v>
      </c>
      <c r="F317" s="9" t="str">
        <f t="shared" si="26"/>
        <v>Within 10 mV (calibration line)</v>
      </c>
      <c r="G317" s="27">
        <f t="shared" si="27"/>
        <v>1524.1817293600393</v>
      </c>
      <c r="H317" s="29">
        <v>1.71</v>
      </c>
      <c r="I317" s="29">
        <v>1.71</v>
      </c>
      <c r="J317" s="9" t="str">
        <f t="shared" si="28"/>
        <v>Identical</v>
      </c>
      <c r="K317" s="9" t="s">
        <v>539</v>
      </c>
      <c r="L317" s="9" t="s">
        <v>539</v>
      </c>
      <c r="M317" s="9" t="str">
        <f t="shared" si="29"/>
        <v>Same</v>
      </c>
      <c r="N317" s="30" t="s">
        <v>1028</v>
      </c>
      <c r="O317" s="30" t="s">
        <v>1028</v>
      </c>
    </row>
    <row r="318" spans="1:15" ht="15" customHeight="1" x14ac:dyDescent="0.2">
      <c r="A318" s="9">
        <v>313</v>
      </c>
      <c r="B318" s="27">
        <f t="shared" si="24"/>
        <v>1529.0669272105522</v>
      </c>
      <c r="C318" s="27">
        <f t="shared" si="25"/>
        <v>6171.3141182217878</v>
      </c>
      <c r="D318" s="28">
        <v>6.17</v>
      </c>
      <c r="E318" s="28">
        <v>6.18</v>
      </c>
      <c r="F318" s="9" t="str">
        <f t="shared" si="26"/>
        <v>Within 10 mV (calibration line)</v>
      </c>
      <c r="G318" s="27">
        <f t="shared" si="27"/>
        <v>1529.0669272105522</v>
      </c>
      <c r="H318" s="29">
        <v>1.71</v>
      </c>
      <c r="I318" s="29">
        <v>1.71</v>
      </c>
      <c r="J318" s="9" t="str">
        <f t="shared" si="28"/>
        <v>Identical</v>
      </c>
      <c r="K318" s="9" t="s">
        <v>539</v>
      </c>
      <c r="L318" s="9" t="s">
        <v>539</v>
      </c>
      <c r="M318" s="9" t="str">
        <f t="shared" si="29"/>
        <v>Same</v>
      </c>
      <c r="N318" s="30" t="s">
        <v>1028</v>
      </c>
      <c r="O318" s="30" t="s">
        <v>1028</v>
      </c>
    </row>
    <row r="319" spans="1:15" ht="15" customHeight="1" x14ac:dyDescent="0.2">
      <c r="A319" s="9">
        <v>314</v>
      </c>
      <c r="B319" s="27">
        <f t="shared" si="24"/>
        <v>1533.9521250610651</v>
      </c>
      <c r="C319" s="27">
        <f t="shared" si="25"/>
        <v>6191.0307767464583</v>
      </c>
      <c r="D319" s="28">
        <v>6.19</v>
      </c>
      <c r="E319" s="28">
        <v>6.2</v>
      </c>
      <c r="F319" s="9" t="str">
        <f t="shared" si="26"/>
        <v>Within 10 mV (calibration line)</v>
      </c>
      <c r="G319" s="27">
        <f t="shared" si="27"/>
        <v>1533.9521250610651</v>
      </c>
      <c r="H319" s="29">
        <v>1.72</v>
      </c>
      <c r="I319" s="29">
        <v>1.72</v>
      </c>
      <c r="J319" s="9" t="str">
        <f t="shared" si="28"/>
        <v>Identical</v>
      </c>
      <c r="K319" s="9" t="s">
        <v>539</v>
      </c>
      <c r="L319" s="9" t="s">
        <v>539</v>
      </c>
      <c r="M319" s="9" t="str">
        <f t="shared" si="29"/>
        <v>Same</v>
      </c>
      <c r="N319" s="30" t="s">
        <v>1029</v>
      </c>
      <c r="O319" s="30" t="s">
        <v>1029</v>
      </c>
    </row>
    <row r="320" spans="1:15" ht="15" customHeight="1" x14ac:dyDescent="0.2">
      <c r="A320" s="9">
        <v>315</v>
      </c>
      <c r="B320" s="27">
        <f t="shared" si="24"/>
        <v>1538.837322911578</v>
      </c>
      <c r="C320" s="27">
        <f t="shared" si="25"/>
        <v>6210.7474352711279</v>
      </c>
      <c r="D320" s="28">
        <v>6.21</v>
      </c>
      <c r="E320" s="28">
        <v>6.22</v>
      </c>
      <c r="F320" s="9" t="str">
        <f t="shared" si="26"/>
        <v>Within 10 mV (calibration line)</v>
      </c>
      <c r="G320" s="27">
        <f t="shared" si="27"/>
        <v>1538.837322911578</v>
      </c>
      <c r="H320" s="29">
        <v>1.72</v>
      </c>
      <c r="I320" s="29">
        <v>1.73</v>
      </c>
      <c r="J320" s="9" t="str">
        <f t="shared" si="28"/>
        <v>+0.01 A (nearest step)</v>
      </c>
      <c r="K320" s="9" t="s">
        <v>539</v>
      </c>
      <c r="L320" s="9" t="s">
        <v>539</v>
      </c>
      <c r="M320" s="9" t="str">
        <f t="shared" si="29"/>
        <v>Same</v>
      </c>
      <c r="N320" s="30" t="s">
        <v>1029</v>
      </c>
      <c r="O320" s="30" t="s">
        <v>1030</v>
      </c>
    </row>
    <row r="321" spans="1:15" ht="15" customHeight="1" x14ac:dyDescent="0.2">
      <c r="A321" s="9">
        <v>316</v>
      </c>
      <c r="B321" s="27">
        <f t="shared" si="24"/>
        <v>1543.7225207620911</v>
      </c>
      <c r="C321" s="27">
        <f t="shared" si="25"/>
        <v>6230.4640937957993</v>
      </c>
      <c r="D321" s="28">
        <v>6.23</v>
      </c>
      <c r="E321" s="28">
        <v>6.24</v>
      </c>
      <c r="F321" s="9" t="str">
        <f t="shared" si="26"/>
        <v>Within 10 mV (calibration line)</v>
      </c>
      <c r="G321" s="27">
        <f t="shared" si="27"/>
        <v>1543.7225207620911</v>
      </c>
      <c r="H321" s="29">
        <v>1.73</v>
      </c>
      <c r="I321" s="29">
        <v>1.73</v>
      </c>
      <c r="J321" s="9" t="str">
        <f t="shared" si="28"/>
        <v>Identical</v>
      </c>
      <c r="K321" s="9" t="s">
        <v>539</v>
      </c>
      <c r="L321" s="9" t="s">
        <v>539</v>
      </c>
      <c r="M321" s="9" t="str">
        <f t="shared" si="29"/>
        <v>Same</v>
      </c>
      <c r="N321" s="30" t="s">
        <v>1030</v>
      </c>
      <c r="O321" s="30" t="s">
        <v>1030</v>
      </c>
    </row>
    <row r="322" spans="1:15" ht="15" customHeight="1" x14ac:dyDescent="0.2">
      <c r="A322" s="9">
        <v>317</v>
      </c>
      <c r="B322" s="27">
        <f t="shared" si="24"/>
        <v>1548.607718612604</v>
      </c>
      <c r="C322" s="27">
        <f t="shared" si="25"/>
        <v>6250.1807523204689</v>
      </c>
      <c r="D322" s="28">
        <v>6.25</v>
      </c>
      <c r="E322" s="28">
        <v>6.25</v>
      </c>
      <c r="F322" s="9" t="str">
        <f t="shared" si="26"/>
        <v>Identical</v>
      </c>
      <c r="G322" s="27">
        <f t="shared" si="27"/>
        <v>1548.607718612604</v>
      </c>
      <c r="H322" s="29">
        <v>1.74</v>
      </c>
      <c r="I322" s="29">
        <v>1.74</v>
      </c>
      <c r="J322" s="9" t="str">
        <f t="shared" si="28"/>
        <v>Identical</v>
      </c>
      <c r="K322" s="9" t="s">
        <v>539</v>
      </c>
      <c r="L322" s="9" t="s">
        <v>539</v>
      </c>
      <c r="M322" s="9" t="str">
        <f t="shared" si="29"/>
        <v>Same</v>
      </c>
      <c r="N322" s="30" t="s">
        <v>1031</v>
      </c>
      <c r="O322" s="30" t="s">
        <v>1031</v>
      </c>
    </row>
    <row r="323" spans="1:15" ht="15" customHeight="1" x14ac:dyDescent="0.2">
      <c r="A323" s="9">
        <v>318</v>
      </c>
      <c r="B323" s="27">
        <f t="shared" si="24"/>
        <v>1553.4929164631169</v>
      </c>
      <c r="C323" s="27">
        <f t="shared" si="25"/>
        <v>6269.8974108451393</v>
      </c>
      <c r="D323" s="28">
        <v>6.26</v>
      </c>
      <c r="E323" s="28">
        <v>6.27</v>
      </c>
      <c r="F323" s="9" t="str">
        <f t="shared" si="26"/>
        <v>Within 10 mV (calibration line)</v>
      </c>
      <c r="G323" s="27">
        <f t="shared" si="27"/>
        <v>1553.4929164631169</v>
      </c>
      <c r="H323" s="29">
        <v>1.74</v>
      </c>
      <c r="I323" s="29">
        <v>1.74</v>
      </c>
      <c r="J323" s="9" t="str">
        <f t="shared" si="28"/>
        <v>Identical</v>
      </c>
      <c r="K323" s="9" t="s">
        <v>539</v>
      </c>
      <c r="L323" s="9" t="s">
        <v>539</v>
      </c>
      <c r="M323" s="9" t="str">
        <f t="shared" si="29"/>
        <v>Same</v>
      </c>
      <c r="N323" s="30" t="s">
        <v>1031</v>
      </c>
      <c r="O323" s="30" t="s">
        <v>1031</v>
      </c>
    </row>
    <row r="324" spans="1:15" ht="15" customHeight="1" x14ac:dyDescent="0.2">
      <c r="A324" s="9">
        <v>319</v>
      </c>
      <c r="B324" s="27">
        <f t="shared" si="24"/>
        <v>1558.3781143136298</v>
      </c>
      <c r="C324" s="27">
        <f t="shared" si="25"/>
        <v>6289.6140693698089</v>
      </c>
      <c r="D324" s="28">
        <v>6.28</v>
      </c>
      <c r="E324" s="28">
        <v>6.29</v>
      </c>
      <c r="F324" s="9" t="str">
        <f t="shared" si="26"/>
        <v>Within 10 mV (calibration line)</v>
      </c>
      <c r="G324" s="27">
        <f t="shared" si="27"/>
        <v>1558.3781143136298</v>
      </c>
      <c r="H324" s="29">
        <v>1.75</v>
      </c>
      <c r="I324" s="29">
        <v>1.75</v>
      </c>
      <c r="J324" s="9" t="str">
        <f t="shared" si="28"/>
        <v>Identical</v>
      </c>
      <c r="K324" s="9" t="s">
        <v>539</v>
      </c>
      <c r="L324" s="9" t="s">
        <v>539</v>
      </c>
      <c r="M324" s="9" t="str">
        <f t="shared" si="29"/>
        <v>Same</v>
      </c>
      <c r="N324" s="30" t="s">
        <v>1032</v>
      </c>
      <c r="O324" s="30" t="s">
        <v>1032</v>
      </c>
    </row>
    <row r="325" spans="1:15" ht="15" customHeight="1" x14ac:dyDescent="0.2">
      <c r="A325" s="9">
        <v>320</v>
      </c>
      <c r="B325" s="27">
        <f t="shared" ref="B325:B388" si="30">A325/$C$3*1000</f>
        <v>1563.2633121641429</v>
      </c>
      <c r="C325" s="27">
        <f t="shared" ref="C325:C388" si="31">B325*$F$3</f>
        <v>6309.3307278944803</v>
      </c>
      <c r="D325" s="28">
        <v>6.3</v>
      </c>
      <c r="E325" s="28">
        <v>6.31</v>
      </c>
      <c r="F325" s="9" t="str">
        <f t="shared" ref="F325:F388" si="32">IF(D325=E325,"Identical",IF(E325="OL","ADC full scale: now OL",IF(ABS(E325-D325)&lt;0.0105,"Within 10 mV (calibration line)",IF(AND(C325&lt;4200,ABS(E325-D325)&lt;0.0205),"-20 mV (end of old +30 mV band)",IF(C325&lt;830,"Low range fixed (F-02)","Different")))))</f>
        <v>Within 10 mV (calibration line)</v>
      </c>
      <c r="G325" s="27">
        <f t="shared" ref="G325:G388" si="33">B325</f>
        <v>1563.2633121641429</v>
      </c>
      <c r="H325" s="29">
        <v>1.75</v>
      </c>
      <c r="I325" s="29">
        <v>1.75</v>
      </c>
      <c r="J325" s="9" t="str">
        <f t="shared" ref="J325:J388" si="34">IF(H325=I325,"Identical",IF(I325="OL","Above 5.00 A: now OL",IF(H325="ERR (999.23)","Gap bug fixed",IF(ABS(I325-H325-0.01)&lt;0.0001,"+0.01 A (nearest step)","Different"))))</f>
        <v>Identical</v>
      </c>
      <c r="K325" s="9" t="s">
        <v>539</v>
      </c>
      <c r="L325" s="9" t="s">
        <v>539</v>
      </c>
      <c r="M325" s="9" t="str">
        <f t="shared" ref="M325:M388" si="35">IF(K325=L325,"Same","Different")</f>
        <v>Same</v>
      </c>
      <c r="N325" s="30" t="s">
        <v>1032</v>
      </c>
      <c r="O325" s="30" t="s">
        <v>1032</v>
      </c>
    </row>
    <row r="326" spans="1:15" ht="15" customHeight="1" x14ac:dyDescent="0.2">
      <c r="A326" s="9">
        <v>321</v>
      </c>
      <c r="B326" s="27">
        <f t="shared" si="30"/>
        <v>1568.1485100146558</v>
      </c>
      <c r="C326" s="27">
        <f t="shared" si="31"/>
        <v>6329.0473864191499</v>
      </c>
      <c r="D326" s="28">
        <v>6.32</v>
      </c>
      <c r="E326" s="28">
        <v>6.33</v>
      </c>
      <c r="F326" s="9" t="str">
        <f t="shared" si="32"/>
        <v>Within 10 mV (calibration line)</v>
      </c>
      <c r="G326" s="27">
        <f t="shared" si="33"/>
        <v>1568.1485100146558</v>
      </c>
      <c r="H326" s="29">
        <v>1.76</v>
      </c>
      <c r="I326" s="29">
        <v>1.76</v>
      </c>
      <c r="J326" s="9" t="str">
        <f t="shared" si="34"/>
        <v>Identical</v>
      </c>
      <c r="K326" s="9" t="s">
        <v>539</v>
      </c>
      <c r="L326" s="9" t="s">
        <v>539</v>
      </c>
      <c r="M326" s="9" t="str">
        <f t="shared" si="35"/>
        <v>Same</v>
      </c>
      <c r="N326" s="30" t="s">
        <v>1033</v>
      </c>
      <c r="O326" s="30" t="s">
        <v>1033</v>
      </c>
    </row>
    <row r="327" spans="1:15" ht="15" customHeight="1" x14ac:dyDescent="0.2">
      <c r="A327" s="9">
        <v>322</v>
      </c>
      <c r="B327" s="27">
        <f t="shared" si="30"/>
        <v>1573.0337078651687</v>
      </c>
      <c r="C327" s="27">
        <f t="shared" si="31"/>
        <v>6348.7640449438204</v>
      </c>
      <c r="D327" s="28">
        <v>6.34</v>
      </c>
      <c r="E327" s="28">
        <v>6.35</v>
      </c>
      <c r="F327" s="9" t="str">
        <f t="shared" si="32"/>
        <v>Within 10 mV (calibration line)</v>
      </c>
      <c r="G327" s="27">
        <f t="shared" si="33"/>
        <v>1573.0337078651687</v>
      </c>
      <c r="H327" s="29">
        <v>1.76</v>
      </c>
      <c r="I327" s="29">
        <v>1.76</v>
      </c>
      <c r="J327" s="9" t="str">
        <f t="shared" si="34"/>
        <v>Identical</v>
      </c>
      <c r="K327" s="9" t="s">
        <v>539</v>
      </c>
      <c r="L327" s="9" t="s">
        <v>539</v>
      </c>
      <c r="M327" s="9" t="str">
        <f t="shared" si="35"/>
        <v>Same</v>
      </c>
      <c r="N327" s="30" t="s">
        <v>1033</v>
      </c>
      <c r="O327" s="30" t="s">
        <v>1033</v>
      </c>
    </row>
    <row r="328" spans="1:15" ht="15" customHeight="1" x14ac:dyDescent="0.2">
      <c r="A328" s="9">
        <v>323</v>
      </c>
      <c r="B328" s="27">
        <f t="shared" si="30"/>
        <v>1577.9189057156816</v>
      </c>
      <c r="C328" s="27">
        <f t="shared" si="31"/>
        <v>6368.48070346849</v>
      </c>
      <c r="D328" s="28">
        <v>6.36</v>
      </c>
      <c r="E328" s="28">
        <v>6.37</v>
      </c>
      <c r="F328" s="9" t="str">
        <f t="shared" si="32"/>
        <v>Within 10 mV (calibration line)</v>
      </c>
      <c r="G328" s="27">
        <f t="shared" si="33"/>
        <v>1577.9189057156816</v>
      </c>
      <c r="H328" s="29">
        <v>1.77</v>
      </c>
      <c r="I328" s="29">
        <v>1.77</v>
      </c>
      <c r="J328" s="9" t="str">
        <f t="shared" si="34"/>
        <v>Identical</v>
      </c>
      <c r="K328" s="9" t="s">
        <v>539</v>
      </c>
      <c r="L328" s="9" t="s">
        <v>539</v>
      </c>
      <c r="M328" s="9" t="str">
        <f t="shared" si="35"/>
        <v>Same</v>
      </c>
      <c r="N328" s="30" t="s">
        <v>1034</v>
      </c>
      <c r="O328" s="30" t="s">
        <v>1034</v>
      </c>
    </row>
    <row r="329" spans="1:15" ht="15" customHeight="1" x14ac:dyDescent="0.2">
      <c r="A329" s="9">
        <v>324</v>
      </c>
      <c r="B329" s="27">
        <f t="shared" si="30"/>
        <v>1582.8041035661945</v>
      </c>
      <c r="C329" s="27">
        <f t="shared" si="31"/>
        <v>6388.1973619931605</v>
      </c>
      <c r="D329" s="28">
        <v>6.38</v>
      </c>
      <c r="E329" s="28">
        <v>6.39</v>
      </c>
      <c r="F329" s="9" t="str">
        <f t="shared" si="32"/>
        <v>Within 10 mV (calibration line)</v>
      </c>
      <c r="G329" s="27">
        <f t="shared" si="33"/>
        <v>1582.8041035661945</v>
      </c>
      <c r="H329" s="29">
        <v>1.77</v>
      </c>
      <c r="I329" s="29">
        <v>1.77</v>
      </c>
      <c r="J329" s="9" t="str">
        <f t="shared" si="34"/>
        <v>Identical</v>
      </c>
      <c r="K329" s="9" t="s">
        <v>539</v>
      </c>
      <c r="L329" s="9" t="s">
        <v>539</v>
      </c>
      <c r="M329" s="9" t="str">
        <f t="shared" si="35"/>
        <v>Same</v>
      </c>
      <c r="N329" s="30" t="s">
        <v>1034</v>
      </c>
      <c r="O329" s="30" t="s">
        <v>1034</v>
      </c>
    </row>
    <row r="330" spans="1:15" ht="15" customHeight="1" x14ac:dyDescent="0.2">
      <c r="A330" s="9">
        <v>325</v>
      </c>
      <c r="B330" s="27">
        <f t="shared" si="30"/>
        <v>1587.6893014167074</v>
      </c>
      <c r="C330" s="27">
        <f t="shared" si="31"/>
        <v>6407.9140205178301</v>
      </c>
      <c r="D330" s="28">
        <v>6.4</v>
      </c>
      <c r="E330" s="28">
        <v>6.41</v>
      </c>
      <c r="F330" s="9" t="str">
        <f t="shared" si="32"/>
        <v>Within 10 mV (calibration line)</v>
      </c>
      <c r="G330" s="27">
        <f t="shared" si="33"/>
        <v>1587.6893014167074</v>
      </c>
      <c r="H330" s="29">
        <v>1.78</v>
      </c>
      <c r="I330" s="29">
        <v>1.78</v>
      </c>
      <c r="J330" s="9" t="str">
        <f t="shared" si="34"/>
        <v>Identical</v>
      </c>
      <c r="K330" s="9" t="s">
        <v>539</v>
      </c>
      <c r="L330" s="9" t="s">
        <v>539</v>
      </c>
      <c r="M330" s="9" t="str">
        <f t="shared" si="35"/>
        <v>Same</v>
      </c>
      <c r="N330" s="30" t="s">
        <v>1035</v>
      </c>
      <c r="O330" s="30" t="s">
        <v>1035</v>
      </c>
    </row>
    <row r="331" spans="1:15" ht="15" customHeight="1" x14ac:dyDescent="0.2">
      <c r="A331" s="9">
        <v>326</v>
      </c>
      <c r="B331" s="27">
        <f t="shared" si="30"/>
        <v>1592.5744992672203</v>
      </c>
      <c r="C331" s="27">
        <f t="shared" si="31"/>
        <v>6427.6306790425006</v>
      </c>
      <c r="D331" s="28">
        <v>6.42</v>
      </c>
      <c r="E331" s="28">
        <v>6.43</v>
      </c>
      <c r="F331" s="9" t="str">
        <f t="shared" si="32"/>
        <v>Within 10 mV (calibration line)</v>
      </c>
      <c r="G331" s="27">
        <f t="shared" si="33"/>
        <v>1592.5744992672203</v>
      </c>
      <c r="H331" s="29">
        <v>1.78</v>
      </c>
      <c r="I331" s="29">
        <v>1.79</v>
      </c>
      <c r="J331" s="9" t="str">
        <f t="shared" si="34"/>
        <v>+0.01 A (nearest step)</v>
      </c>
      <c r="K331" s="9" t="s">
        <v>539</v>
      </c>
      <c r="L331" s="9" t="s">
        <v>539</v>
      </c>
      <c r="M331" s="9" t="str">
        <f t="shared" si="35"/>
        <v>Same</v>
      </c>
      <c r="N331" s="30" t="s">
        <v>1035</v>
      </c>
      <c r="O331" s="30" t="s">
        <v>1036</v>
      </c>
    </row>
    <row r="332" spans="1:15" ht="15" customHeight="1" x14ac:dyDescent="0.2">
      <c r="A332" s="9">
        <v>327</v>
      </c>
      <c r="B332" s="27">
        <f t="shared" si="30"/>
        <v>1597.4596971177332</v>
      </c>
      <c r="C332" s="27">
        <f t="shared" si="31"/>
        <v>6447.3473375671701</v>
      </c>
      <c r="D332" s="28">
        <v>6.44</v>
      </c>
      <c r="E332" s="28">
        <v>6.45</v>
      </c>
      <c r="F332" s="9" t="str">
        <f t="shared" si="32"/>
        <v>Within 10 mV (calibration line)</v>
      </c>
      <c r="G332" s="27">
        <f t="shared" si="33"/>
        <v>1597.4596971177332</v>
      </c>
      <c r="H332" s="29">
        <v>1.79</v>
      </c>
      <c r="I332" s="29">
        <v>1.79</v>
      </c>
      <c r="J332" s="9" t="str">
        <f t="shared" si="34"/>
        <v>Identical</v>
      </c>
      <c r="K332" s="9" t="s">
        <v>539</v>
      </c>
      <c r="L332" s="9" t="s">
        <v>539</v>
      </c>
      <c r="M332" s="9" t="str">
        <f t="shared" si="35"/>
        <v>Same</v>
      </c>
      <c r="N332" s="30" t="s">
        <v>1036</v>
      </c>
      <c r="O332" s="30" t="s">
        <v>1036</v>
      </c>
    </row>
    <row r="333" spans="1:15" ht="15" customHeight="1" x14ac:dyDescent="0.2">
      <c r="A333" s="9">
        <v>328</v>
      </c>
      <c r="B333" s="27">
        <f t="shared" si="30"/>
        <v>1602.3448949682463</v>
      </c>
      <c r="C333" s="27">
        <f t="shared" si="31"/>
        <v>6467.0639960918415</v>
      </c>
      <c r="D333" s="28">
        <v>6.46</v>
      </c>
      <c r="E333" s="28">
        <v>6.47</v>
      </c>
      <c r="F333" s="9" t="str">
        <f t="shared" si="32"/>
        <v>Within 10 mV (calibration line)</v>
      </c>
      <c r="G333" s="27">
        <f t="shared" si="33"/>
        <v>1602.3448949682463</v>
      </c>
      <c r="H333" s="29">
        <v>1.8</v>
      </c>
      <c r="I333" s="29">
        <v>1.8</v>
      </c>
      <c r="J333" s="9" t="str">
        <f t="shared" si="34"/>
        <v>Identical</v>
      </c>
      <c r="K333" s="9" t="s">
        <v>539</v>
      </c>
      <c r="L333" s="9" t="s">
        <v>539</v>
      </c>
      <c r="M333" s="9" t="str">
        <f t="shared" si="35"/>
        <v>Same</v>
      </c>
      <c r="N333" s="30" t="s">
        <v>1037</v>
      </c>
      <c r="O333" s="30" t="s">
        <v>1037</v>
      </c>
    </row>
    <row r="334" spans="1:15" ht="15" customHeight="1" x14ac:dyDescent="0.2">
      <c r="A334" s="9">
        <v>329</v>
      </c>
      <c r="B334" s="27">
        <f t="shared" si="30"/>
        <v>1607.2300928187592</v>
      </c>
      <c r="C334" s="27">
        <f t="shared" si="31"/>
        <v>6486.7806546165111</v>
      </c>
      <c r="D334" s="28">
        <v>6.48</v>
      </c>
      <c r="E334" s="28">
        <v>6.49</v>
      </c>
      <c r="F334" s="9" t="str">
        <f t="shared" si="32"/>
        <v>Within 10 mV (calibration line)</v>
      </c>
      <c r="G334" s="27">
        <f t="shared" si="33"/>
        <v>1607.2300928187592</v>
      </c>
      <c r="H334" s="29">
        <v>1.8</v>
      </c>
      <c r="I334" s="29">
        <v>1.8</v>
      </c>
      <c r="J334" s="9" t="str">
        <f t="shared" si="34"/>
        <v>Identical</v>
      </c>
      <c r="K334" s="9" t="s">
        <v>539</v>
      </c>
      <c r="L334" s="9" t="s">
        <v>539</v>
      </c>
      <c r="M334" s="9" t="str">
        <f t="shared" si="35"/>
        <v>Same</v>
      </c>
      <c r="N334" s="30" t="s">
        <v>1037</v>
      </c>
      <c r="O334" s="30" t="s">
        <v>1037</v>
      </c>
    </row>
    <row r="335" spans="1:15" ht="15" customHeight="1" x14ac:dyDescent="0.2">
      <c r="A335" s="9">
        <v>330</v>
      </c>
      <c r="B335" s="27">
        <f t="shared" si="30"/>
        <v>1612.1152906692721</v>
      </c>
      <c r="C335" s="27">
        <f t="shared" si="31"/>
        <v>6506.4973131411816</v>
      </c>
      <c r="D335" s="28">
        <v>6.5</v>
      </c>
      <c r="E335" s="28">
        <v>6.51</v>
      </c>
      <c r="F335" s="9" t="str">
        <f t="shared" si="32"/>
        <v>Within 10 mV (calibration line)</v>
      </c>
      <c r="G335" s="27">
        <f t="shared" si="33"/>
        <v>1612.1152906692721</v>
      </c>
      <c r="H335" s="29">
        <v>1.81</v>
      </c>
      <c r="I335" s="29">
        <v>1.81</v>
      </c>
      <c r="J335" s="9" t="str">
        <f t="shared" si="34"/>
        <v>Identical</v>
      </c>
      <c r="K335" s="9" t="s">
        <v>539</v>
      </c>
      <c r="L335" s="9" t="s">
        <v>539</v>
      </c>
      <c r="M335" s="9" t="str">
        <f t="shared" si="35"/>
        <v>Same</v>
      </c>
      <c r="N335" s="30" t="s">
        <v>1038</v>
      </c>
      <c r="O335" s="30" t="s">
        <v>1038</v>
      </c>
    </row>
    <row r="336" spans="1:15" ht="15" customHeight="1" x14ac:dyDescent="0.2">
      <c r="A336" s="9">
        <v>331</v>
      </c>
      <c r="B336" s="27">
        <f t="shared" si="30"/>
        <v>1617.000488519785</v>
      </c>
      <c r="C336" s="27">
        <f t="shared" si="31"/>
        <v>6526.2139716658512</v>
      </c>
      <c r="D336" s="28">
        <v>6.52</v>
      </c>
      <c r="E336" s="28">
        <v>6.53</v>
      </c>
      <c r="F336" s="9" t="str">
        <f t="shared" si="32"/>
        <v>Within 10 mV (calibration line)</v>
      </c>
      <c r="G336" s="27">
        <f t="shared" si="33"/>
        <v>1617.000488519785</v>
      </c>
      <c r="H336" s="29">
        <v>1.81</v>
      </c>
      <c r="I336" s="29">
        <v>1.81</v>
      </c>
      <c r="J336" s="9" t="str">
        <f t="shared" si="34"/>
        <v>Identical</v>
      </c>
      <c r="K336" s="9" t="s">
        <v>539</v>
      </c>
      <c r="L336" s="9" t="s">
        <v>539</v>
      </c>
      <c r="M336" s="9" t="str">
        <f t="shared" si="35"/>
        <v>Same</v>
      </c>
      <c r="N336" s="30" t="s">
        <v>1038</v>
      </c>
      <c r="O336" s="30" t="s">
        <v>1038</v>
      </c>
    </row>
    <row r="337" spans="1:15" ht="15" customHeight="1" x14ac:dyDescent="0.2">
      <c r="A337" s="9">
        <v>332</v>
      </c>
      <c r="B337" s="27">
        <f t="shared" si="30"/>
        <v>1621.8856863702981</v>
      </c>
      <c r="C337" s="27">
        <f t="shared" si="31"/>
        <v>6545.9306301905226</v>
      </c>
      <c r="D337" s="28">
        <v>6.54</v>
      </c>
      <c r="E337" s="28">
        <v>6.55</v>
      </c>
      <c r="F337" s="9" t="str">
        <f t="shared" si="32"/>
        <v>Within 10 mV (calibration line)</v>
      </c>
      <c r="G337" s="27">
        <f t="shared" si="33"/>
        <v>1621.8856863702981</v>
      </c>
      <c r="H337" s="29">
        <v>1.82</v>
      </c>
      <c r="I337" s="29">
        <v>1.82</v>
      </c>
      <c r="J337" s="9" t="str">
        <f t="shared" si="34"/>
        <v>Identical</v>
      </c>
      <c r="K337" s="9" t="s">
        <v>539</v>
      </c>
      <c r="L337" s="9" t="s">
        <v>539</v>
      </c>
      <c r="M337" s="9" t="str">
        <f t="shared" si="35"/>
        <v>Same</v>
      </c>
      <c r="N337" s="30" t="s">
        <v>1039</v>
      </c>
      <c r="O337" s="30" t="s">
        <v>1039</v>
      </c>
    </row>
    <row r="338" spans="1:15" ht="15" customHeight="1" x14ac:dyDescent="0.2">
      <c r="A338" s="9">
        <v>333</v>
      </c>
      <c r="B338" s="27">
        <f t="shared" si="30"/>
        <v>1626.770884220811</v>
      </c>
      <c r="C338" s="27">
        <f t="shared" si="31"/>
        <v>6565.6472887151922</v>
      </c>
      <c r="D338" s="28">
        <v>6.56</v>
      </c>
      <c r="E338" s="28">
        <v>6.57</v>
      </c>
      <c r="F338" s="9" t="str">
        <f t="shared" si="32"/>
        <v>Within 10 mV (calibration line)</v>
      </c>
      <c r="G338" s="27">
        <f t="shared" si="33"/>
        <v>1626.770884220811</v>
      </c>
      <c r="H338" s="29">
        <v>1.82</v>
      </c>
      <c r="I338" s="29">
        <v>1.82</v>
      </c>
      <c r="J338" s="9" t="str">
        <f t="shared" si="34"/>
        <v>Identical</v>
      </c>
      <c r="K338" s="9" t="s">
        <v>539</v>
      </c>
      <c r="L338" s="9" t="s">
        <v>539</v>
      </c>
      <c r="M338" s="9" t="str">
        <f t="shared" si="35"/>
        <v>Same</v>
      </c>
      <c r="N338" s="30" t="s">
        <v>1039</v>
      </c>
      <c r="O338" s="30" t="s">
        <v>1039</v>
      </c>
    </row>
    <row r="339" spans="1:15" ht="15" customHeight="1" x14ac:dyDescent="0.2">
      <c r="A339" s="9">
        <v>334</v>
      </c>
      <c r="B339" s="27">
        <f t="shared" si="30"/>
        <v>1631.6560820713239</v>
      </c>
      <c r="C339" s="27">
        <f t="shared" si="31"/>
        <v>6585.3639472398627</v>
      </c>
      <c r="D339" s="28">
        <v>6.58</v>
      </c>
      <c r="E339" s="28">
        <v>6.59</v>
      </c>
      <c r="F339" s="9" t="str">
        <f t="shared" si="32"/>
        <v>Within 10 mV (calibration line)</v>
      </c>
      <c r="G339" s="27">
        <f t="shared" si="33"/>
        <v>1631.6560820713239</v>
      </c>
      <c r="H339" s="29">
        <v>1.83</v>
      </c>
      <c r="I339" s="29">
        <v>1.83</v>
      </c>
      <c r="J339" s="9" t="str">
        <f t="shared" si="34"/>
        <v>Identical</v>
      </c>
      <c r="K339" s="9" t="s">
        <v>539</v>
      </c>
      <c r="L339" s="9" t="s">
        <v>539</v>
      </c>
      <c r="M339" s="9" t="str">
        <f t="shared" si="35"/>
        <v>Same</v>
      </c>
      <c r="N339" s="30" t="s">
        <v>1040</v>
      </c>
      <c r="O339" s="30" t="s">
        <v>1040</v>
      </c>
    </row>
    <row r="340" spans="1:15" ht="15" customHeight="1" x14ac:dyDescent="0.2">
      <c r="A340" s="9">
        <v>335</v>
      </c>
      <c r="B340" s="27">
        <f t="shared" si="30"/>
        <v>1636.5412799218368</v>
      </c>
      <c r="C340" s="27">
        <f t="shared" si="31"/>
        <v>6605.0806057645323</v>
      </c>
      <c r="D340" s="28">
        <v>6.6</v>
      </c>
      <c r="E340" s="28">
        <v>6.61</v>
      </c>
      <c r="F340" s="9" t="str">
        <f t="shared" si="32"/>
        <v>Within 10 mV (calibration line)</v>
      </c>
      <c r="G340" s="27">
        <f t="shared" si="33"/>
        <v>1636.5412799218368</v>
      </c>
      <c r="H340" s="29">
        <v>1.83</v>
      </c>
      <c r="I340" s="29">
        <v>1.84</v>
      </c>
      <c r="J340" s="9" t="str">
        <f t="shared" si="34"/>
        <v>+0.01 A (nearest step)</v>
      </c>
      <c r="K340" s="9" t="s">
        <v>539</v>
      </c>
      <c r="L340" s="9" t="s">
        <v>539</v>
      </c>
      <c r="M340" s="9" t="str">
        <f t="shared" si="35"/>
        <v>Same</v>
      </c>
      <c r="N340" s="30" t="s">
        <v>1040</v>
      </c>
      <c r="O340" s="30" t="s">
        <v>1041</v>
      </c>
    </row>
    <row r="341" spans="1:15" ht="15" customHeight="1" x14ac:dyDescent="0.2">
      <c r="A341" s="9">
        <v>336</v>
      </c>
      <c r="B341" s="27">
        <f t="shared" si="30"/>
        <v>1641.4264777723499</v>
      </c>
      <c r="C341" s="27">
        <f t="shared" si="31"/>
        <v>6624.7972642892037</v>
      </c>
      <c r="D341" s="28">
        <v>6.62</v>
      </c>
      <c r="E341" s="28">
        <v>6.63</v>
      </c>
      <c r="F341" s="9" t="str">
        <f t="shared" si="32"/>
        <v>Within 10 mV (calibration line)</v>
      </c>
      <c r="G341" s="27">
        <f t="shared" si="33"/>
        <v>1641.4264777723499</v>
      </c>
      <c r="H341" s="29">
        <v>1.84</v>
      </c>
      <c r="I341" s="29">
        <v>1.84</v>
      </c>
      <c r="J341" s="9" t="str">
        <f t="shared" si="34"/>
        <v>Identical</v>
      </c>
      <c r="K341" s="9" t="s">
        <v>539</v>
      </c>
      <c r="L341" s="9" t="s">
        <v>539</v>
      </c>
      <c r="M341" s="9" t="str">
        <f t="shared" si="35"/>
        <v>Same</v>
      </c>
      <c r="N341" s="30" t="s">
        <v>1041</v>
      </c>
      <c r="O341" s="30" t="s">
        <v>1041</v>
      </c>
    </row>
    <row r="342" spans="1:15" ht="15" customHeight="1" x14ac:dyDescent="0.2">
      <c r="A342" s="9">
        <v>337</v>
      </c>
      <c r="B342" s="27">
        <f t="shared" si="30"/>
        <v>1646.3116756228628</v>
      </c>
      <c r="C342" s="27">
        <f t="shared" si="31"/>
        <v>6644.5139228138733</v>
      </c>
      <c r="D342" s="28">
        <v>6.64</v>
      </c>
      <c r="E342" s="28">
        <v>6.65</v>
      </c>
      <c r="F342" s="9" t="str">
        <f t="shared" si="32"/>
        <v>Within 10 mV (calibration line)</v>
      </c>
      <c r="G342" s="27">
        <f t="shared" si="33"/>
        <v>1646.3116756228628</v>
      </c>
      <c r="H342" s="29">
        <v>1.85</v>
      </c>
      <c r="I342" s="29">
        <v>1.85</v>
      </c>
      <c r="J342" s="9" t="str">
        <f t="shared" si="34"/>
        <v>Identical</v>
      </c>
      <c r="K342" s="9" t="s">
        <v>539</v>
      </c>
      <c r="L342" s="9" t="s">
        <v>539</v>
      </c>
      <c r="M342" s="9" t="str">
        <f t="shared" si="35"/>
        <v>Same</v>
      </c>
      <c r="N342" s="30" t="s">
        <v>1042</v>
      </c>
      <c r="O342" s="30" t="s">
        <v>1042</v>
      </c>
    </row>
    <row r="343" spans="1:15" ht="15" customHeight="1" x14ac:dyDescent="0.2">
      <c r="A343" s="9">
        <v>338</v>
      </c>
      <c r="B343" s="27">
        <f t="shared" si="30"/>
        <v>1651.1968734733757</v>
      </c>
      <c r="C343" s="27">
        <f t="shared" si="31"/>
        <v>6664.2305813385437</v>
      </c>
      <c r="D343" s="28">
        <v>6.66</v>
      </c>
      <c r="E343" s="28">
        <v>6.67</v>
      </c>
      <c r="F343" s="9" t="str">
        <f t="shared" si="32"/>
        <v>Within 10 mV (calibration line)</v>
      </c>
      <c r="G343" s="27">
        <f t="shared" si="33"/>
        <v>1651.1968734733757</v>
      </c>
      <c r="H343" s="29">
        <v>1.85</v>
      </c>
      <c r="I343" s="29">
        <v>1.85</v>
      </c>
      <c r="J343" s="9" t="str">
        <f t="shared" si="34"/>
        <v>Identical</v>
      </c>
      <c r="K343" s="9" t="s">
        <v>539</v>
      </c>
      <c r="L343" s="9" t="s">
        <v>539</v>
      </c>
      <c r="M343" s="9" t="str">
        <f t="shared" si="35"/>
        <v>Same</v>
      </c>
      <c r="N343" s="30" t="s">
        <v>1042</v>
      </c>
      <c r="O343" s="30" t="s">
        <v>1042</v>
      </c>
    </row>
    <row r="344" spans="1:15" ht="15" customHeight="1" x14ac:dyDescent="0.2">
      <c r="A344" s="9">
        <v>339</v>
      </c>
      <c r="B344" s="27">
        <f t="shared" si="30"/>
        <v>1656.0820713238886</v>
      </c>
      <c r="C344" s="27">
        <f t="shared" si="31"/>
        <v>6683.9472398632133</v>
      </c>
      <c r="D344" s="28">
        <v>6.68</v>
      </c>
      <c r="E344" s="28">
        <v>6.69</v>
      </c>
      <c r="F344" s="9" t="str">
        <f t="shared" si="32"/>
        <v>Within 10 mV (calibration line)</v>
      </c>
      <c r="G344" s="27">
        <f t="shared" si="33"/>
        <v>1656.0820713238886</v>
      </c>
      <c r="H344" s="29">
        <v>1.86</v>
      </c>
      <c r="I344" s="29">
        <v>1.86</v>
      </c>
      <c r="J344" s="9" t="str">
        <f t="shared" si="34"/>
        <v>Identical</v>
      </c>
      <c r="K344" s="9" t="s">
        <v>539</v>
      </c>
      <c r="L344" s="9" t="s">
        <v>539</v>
      </c>
      <c r="M344" s="9" t="str">
        <f t="shared" si="35"/>
        <v>Same</v>
      </c>
      <c r="N344" s="30" t="s">
        <v>1043</v>
      </c>
      <c r="O344" s="30" t="s">
        <v>1043</v>
      </c>
    </row>
    <row r="345" spans="1:15" ht="15" customHeight="1" x14ac:dyDescent="0.2">
      <c r="A345" s="9">
        <v>340</v>
      </c>
      <c r="B345" s="27">
        <f t="shared" si="30"/>
        <v>1660.9672691744017</v>
      </c>
      <c r="C345" s="27">
        <f t="shared" si="31"/>
        <v>6703.6638983878847</v>
      </c>
      <c r="D345" s="28">
        <v>6.7</v>
      </c>
      <c r="E345" s="28">
        <v>6.71</v>
      </c>
      <c r="F345" s="9" t="str">
        <f t="shared" si="32"/>
        <v>Within 10 mV (calibration line)</v>
      </c>
      <c r="G345" s="27">
        <f t="shared" si="33"/>
        <v>1660.9672691744017</v>
      </c>
      <c r="H345" s="29">
        <v>1.86</v>
      </c>
      <c r="I345" s="29">
        <v>1.86</v>
      </c>
      <c r="J345" s="9" t="str">
        <f t="shared" si="34"/>
        <v>Identical</v>
      </c>
      <c r="K345" s="9" t="s">
        <v>539</v>
      </c>
      <c r="L345" s="9" t="s">
        <v>539</v>
      </c>
      <c r="M345" s="9" t="str">
        <f t="shared" si="35"/>
        <v>Same</v>
      </c>
      <c r="N345" s="30" t="s">
        <v>1043</v>
      </c>
      <c r="O345" s="30" t="s">
        <v>1043</v>
      </c>
    </row>
    <row r="346" spans="1:15" ht="15" customHeight="1" x14ac:dyDescent="0.2">
      <c r="A346" s="9">
        <v>341</v>
      </c>
      <c r="B346" s="27">
        <f t="shared" si="30"/>
        <v>1665.8524670249146</v>
      </c>
      <c r="C346" s="27">
        <f t="shared" si="31"/>
        <v>6723.3805569125543</v>
      </c>
      <c r="D346" s="28">
        <v>6.72</v>
      </c>
      <c r="E346" s="28">
        <v>6.73</v>
      </c>
      <c r="F346" s="9" t="str">
        <f t="shared" si="32"/>
        <v>Within 10 mV (calibration line)</v>
      </c>
      <c r="G346" s="27">
        <f t="shared" si="33"/>
        <v>1665.8524670249146</v>
      </c>
      <c r="H346" s="29">
        <v>1.87</v>
      </c>
      <c r="I346" s="29">
        <v>1.87</v>
      </c>
      <c r="J346" s="9" t="str">
        <f t="shared" si="34"/>
        <v>Identical</v>
      </c>
      <c r="K346" s="9" t="s">
        <v>539</v>
      </c>
      <c r="L346" s="9" t="s">
        <v>539</v>
      </c>
      <c r="M346" s="9" t="str">
        <f t="shared" si="35"/>
        <v>Same</v>
      </c>
      <c r="N346" s="30" t="s">
        <v>1044</v>
      </c>
      <c r="O346" s="30" t="s">
        <v>1044</v>
      </c>
    </row>
    <row r="347" spans="1:15" ht="15" customHeight="1" x14ac:dyDescent="0.2">
      <c r="A347" s="9">
        <v>342</v>
      </c>
      <c r="B347" s="27">
        <f t="shared" si="30"/>
        <v>1670.7376648754275</v>
      </c>
      <c r="C347" s="27">
        <f t="shared" si="31"/>
        <v>6743.0972154372248</v>
      </c>
      <c r="D347" s="28">
        <v>6.74</v>
      </c>
      <c r="E347" s="28">
        <v>6.75</v>
      </c>
      <c r="F347" s="9" t="str">
        <f t="shared" si="32"/>
        <v>Within 10 mV (calibration line)</v>
      </c>
      <c r="G347" s="27">
        <f t="shared" si="33"/>
        <v>1670.7376648754275</v>
      </c>
      <c r="H347" s="29">
        <v>1.87</v>
      </c>
      <c r="I347" s="29">
        <v>1.87</v>
      </c>
      <c r="J347" s="9" t="str">
        <f t="shared" si="34"/>
        <v>Identical</v>
      </c>
      <c r="K347" s="9" t="s">
        <v>539</v>
      </c>
      <c r="L347" s="9" t="s">
        <v>539</v>
      </c>
      <c r="M347" s="9" t="str">
        <f t="shared" si="35"/>
        <v>Same</v>
      </c>
      <c r="N347" s="30" t="s">
        <v>1044</v>
      </c>
      <c r="O347" s="30" t="s">
        <v>1044</v>
      </c>
    </row>
    <row r="348" spans="1:15" ht="15" customHeight="1" x14ac:dyDescent="0.2">
      <c r="A348" s="9">
        <v>343</v>
      </c>
      <c r="B348" s="27">
        <f t="shared" si="30"/>
        <v>1675.6228627259404</v>
      </c>
      <c r="C348" s="27">
        <f t="shared" si="31"/>
        <v>6762.8138739618953</v>
      </c>
      <c r="D348" s="28">
        <v>6.76</v>
      </c>
      <c r="E348" s="28">
        <v>6.77</v>
      </c>
      <c r="F348" s="9" t="str">
        <f t="shared" si="32"/>
        <v>Within 10 mV (calibration line)</v>
      </c>
      <c r="G348" s="27">
        <f t="shared" si="33"/>
        <v>1675.6228627259404</v>
      </c>
      <c r="H348" s="29">
        <v>1.88</v>
      </c>
      <c r="I348" s="29">
        <v>1.88</v>
      </c>
      <c r="J348" s="9" t="str">
        <f t="shared" si="34"/>
        <v>Identical</v>
      </c>
      <c r="K348" s="9" t="s">
        <v>539</v>
      </c>
      <c r="L348" s="9" t="s">
        <v>539</v>
      </c>
      <c r="M348" s="9" t="str">
        <f t="shared" si="35"/>
        <v>Same</v>
      </c>
      <c r="N348" s="30" t="s">
        <v>1045</v>
      </c>
      <c r="O348" s="30" t="s">
        <v>1045</v>
      </c>
    </row>
    <row r="349" spans="1:15" ht="15" customHeight="1" x14ac:dyDescent="0.2">
      <c r="A349" s="9">
        <v>344</v>
      </c>
      <c r="B349" s="27">
        <f t="shared" si="30"/>
        <v>1680.5080605764535</v>
      </c>
      <c r="C349" s="27">
        <f t="shared" si="31"/>
        <v>6782.5305324865658</v>
      </c>
      <c r="D349" s="28">
        <v>6.78</v>
      </c>
      <c r="E349" s="28">
        <v>6.78</v>
      </c>
      <c r="F349" s="9" t="str">
        <f t="shared" si="32"/>
        <v>Identical</v>
      </c>
      <c r="G349" s="27">
        <f t="shared" si="33"/>
        <v>1680.5080605764535</v>
      </c>
      <c r="H349" s="29">
        <v>1.88</v>
      </c>
      <c r="I349" s="29">
        <v>1.88</v>
      </c>
      <c r="J349" s="9" t="str">
        <f t="shared" si="34"/>
        <v>Identical</v>
      </c>
      <c r="K349" s="9" t="s">
        <v>539</v>
      </c>
      <c r="L349" s="9" t="s">
        <v>539</v>
      </c>
      <c r="M349" s="9" t="str">
        <f t="shared" si="35"/>
        <v>Same</v>
      </c>
      <c r="N349" s="30" t="s">
        <v>1045</v>
      </c>
      <c r="O349" s="30" t="s">
        <v>1045</v>
      </c>
    </row>
    <row r="350" spans="1:15" ht="15" customHeight="1" x14ac:dyDescent="0.2">
      <c r="A350" s="9">
        <v>345</v>
      </c>
      <c r="B350" s="27">
        <f t="shared" si="30"/>
        <v>1685.3932584269664</v>
      </c>
      <c r="C350" s="27">
        <f t="shared" si="31"/>
        <v>6802.2471910112363</v>
      </c>
      <c r="D350" s="28">
        <v>6.8</v>
      </c>
      <c r="E350" s="28">
        <v>6.8</v>
      </c>
      <c r="F350" s="9" t="str">
        <f t="shared" si="32"/>
        <v>Identical</v>
      </c>
      <c r="G350" s="27">
        <f t="shared" si="33"/>
        <v>1685.3932584269664</v>
      </c>
      <c r="H350" s="29">
        <v>1.89</v>
      </c>
      <c r="I350" s="29">
        <v>1.89</v>
      </c>
      <c r="J350" s="9" t="str">
        <f t="shared" si="34"/>
        <v>Identical</v>
      </c>
      <c r="K350" s="9" t="s">
        <v>539</v>
      </c>
      <c r="L350" s="9" t="s">
        <v>539</v>
      </c>
      <c r="M350" s="9" t="str">
        <f t="shared" si="35"/>
        <v>Same</v>
      </c>
      <c r="N350" s="30" t="s">
        <v>1046</v>
      </c>
      <c r="O350" s="30" t="s">
        <v>1046</v>
      </c>
    </row>
    <row r="351" spans="1:15" ht="15" customHeight="1" x14ac:dyDescent="0.2">
      <c r="A351" s="9">
        <v>346</v>
      </c>
      <c r="B351" s="27">
        <f t="shared" si="30"/>
        <v>1690.2784562774793</v>
      </c>
      <c r="C351" s="27">
        <f t="shared" si="31"/>
        <v>6821.9638495359059</v>
      </c>
      <c r="D351" s="28">
        <v>6.82</v>
      </c>
      <c r="E351" s="28">
        <v>6.82</v>
      </c>
      <c r="F351" s="9" t="str">
        <f t="shared" si="32"/>
        <v>Identical</v>
      </c>
      <c r="G351" s="27">
        <f t="shared" si="33"/>
        <v>1690.2784562774793</v>
      </c>
      <c r="H351" s="29">
        <v>1.89</v>
      </c>
      <c r="I351" s="29">
        <v>1.89</v>
      </c>
      <c r="J351" s="9" t="str">
        <f t="shared" si="34"/>
        <v>Identical</v>
      </c>
      <c r="K351" s="9" t="s">
        <v>539</v>
      </c>
      <c r="L351" s="9" t="s">
        <v>539</v>
      </c>
      <c r="M351" s="9" t="str">
        <f t="shared" si="35"/>
        <v>Same</v>
      </c>
      <c r="N351" s="30" t="s">
        <v>1046</v>
      </c>
      <c r="O351" s="30" t="s">
        <v>1046</v>
      </c>
    </row>
    <row r="352" spans="1:15" ht="15" customHeight="1" x14ac:dyDescent="0.2">
      <c r="A352" s="9">
        <v>347</v>
      </c>
      <c r="B352" s="27">
        <f t="shared" si="30"/>
        <v>1695.1636541279922</v>
      </c>
      <c r="C352" s="27">
        <f t="shared" si="31"/>
        <v>6841.6805080605764</v>
      </c>
      <c r="D352" s="28">
        <v>6.84</v>
      </c>
      <c r="E352" s="28">
        <v>6.84</v>
      </c>
      <c r="F352" s="9" t="str">
        <f t="shared" si="32"/>
        <v>Identical</v>
      </c>
      <c r="G352" s="27">
        <f t="shared" si="33"/>
        <v>1695.1636541279922</v>
      </c>
      <c r="H352" s="29">
        <v>1.9</v>
      </c>
      <c r="I352" s="29">
        <v>1.9</v>
      </c>
      <c r="J352" s="9" t="str">
        <f t="shared" si="34"/>
        <v>Identical</v>
      </c>
      <c r="K352" s="9" t="s">
        <v>539</v>
      </c>
      <c r="L352" s="9" t="s">
        <v>539</v>
      </c>
      <c r="M352" s="9" t="str">
        <f t="shared" si="35"/>
        <v>Same</v>
      </c>
      <c r="N352" s="30" t="s">
        <v>1047</v>
      </c>
      <c r="O352" s="30" t="s">
        <v>1047</v>
      </c>
    </row>
    <row r="353" spans="1:15" ht="15" customHeight="1" x14ac:dyDescent="0.2">
      <c r="A353" s="9">
        <v>348</v>
      </c>
      <c r="B353" s="27">
        <f t="shared" si="30"/>
        <v>1700.0488519785054</v>
      </c>
      <c r="C353" s="27">
        <f t="shared" si="31"/>
        <v>6861.3971665852469</v>
      </c>
      <c r="D353" s="28">
        <v>6.86</v>
      </c>
      <c r="E353" s="28">
        <v>6.86</v>
      </c>
      <c r="F353" s="9" t="str">
        <f t="shared" si="32"/>
        <v>Identical</v>
      </c>
      <c r="G353" s="27">
        <f t="shared" si="33"/>
        <v>1700.0488519785054</v>
      </c>
      <c r="H353" s="29">
        <v>1.91</v>
      </c>
      <c r="I353" s="29">
        <v>1.91</v>
      </c>
      <c r="J353" s="9" t="str">
        <f t="shared" si="34"/>
        <v>Identical</v>
      </c>
      <c r="K353" s="9" t="s">
        <v>539</v>
      </c>
      <c r="L353" s="9" t="s">
        <v>539</v>
      </c>
      <c r="M353" s="9" t="str">
        <f t="shared" si="35"/>
        <v>Same</v>
      </c>
      <c r="N353" s="30" t="s">
        <v>1048</v>
      </c>
      <c r="O353" s="30" t="s">
        <v>1048</v>
      </c>
    </row>
    <row r="354" spans="1:15" ht="15" customHeight="1" x14ac:dyDescent="0.2">
      <c r="A354" s="9">
        <v>349</v>
      </c>
      <c r="B354" s="27">
        <f t="shared" si="30"/>
        <v>1704.9340498290182</v>
      </c>
      <c r="C354" s="27">
        <f t="shared" si="31"/>
        <v>6881.1138251099173</v>
      </c>
      <c r="D354" s="28">
        <v>6.88</v>
      </c>
      <c r="E354" s="28">
        <v>6.88</v>
      </c>
      <c r="F354" s="9" t="str">
        <f t="shared" si="32"/>
        <v>Identical</v>
      </c>
      <c r="G354" s="27">
        <f t="shared" si="33"/>
        <v>1704.9340498290182</v>
      </c>
      <c r="H354" s="29">
        <v>1.91</v>
      </c>
      <c r="I354" s="29">
        <v>1.91</v>
      </c>
      <c r="J354" s="9" t="str">
        <f t="shared" si="34"/>
        <v>Identical</v>
      </c>
      <c r="K354" s="9" t="s">
        <v>539</v>
      </c>
      <c r="L354" s="9" t="s">
        <v>539</v>
      </c>
      <c r="M354" s="9" t="str">
        <f t="shared" si="35"/>
        <v>Same</v>
      </c>
      <c r="N354" s="30" t="s">
        <v>1048</v>
      </c>
      <c r="O354" s="30" t="s">
        <v>1048</v>
      </c>
    </row>
    <row r="355" spans="1:15" ht="15" customHeight="1" x14ac:dyDescent="0.2">
      <c r="A355" s="9">
        <v>350</v>
      </c>
      <c r="B355" s="27">
        <f t="shared" si="30"/>
        <v>1709.8192476795311</v>
      </c>
      <c r="C355" s="27">
        <f t="shared" si="31"/>
        <v>6900.8304836345869</v>
      </c>
      <c r="D355" s="28">
        <v>6.9</v>
      </c>
      <c r="E355" s="28">
        <v>6.9</v>
      </c>
      <c r="F355" s="9" t="str">
        <f t="shared" si="32"/>
        <v>Identical</v>
      </c>
      <c r="G355" s="27">
        <f t="shared" si="33"/>
        <v>1709.8192476795311</v>
      </c>
      <c r="H355" s="29">
        <v>1.92</v>
      </c>
      <c r="I355" s="29">
        <v>1.92</v>
      </c>
      <c r="J355" s="9" t="str">
        <f t="shared" si="34"/>
        <v>Identical</v>
      </c>
      <c r="K355" s="9" t="s">
        <v>539</v>
      </c>
      <c r="L355" s="9" t="s">
        <v>539</v>
      </c>
      <c r="M355" s="9" t="str">
        <f t="shared" si="35"/>
        <v>Same</v>
      </c>
      <c r="N355" s="30" t="s">
        <v>1049</v>
      </c>
      <c r="O355" s="30" t="s">
        <v>1049</v>
      </c>
    </row>
    <row r="356" spans="1:15" ht="15" customHeight="1" x14ac:dyDescent="0.2">
      <c r="A356" s="9">
        <v>351</v>
      </c>
      <c r="B356" s="27">
        <f t="shared" si="30"/>
        <v>1714.704445530044</v>
      </c>
      <c r="C356" s="27">
        <f t="shared" si="31"/>
        <v>6920.5471421592574</v>
      </c>
      <c r="D356" s="28">
        <v>6.92</v>
      </c>
      <c r="E356" s="28">
        <v>6.92</v>
      </c>
      <c r="F356" s="9" t="str">
        <f t="shared" si="32"/>
        <v>Identical</v>
      </c>
      <c r="G356" s="27">
        <f t="shared" si="33"/>
        <v>1714.704445530044</v>
      </c>
      <c r="H356" s="29">
        <v>1.92</v>
      </c>
      <c r="I356" s="29">
        <v>1.92</v>
      </c>
      <c r="J356" s="9" t="str">
        <f t="shared" si="34"/>
        <v>Identical</v>
      </c>
      <c r="K356" s="9" t="s">
        <v>539</v>
      </c>
      <c r="L356" s="9" t="s">
        <v>539</v>
      </c>
      <c r="M356" s="9" t="str">
        <f t="shared" si="35"/>
        <v>Same</v>
      </c>
      <c r="N356" s="30" t="s">
        <v>1049</v>
      </c>
      <c r="O356" s="30" t="s">
        <v>1049</v>
      </c>
    </row>
    <row r="357" spans="1:15" ht="15" customHeight="1" x14ac:dyDescent="0.2">
      <c r="A357" s="9">
        <v>352</v>
      </c>
      <c r="B357" s="27">
        <f t="shared" si="30"/>
        <v>1719.5896433805572</v>
      </c>
      <c r="C357" s="27">
        <f t="shared" si="31"/>
        <v>6940.2638006839279</v>
      </c>
      <c r="D357" s="28">
        <v>6.94</v>
      </c>
      <c r="E357" s="28">
        <v>6.94</v>
      </c>
      <c r="F357" s="9" t="str">
        <f t="shared" si="32"/>
        <v>Identical</v>
      </c>
      <c r="G357" s="27">
        <f t="shared" si="33"/>
        <v>1719.5896433805572</v>
      </c>
      <c r="H357" s="29">
        <v>1.93</v>
      </c>
      <c r="I357" s="29">
        <v>1.93</v>
      </c>
      <c r="J357" s="9" t="str">
        <f t="shared" si="34"/>
        <v>Identical</v>
      </c>
      <c r="K357" s="9" t="s">
        <v>539</v>
      </c>
      <c r="L357" s="9" t="s">
        <v>539</v>
      </c>
      <c r="M357" s="9" t="str">
        <f t="shared" si="35"/>
        <v>Same</v>
      </c>
      <c r="N357" s="30" t="s">
        <v>1050</v>
      </c>
      <c r="O357" s="30" t="s">
        <v>1050</v>
      </c>
    </row>
    <row r="358" spans="1:15" ht="15" customHeight="1" x14ac:dyDescent="0.2">
      <c r="A358" s="9">
        <v>353</v>
      </c>
      <c r="B358" s="27">
        <f t="shared" si="30"/>
        <v>1724.4748412310701</v>
      </c>
      <c r="C358" s="27">
        <f t="shared" si="31"/>
        <v>6959.9804592085984</v>
      </c>
      <c r="D358" s="28">
        <v>6.95</v>
      </c>
      <c r="E358" s="28">
        <v>6.96</v>
      </c>
      <c r="F358" s="9" t="str">
        <f t="shared" si="32"/>
        <v>Within 10 mV (calibration line)</v>
      </c>
      <c r="G358" s="27">
        <f t="shared" si="33"/>
        <v>1724.4748412310701</v>
      </c>
      <c r="H358" s="29">
        <v>1.93</v>
      </c>
      <c r="I358" s="29">
        <v>1.93</v>
      </c>
      <c r="J358" s="9" t="str">
        <f t="shared" si="34"/>
        <v>Identical</v>
      </c>
      <c r="K358" s="9" t="s">
        <v>539</v>
      </c>
      <c r="L358" s="9" t="s">
        <v>539</v>
      </c>
      <c r="M358" s="9" t="str">
        <f t="shared" si="35"/>
        <v>Same</v>
      </c>
      <c r="N358" s="30" t="s">
        <v>1050</v>
      </c>
      <c r="O358" s="30" t="s">
        <v>1050</v>
      </c>
    </row>
    <row r="359" spans="1:15" ht="15" customHeight="1" x14ac:dyDescent="0.2">
      <c r="A359" s="9">
        <v>354</v>
      </c>
      <c r="B359" s="27">
        <f t="shared" si="30"/>
        <v>1729.360039081583</v>
      </c>
      <c r="C359" s="27">
        <f t="shared" si="31"/>
        <v>6979.697117733268</v>
      </c>
      <c r="D359" s="28">
        <v>6.97</v>
      </c>
      <c r="E359" s="28">
        <v>6.98</v>
      </c>
      <c r="F359" s="9" t="str">
        <f t="shared" si="32"/>
        <v>Within 10 mV (calibration line)</v>
      </c>
      <c r="G359" s="27">
        <f t="shared" si="33"/>
        <v>1729.360039081583</v>
      </c>
      <c r="H359" s="29">
        <v>1.94</v>
      </c>
      <c r="I359" s="29">
        <v>1.94</v>
      </c>
      <c r="J359" s="9" t="str">
        <f t="shared" si="34"/>
        <v>Identical</v>
      </c>
      <c r="K359" s="9" t="s">
        <v>539</v>
      </c>
      <c r="L359" s="9" t="s">
        <v>539</v>
      </c>
      <c r="M359" s="9" t="str">
        <f t="shared" si="35"/>
        <v>Same</v>
      </c>
      <c r="N359" s="30" t="s">
        <v>1051</v>
      </c>
      <c r="O359" s="30" t="s">
        <v>1051</v>
      </c>
    </row>
    <row r="360" spans="1:15" ht="15" customHeight="1" x14ac:dyDescent="0.2">
      <c r="A360" s="9">
        <v>355</v>
      </c>
      <c r="B360" s="27">
        <f t="shared" si="30"/>
        <v>1734.2452369320958</v>
      </c>
      <c r="C360" s="27">
        <f t="shared" si="31"/>
        <v>6999.4137762579385</v>
      </c>
      <c r="D360" s="28">
        <v>6.99</v>
      </c>
      <c r="E360" s="28">
        <v>7</v>
      </c>
      <c r="F360" s="9" t="str">
        <f t="shared" si="32"/>
        <v>Within 10 mV (calibration line)</v>
      </c>
      <c r="G360" s="27">
        <f t="shared" si="33"/>
        <v>1734.2452369320958</v>
      </c>
      <c r="H360" s="29">
        <v>1.94</v>
      </c>
      <c r="I360" s="29">
        <v>1.94</v>
      </c>
      <c r="J360" s="9" t="str">
        <f t="shared" si="34"/>
        <v>Identical</v>
      </c>
      <c r="K360" s="9" t="s">
        <v>539</v>
      </c>
      <c r="L360" s="9" t="s">
        <v>539</v>
      </c>
      <c r="M360" s="9" t="str">
        <f t="shared" si="35"/>
        <v>Same</v>
      </c>
      <c r="N360" s="30" t="s">
        <v>1051</v>
      </c>
      <c r="O360" s="30" t="s">
        <v>1051</v>
      </c>
    </row>
    <row r="361" spans="1:15" ht="15" customHeight="1" x14ac:dyDescent="0.2">
      <c r="A361" s="9">
        <v>356</v>
      </c>
      <c r="B361" s="27">
        <f t="shared" si="30"/>
        <v>1739.130434782609</v>
      </c>
      <c r="C361" s="27">
        <f t="shared" si="31"/>
        <v>7019.130434782609</v>
      </c>
      <c r="D361" s="28">
        <v>7.01</v>
      </c>
      <c r="E361" s="28">
        <v>7.02</v>
      </c>
      <c r="F361" s="9" t="str">
        <f t="shared" si="32"/>
        <v>Within 10 mV (calibration line)</v>
      </c>
      <c r="G361" s="27">
        <f t="shared" si="33"/>
        <v>1739.130434782609</v>
      </c>
      <c r="H361" s="29">
        <v>1.95</v>
      </c>
      <c r="I361" s="29">
        <v>1.95</v>
      </c>
      <c r="J361" s="9" t="str">
        <f t="shared" si="34"/>
        <v>Identical</v>
      </c>
      <c r="K361" s="9" t="s">
        <v>539</v>
      </c>
      <c r="L361" s="9" t="s">
        <v>539</v>
      </c>
      <c r="M361" s="9" t="str">
        <f t="shared" si="35"/>
        <v>Same</v>
      </c>
      <c r="N361" s="30" t="s">
        <v>1052</v>
      </c>
      <c r="O361" s="30" t="s">
        <v>1052</v>
      </c>
    </row>
    <row r="362" spans="1:15" ht="15" customHeight="1" x14ac:dyDescent="0.2">
      <c r="A362" s="9">
        <v>357</v>
      </c>
      <c r="B362" s="27">
        <f t="shared" si="30"/>
        <v>1744.0156326331219</v>
      </c>
      <c r="C362" s="27">
        <f t="shared" si="31"/>
        <v>7038.8470933072795</v>
      </c>
      <c r="D362" s="28">
        <v>7.03</v>
      </c>
      <c r="E362" s="28">
        <v>7.04</v>
      </c>
      <c r="F362" s="9" t="str">
        <f t="shared" si="32"/>
        <v>Within 10 mV (calibration line)</v>
      </c>
      <c r="G362" s="27">
        <f t="shared" si="33"/>
        <v>1744.0156326331219</v>
      </c>
      <c r="H362" s="29">
        <v>1.96</v>
      </c>
      <c r="I362" s="29">
        <v>1.96</v>
      </c>
      <c r="J362" s="9" t="str">
        <f t="shared" si="34"/>
        <v>Identical</v>
      </c>
      <c r="K362" s="9" t="s">
        <v>539</v>
      </c>
      <c r="L362" s="9" t="s">
        <v>539</v>
      </c>
      <c r="M362" s="9" t="str">
        <f t="shared" si="35"/>
        <v>Same</v>
      </c>
      <c r="N362" s="30" t="s">
        <v>1053</v>
      </c>
      <c r="O362" s="30" t="s">
        <v>1053</v>
      </c>
    </row>
    <row r="363" spans="1:15" ht="15" customHeight="1" x14ac:dyDescent="0.2">
      <c r="A363" s="9">
        <v>358</v>
      </c>
      <c r="B363" s="27">
        <f t="shared" si="30"/>
        <v>1748.9008304836348</v>
      </c>
      <c r="C363" s="27">
        <f t="shared" si="31"/>
        <v>7058.563751831949</v>
      </c>
      <c r="D363" s="28">
        <v>7.05</v>
      </c>
      <c r="E363" s="28">
        <v>7.06</v>
      </c>
      <c r="F363" s="9" t="str">
        <f t="shared" si="32"/>
        <v>Within 10 mV (calibration line)</v>
      </c>
      <c r="G363" s="27">
        <f t="shared" si="33"/>
        <v>1748.9008304836348</v>
      </c>
      <c r="H363" s="29">
        <v>1.96</v>
      </c>
      <c r="I363" s="29">
        <v>1.96</v>
      </c>
      <c r="J363" s="9" t="str">
        <f t="shared" si="34"/>
        <v>Identical</v>
      </c>
      <c r="K363" s="9" t="s">
        <v>539</v>
      </c>
      <c r="L363" s="9" t="s">
        <v>539</v>
      </c>
      <c r="M363" s="9" t="str">
        <f t="shared" si="35"/>
        <v>Same</v>
      </c>
      <c r="N363" s="30" t="s">
        <v>1053</v>
      </c>
      <c r="O363" s="30" t="s">
        <v>1053</v>
      </c>
    </row>
    <row r="364" spans="1:15" ht="15" customHeight="1" x14ac:dyDescent="0.2">
      <c r="A364" s="9">
        <v>359</v>
      </c>
      <c r="B364" s="27">
        <f t="shared" si="30"/>
        <v>1753.7860283341474</v>
      </c>
      <c r="C364" s="27">
        <f t="shared" si="31"/>
        <v>7078.2804103566186</v>
      </c>
      <c r="D364" s="28">
        <v>7.07</v>
      </c>
      <c r="E364" s="28">
        <v>7.08</v>
      </c>
      <c r="F364" s="9" t="str">
        <f t="shared" si="32"/>
        <v>Within 10 mV (calibration line)</v>
      </c>
      <c r="G364" s="27">
        <f t="shared" si="33"/>
        <v>1753.7860283341474</v>
      </c>
      <c r="H364" s="29">
        <v>1.97</v>
      </c>
      <c r="I364" s="29">
        <v>1.97</v>
      </c>
      <c r="J364" s="9" t="str">
        <f t="shared" si="34"/>
        <v>Identical</v>
      </c>
      <c r="K364" s="9" t="s">
        <v>539</v>
      </c>
      <c r="L364" s="9" t="s">
        <v>539</v>
      </c>
      <c r="M364" s="9" t="str">
        <f t="shared" si="35"/>
        <v>Same</v>
      </c>
      <c r="N364" s="30" t="s">
        <v>1054</v>
      </c>
      <c r="O364" s="30" t="s">
        <v>1054</v>
      </c>
    </row>
    <row r="365" spans="1:15" ht="15" customHeight="1" x14ac:dyDescent="0.2">
      <c r="A365" s="9">
        <v>360</v>
      </c>
      <c r="B365" s="27">
        <f t="shared" si="30"/>
        <v>1758.6712261846606</v>
      </c>
      <c r="C365" s="27">
        <f t="shared" si="31"/>
        <v>7097.9970688812891</v>
      </c>
      <c r="D365" s="28">
        <v>7.09</v>
      </c>
      <c r="E365" s="28">
        <v>7.1</v>
      </c>
      <c r="F365" s="9" t="str">
        <f t="shared" si="32"/>
        <v>Within 10 mV (calibration line)</v>
      </c>
      <c r="G365" s="27">
        <f t="shared" si="33"/>
        <v>1758.6712261846606</v>
      </c>
      <c r="H365" s="29">
        <v>1.97</v>
      </c>
      <c r="I365" s="29">
        <v>1.97</v>
      </c>
      <c r="J365" s="9" t="str">
        <f t="shared" si="34"/>
        <v>Identical</v>
      </c>
      <c r="K365" s="9" t="s">
        <v>539</v>
      </c>
      <c r="L365" s="9" t="s">
        <v>539</v>
      </c>
      <c r="M365" s="9" t="str">
        <f t="shared" si="35"/>
        <v>Same</v>
      </c>
      <c r="N365" s="30" t="s">
        <v>1054</v>
      </c>
      <c r="O365" s="30" t="s">
        <v>1054</v>
      </c>
    </row>
    <row r="366" spans="1:15" ht="15" customHeight="1" x14ac:dyDescent="0.2">
      <c r="A366" s="9">
        <v>361</v>
      </c>
      <c r="B366" s="27">
        <f t="shared" si="30"/>
        <v>1763.5564240351734</v>
      </c>
      <c r="C366" s="27">
        <f t="shared" si="31"/>
        <v>7117.7137274059596</v>
      </c>
      <c r="D366" s="28">
        <v>7.11</v>
      </c>
      <c r="E366" s="28">
        <v>7.12</v>
      </c>
      <c r="F366" s="9" t="str">
        <f t="shared" si="32"/>
        <v>Within 10 mV (calibration line)</v>
      </c>
      <c r="G366" s="27">
        <f t="shared" si="33"/>
        <v>1763.5564240351734</v>
      </c>
      <c r="H366" s="29">
        <v>1.98</v>
      </c>
      <c r="I366" s="29">
        <v>1.98</v>
      </c>
      <c r="J366" s="9" t="str">
        <f t="shared" si="34"/>
        <v>Identical</v>
      </c>
      <c r="K366" s="9" t="s">
        <v>539</v>
      </c>
      <c r="L366" s="9" t="s">
        <v>539</v>
      </c>
      <c r="M366" s="9" t="str">
        <f t="shared" si="35"/>
        <v>Same</v>
      </c>
      <c r="N366" s="30" t="s">
        <v>1055</v>
      </c>
      <c r="O366" s="30" t="s">
        <v>1055</v>
      </c>
    </row>
    <row r="367" spans="1:15" ht="15" customHeight="1" x14ac:dyDescent="0.2">
      <c r="A367" s="9">
        <v>362</v>
      </c>
      <c r="B367" s="27">
        <f t="shared" si="30"/>
        <v>1768.4416218856863</v>
      </c>
      <c r="C367" s="27">
        <f t="shared" si="31"/>
        <v>7137.4303859306292</v>
      </c>
      <c r="D367" s="28">
        <v>7.13</v>
      </c>
      <c r="E367" s="28">
        <v>7.14</v>
      </c>
      <c r="F367" s="9" t="str">
        <f t="shared" si="32"/>
        <v>Within 10 mV (calibration line)</v>
      </c>
      <c r="G367" s="27">
        <f t="shared" si="33"/>
        <v>1768.4416218856863</v>
      </c>
      <c r="H367" s="29">
        <v>1.98</v>
      </c>
      <c r="I367" s="29">
        <v>1.98</v>
      </c>
      <c r="J367" s="9" t="str">
        <f t="shared" si="34"/>
        <v>Identical</v>
      </c>
      <c r="K367" s="9" t="s">
        <v>539</v>
      </c>
      <c r="L367" s="9" t="s">
        <v>539</v>
      </c>
      <c r="M367" s="9" t="str">
        <f t="shared" si="35"/>
        <v>Same</v>
      </c>
      <c r="N367" s="30" t="s">
        <v>1055</v>
      </c>
      <c r="O367" s="30" t="s">
        <v>1055</v>
      </c>
    </row>
    <row r="368" spans="1:15" ht="15" customHeight="1" x14ac:dyDescent="0.2">
      <c r="A368" s="9">
        <v>363</v>
      </c>
      <c r="B368" s="27">
        <f t="shared" si="30"/>
        <v>1773.3268197361992</v>
      </c>
      <c r="C368" s="27">
        <f t="shared" si="31"/>
        <v>7157.1470444552997</v>
      </c>
      <c r="D368" s="28">
        <v>7.15</v>
      </c>
      <c r="E368" s="28">
        <v>7.16</v>
      </c>
      <c r="F368" s="9" t="str">
        <f t="shared" si="32"/>
        <v>Within 10 mV (calibration line)</v>
      </c>
      <c r="G368" s="27">
        <f t="shared" si="33"/>
        <v>1773.3268197361992</v>
      </c>
      <c r="H368" s="29">
        <v>1.99</v>
      </c>
      <c r="I368" s="29">
        <v>1.99</v>
      </c>
      <c r="J368" s="9" t="str">
        <f t="shared" si="34"/>
        <v>Identical</v>
      </c>
      <c r="K368" s="9" t="s">
        <v>539</v>
      </c>
      <c r="L368" s="9" t="s">
        <v>539</v>
      </c>
      <c r="M368" s="9" t="str">
        <f t="shared" si="35"/>
        <v>Same</v>
      </c>
      <c r="N368" s="30" t="s">
        <v>1056</v>
      </c>
      <c r="O368" s="30" t="s">
        <v>1056</v>
      </c>
    </row>
    <row r="369" spans="1:15" ht="15" customHeight="1" x14ac:dyDescent="0.2">
      <c r="A369" s="9">
        <v>364</v>
      </c>
      <c r="B369" s="27">
        <f t="shared" si="30"/>
        <v>1778.2120175867124</v>
      </c>
      <c r="C369" s="27">
        <f t="shared" si="31"/>
        <v>7176.8637029799702</v>
      </c>
      <c r="D369" s="28">
        <v>7.17</v>
      </c>
      <c r="E369" s="28">
        <v>7.18</v>
      </c>
      <c r="F369" s="9" t="str">
        <f t="shared" si="32"/>
        <v>Within 10 mV (calibration line)</v>
      </c>
      <c r="G369" s="27">
        <f t="shared" si="33"/>
        <v>1778.2120175867124</v>
      </c>
      <c r="H369" s="29">
        <v>1.99</v>
      </c>
      <c r="I369" s="29">
        <v>1.99</v>
      </c>
      <c r="J369" s="9" t="str">
        <f t="shared" si="34"/>
        <v>Identical</v>
      </c>
      <c r="K369" s="9" t="s">
        <v>539</v>
      </c>
      <c r="L369" s="9" t="s">
        <v>539</v>
      </c>
      <c r="M369" s="9" t="str">
        <f t="shared" si="35"/>
        <v>Same</v>
      </c>
      <c r="N369" s="30" t="s">
        <v>1056</v>
      </c>
      <c r="O369" s="30" t="s">
        <v>1056</v>
      </c>
    </row>
    <row r="370" spans="1:15" ht="15" customHeight="1" x14ac:dyDescent="0.2">
      <c r="A370" s="9">
        <v>365</v>
      </c>
      <c r="B370" s="27">
        <f t="shared" si="30"/>
        <v>1783.0972154372253</v>
      </c>
      <c r="C370" s="27">
        <f t="shared" si="31"/>
        <v>7196.5803615046407</v>
      </c>
      <c r="D370" s="28">
        <v>7.19</v>
      </c>
      <c r="E370" s="28">
        <v>7.2</v>
      </c>
      <c r="F370" s="9" t="str">
        <f t="shared" si="32"/>
        <v>Within 10 mV (calibration line)</v>
      </c>
      <c r="G370" s="27">
        <f t="shared" si="33"/>
        <v>1783.0972154372253</v>
      </c>
      <c r="H370" s="29">
        <v>2</v>
      </c>
      <c r="I370" s="29">
        <v>2</v>
      </c>
      <c r="J370" s="9" t="str">
        <f t="shared" si="34"/>
        <v>Identical</v>
      </c>
      <c r="K370" s="9" t="s">
        <v>539</v>
      </c>
      <c r="L370" s="9" t="s">
        <v>539</v>
      </c>
      <c r="M370" s="9" t="str">
        <f t="shared" si="35"/>
        <v>Same</v>
      </c>
      <c r="N370" s="30" t="s">
        <v>1057</v>
      </c>
      <c r="O370" s="30" t="s">
        <v>1057</v>
      </c>
    </row>
    <row r="371" spans="1:15" ht="15" customHeight="1" x14ac:dyDescent="0.2">
      <c r="A371" s="9">
        <v>366</v>
      </c>
      <c r="B371" s="27">
        <f t="shared" si="30"/>
        <v>1787.9824132877382</v>
      </c>
      <c r="C371" s="27">
        <f t="shared" si="31"/>
        <v>7216.2970200293103</v>
      </c>
      <c r="D371" s="28">
        <v>7.21</v>
      </c>
      <c r="E371" s="28">
        <v>7.22</v>
      </c>
      <c r="F371" s="9" t="str">
        <f t="shared" si="32"/>
        <v>Within 10 mV (calibration line)</v>
      </c>
      <c r="G371" s="27">
        <f t="shared" si="33"/>
        <v>1787.9824132877382</v>
      </c>
      <c r="H371" s="29">
        <v>2</v>
      </c>
      <c r="I371" s="29">
        <v>2.0099999999999998</v>
      </c>
      <c r="J371" s="9" t="str">
        <f t="shared" si="34"/>
        <v>+0.01 A (nearest step)</v>
      </c>
      <c r="K371" s="9" t="s">
        <v>539</v>
      </c>
      <c r="L371" s="9" t="s">
        <v>539</v>
      </c>
      <c r="M371" s="9" t="str">
        <f t="shared" si="35"/>
        <v>Same</v>
      </c>
      <c r="N371" s="30" t="s">
        <v>1057</v>
      </c>
      <c r="O371" s="30" t="s">
        <v>1058</v>
      </c>
    </row>
    <row r="372" spans="1:15" ht="15" customHeight="1" x14ac:dyDescent="0.2">
      <c r="A372" s="9">
        <v>367</v>
      </c>
      <c r="B372" s="27">
        <f t="shared" si="30"/>
        <v>1792.867611138251</v>
      </c>
      <c r="C372" s="27">
        <f t="shared" si="31"/>
        <v>7236.0136785539808</v>
      </c>
      <c r="D372" s="28">
        <v>7.23</v>
      </c>
      <c r="E372" s="28">
        <v>7.24</v>
      </c>
      <c r="F372" s="9" t="str">
        <f t="shared" si="32"/>
        <v>Within 10 mV (calibration line)</v>
      </c>
      <c r="G372" s="27">
        <f t="shared" si="33"/>
        <v>1792.867611138251</v>
      </c>
      <c r="H372" s="29">
        <v>2.0099999999999998</v>
      </c>
      <c r="I372" s="29">
        <v>2.0099999999999998</v>
      </c>
      <c r="J372" s="9" t="str">
        <f t="shared" si="34"/>
        <v>Identical</v>
      </c>
      <c r="K372" s="9" t="s">
        <v>539</v>
      </c>
      <c r="L372" s="9" t="s">
        <v>539</v>
      </c>
      <c r="M372" s="9" t="str">
        <f t="shared" si="35"/>
        <v>Same</v>
      </c>
      <c r="N372" s="30" t="s">
        <v>1058</v>
      </c>
      <c r="O372" s="30" t="s">
        <v>1058</v>
      </c>
    </row>
    <row r="373" spans="1:15" ht="15" customHeight="1" x14ac:dyDescent="0.2">
      <c r="A373" s="9">
        <v>368</v>
      </c>
      <c r="B373" s="27">
        <f t="shared" si="30"/>
        <v>1797.7528089887642</v>
      </c>
      <c r="C373" s="27">
        <f t="shared" si="31"/>
        <v>7255.7303370786512</v>
      </c>
      <c r="D373" s="28">
        <v>7.25</v>
      </c>
      <c r="E373" s="28">
        <v>7.26</v>
      </c>
      <c r="F373" s="9" t="str">
        <f t="shared" si="32"/>
        <v>Within 10 mV (calibration line)</v>
      </c>
      <c r="G373" s="27">
        <f t="shared" si="33"/>
        <v>1797.7528089887642</v>
      </c>
      <c r="H373" s="29">
        <v>2.02</v>
      </c>
      <c r="I373" s="29">
        <v>2.02</v>
      </c>
      <c r="J373" s="9" t="str">
        <f t="shared" si="34"/>
        <v>Identical</v>
      </c>
      <c r="K373" s="9" t="s">
        <v>539</v>
      </c>
      <c r="L373" s="9" t="s">
        <v>539</v>
      </c>
      <c r="M373" s="9" t="str">
        <f t="shared" si="35"/>
        <v>Same</v>
      </c>
      <c r="N373" s="30" t="s">
        <v>1059</v>
      </c>
      <c r="O373" s="30" t="s">
        <v>1059</v>
      </c>
    </row>
    <row r="374" spans="1:15" ht="15" customHeight="1" x14ac:dyDescent="0.2">
      <c r="A374" s="9">
        <v>369</v>
      </c>
      <c r="B374" s="27">
        <f t="shared" si="30"/>
        <v>1802.6380068392771</v>
      </c>
      <c r="C374" s="27">
        <f t="shared" si="31"/>
        <v>7275.4469956033217</v>
      </c>
      <c r="D374" s="28">
        <v>7.27</v>
      </c>
      <c r="E374" s="28">
        <v>7.28</v>
      </c>
      <c r="F374" s="9" t="str">
        <f t="shared" si="32"/>
        <v>Within 10 mV (calibration line)</v>
      </c>
      <c r="G374" s="27">
        <f t="shared" si="33"/>
        <v>1802.6380068392771</v>
      </c>
      <c r="H374" s="29">
        <v>2.02</v>
      </c>
      <c r="I374" s="29">
        <v>2.02</v>
      </c>
      <c r="J374" s="9" t="str">
        <f t="shared" si="34"/>
        <v>Identical</v>
      </c>
      <c r="K374" s="9" t="s">
        <v>539</v>
      </c>
      <c r="L374" s="9" t="s">
        <v>539</v>
      </c>
      <c r="M374" s="9" t="str">
        <f t="shared" si="35"/>
        <v>Same</v>
      </c>
      <c r="N374" s="30" t="s">
        <v>1059</v>
      </c>
      <c r="O374" s="30" t="s">
        <v>1059</v>
      </c>
    </row>
    <row r="375" spans="1:15" ht="15" customHeight="1" x14ac:dyDescent="0.2">
      <c r="A375" s="9">
        <v>370</v>
      </c>
      <c r="B375" s="27">
        <f t="shared" si="30"/>
        <v>1807.52320468979</v>
      </c>
      <c r="C375" s="27">
        <f t="shared" si="31"/>
        <v>7295.1636541279913</v>
      </c>
      <c r="D375" s="28">
        <v>7.29</v>
      </c>
      <c r="E375" s="28">
        <v>7.3</v>
      </c>
      <c r="F375" s="9" t="str">
        <f t="shared" si="32"/>
        <v>Within 10 mV (calibration line)</v>
      </c>
      <c r="G375" s="27">
        <f t="shared" si="33"/>
        <v>1807.52320468979</v>
      </c>
      <c r="H375" s="29">
        <v>2.0299999999999998</v>
      </c>
      <c r="I375" s="29">
        <v>2.0299999999999998</v>
      </c>
      <c r="J375" s="9" t="str">
        <f t="shared" si="34"/>
        <v>Identical</v>
      </c>
      <c r="K375" s="9" t="s">
        <v>539</v>
      </c>
      <c r="L375" s="9" t="s">
        <v>539</v>
      </c>
      <c r="M375" s="9" t="str">
        <f t="shared" si="35"/>
        <v>Same</v>
      </c>
      <c r="N375" s="30" t="s">
        <v>1060</v>
      </c>
      <c r="O375" s="30" t="s">
        <v>1060</v>
      </c>
    </row>
    <row r="376" spans="1:15" ht="15" customHeight="1" x14ac:dyDescent="0.2">
      <c r="A376" s="9">
        <v>371</v>
      </c>
      <c r="B376" s="27">
        <f t="shared" si="30"/>
        <v>1812.4084025403029</v>
      </c>
      <c r="C376" s="27">
        <f t="shared" si="31"/>
        <v>7314.8803126526618</v>
      </c>
      <c r="D376" s="28">
        <v>7.31</v>
      </c>
      <c r="E376" s="28">
        <v>7.32</v>
      </c>
      <c r="F376" s="9" t="str">
        <f t="shared" si="32"/>
        <v>Within 10 mV (calibration line)</v>
      </c>
      <c r="G376" s="27">
        <f t="shared" si="33"/>
        <v>1812.4084025403029</v>
      </c>
      <c r="H376" s="29">
        <v>2.0299999999999998</v>
      </c>
      <c r="I376" s="29">
        <v>2.0299999999999998</v>
      </c>
      <c r="J376" s="9" t="str">
        <f t="shared" si="34"/>
        <v>Identical</v>
      </c>
      <c r="K376" s="9" t="s">
        <v>539</v>
      </c>
      <c r="L376" s="9" t="s">
        <v>539</v>
      </c>
      <c r="M376" s="9" t="str">
        <f t="shared" si="35"/>
        <v>Same</v>
      </c>
      <c r="N376" s="30" t="s">
        <v>1060</v>
      </c>
      <c r="O376" s="30" t="s">
        <v>1060</v>
      </c>
    </row>
    <row r="377" spans="1:15" ht="15" customHeight="1" x14ac:dyDescent="0.2">
      <c r="A377" s="9">
        <v>372</v>
      </c>
      <c r="B377" s="27">
        <f t="shared" si="30"/>
        <v>1817.293600390816</v>
      </c>
      <c r="C377" s="27">
        <f t="shared" si="31"/>
        <v>7334.5969711773323</v>
      </c>
      <c r="D377" s="28">
        <v>7.33</v>
      </c>
      <c r="E377" s="28">
        <v>7.33</v>
      </c>
      <c r="F377" s="9" t="str">
        <f t="shared" si="32"/>
        <v>Identical</v>
      </c>
      <c r="G377" s="27">
        <f t="shared" si="33"/>
        <v>1817.293600390816</v>
      </c>
      <c r="H377" s="29">
        <v>2.04</v>
      </c>
      <c r="I377" s="29">
        <v>2.04</v>
      </c>
      <c r="J377" s="9" t="str">
        <f t="shared" si="34"/>
        <v>Identical</v>
      </c>
      <c r="K377" s="9" t="s">
        <v>539</v>
      </c>
      <c r="L377" s="9" t="s">
        <v>539</v>
      </c>
      <c r="M377" s="9" t="str">
        <f t="shared" si="35"/>
        <v>Same</v>
      </c>
      <c r="N377" s="30" t="s">
        <v>1061</v>
      </c>
      <c r="O377" s="30" t="s">
        <v>1061</v>
      </c>
    </row>
    <row r="378" spans="1:15" ht="15" customHeight="1" x14ac:dyDescent="0.2">
      <c r="A378" s="9">
        <v>373</v>
      </c>
      <c r="B378" s="27">
        <f t="shared" si="30"/>
        <v>1822.1787982413289</v>
      </c>
      <c r="C378" s="27">
        <f t="shared" si="31"/>
        <v>7354.3136297020028</v>
      </c>
      <c r="D378" s="28">
        <v>7.35</v>
      </c>
      <c r="E378" s="28">
        <v>7.35</v>
      </c>
      <c r="F378" s="9" t="str">
        <f t="shared" si="32"/>
        <v>Identical</v>
      </c>
      <c r="G378" s="27">
        <f t="shared" si="33"/>
        <v>1822.1787982413289</v>
      </c>
      <c r="H378" s="29">
        <v>2.04</v>
      </c>
      <c r="I378" s="29">
        <v>2.04</v>
      </c>
      <c r="J378" s="9" t="str">
        <f t="shared" si="34"/>
        <v>Identical</v>
      </c>
      <c r="K378" s="9" t="s">
        <v>539</v>
      </c>
      <c r="L378" s="9" t="s">
        <v>539</v>
      </c>
      <c r="M378" s="9" t="str">
        <f t="shared" si="35"/>
        <v>Same</v>
      </c>
      <c r="N378" s="30" t="s">
        <v>1061</v>
      </c>
      <c r="O378" s="30" t="s">
        <v>1061</v>
      </c>
    </row>
    <row r="379" spans="1:15" ht="15" customHeight="1" x14ac:dyDescent="0.2">
      <c r="A379" s="9">
        <v>374</v>
      </c>
      <c r="B379" s="27">
        <f t="shared" si="30"/>
        <v>1827.0639960918418</v>
      </c>
      <c r="C379" s="27">
        <f t="shared" si="31"/>
        <v>7374.0302882266724</v>
      </c>
      <c r="D379" s="28">
        <v>7.37</v>
      </c>
      <c r="E379" s="28">
        <v>7.37</v>
      </c>
      <c r="F379" s="9" t="str">
        <f t="shared" si="32"/>
        <v>Identical</v>
      </c>
      <c r="G379" s="27">
        <f t="shared" si="33"/>
        <v>1827.0639960918418</v>
      </c>
      <c r="H379" s="29">
        <v>2.0499999999999998</v>
      </c>
      <c r="I379" s="29">
        <v>2.0499999999999998</v>
      </c>
      <c r="J379" s="9" t="str">
        <f t="shared" si="34"/>
        <v>Identical</v>
      </c>
      <c r="K379" s="9" t="s">
        <v>539</v>
      </c>
      <c r="L379" s="9" t="s">
        <v>539</v>
      </c>
      <c r="M379" s="9" t="str">
        <f t="shared" si="35"/>
        <v>Same</v>
      </c>
      <c r="N379" s="30" t="s">
        <v>1062</v>
      </c>
      <c r="O379" s="30" t="s">
        <v>1062</v>
      </c>
    </row>
    <row r="380" spans="1:15" ht="15" customHeight="1" x14ac:dyDescent="0.2">
      <c r="A380" s="9">
        <v>375</v>
      </c>
      <c r="B380" s="27">
        <f t="shared" si="30"/>
        <v>1831.9491939423547</v>
      </c>
      <c r="C380" s="27">
        <f t="shared" si="31"/>
        <v>7393.7469467513429</v>
      </c>
      <c r="D380" s="28">
        <v>7.39</v>
      </c>
      <c r="E380" s="28">
        <v>7.39</v>
      </c>
      <c r="F380" s="9" t="str">
        <f t="shared" si="32"/>
        <v>Identical</v>
      </c>
      <c r="G380" s="27">
        <f t="shared" si="33"/>
        <v>1831.9491939423547</v>
      </c>
      <c r="H380" s="29">
        <v>2.0499999999999998</v>
      </c>
      <c r="I380" s="29">
        <v>2.0499999999999998</v>
      </c>
      <c r="J380" s="9" t="str">
        <f t="shared" si="34"/>
        <v>Identical</v>
      </c>
      <c r="K380" s="9" t="s">
        <v>539</v>
      </c>
      <c r="L380" s="9" t="s">
        <v>539</v>
      </c>
      <c r="M380" s="9" t="str">
        <f t="shared" si="35"/>
        <v>Same</v>
      </c>
      <c r="N380" s="30" t="s">
        <v>1062</v>
      </c>
      <c r="O380" s="30" t="s">
        <v>1062</v>
      </c>
    </row>
    <row r="381" spans="1:15" ht="15" customHeight="1" x14ac:dyDescent="0.2">
      <c r="A381" s="9">
        <v>376</v>
      </c>
      <c r="B381" s="27">
        <f t="shared" si="30"/>
        <v>1836.8343917928678</v>
      </c>
      <c r="C381" s="27">
        <f t="shared" si="31"/>
        <v>7413.4636052760134</v>
      </c>
      <c r="D381" s="28">
        <v>7.41</v>
      </c>
      <c r="E381" s="28">
        <v>7.41</v>
      </c>
      <c r="F381" s="9" t="str">
        <f t="shared" si="32"/>
        <v>Identical</v>
      </c>
      <c r="G381" s="27">
        <f t="shared" si="33"/>
        <v>1836.8343917928678</v>
      </c>
      <c r="H381" s="29">
        <v>2.06</v>
      </c>
      <c r="I381" s="29">
        <v>2.06</v>
      </c>
      <c r="J381" s="9" t="str">
        <f t="shared" si="34"/>
        <v>Identical</v>
      </c>
      <c r="K381" s="9" t="s">
        <v>539</v>
      </c>
      <c r="L381" s="9" t="s">
        <v>539</v>
      </c>
      <c r="M381" s="9" t="str">
        <f t="shared" si="35"/>
        <v>Same</v>
      </c>
      <c r="N381" s="30" t="s">
        <v>1063</v>
      </c>
      <c r="O381" s="30" t="s">
        <v>1063</v>
      </c>
    </row>
    <row r="382" spans="1:15" ht="15" customHeight="1" x14ac:dyDescent="0.2">
      <c r="A382" s="9">
        <v>377</v>
      </c>
      <c r="B382" s="27">
        <f t="shared" si="30"/>
        <v>1841.7195896433807</v>
      </c>
      <c r="C382" s="27">
        <f t="shared" si="31"/>
        <v>7433.1802638006839</v>
      </c>
      <c r="D382" s="28">
        <v>7.43</v>
      </c>
      <c r="E382" s="28">
        <v>7.43</v>
      </c>
      <c r="F382" s="9" t="str">
        <f t="shared" si="32"/>
        <v>Identical</v>
      </c>
      <c r="G382" s="27">
        <f t="shared" si="33"/>
        <v>1841.7195896433807</v>
      </c>
      <c r="H382" s="29">
        <v>2.06</v>
      </c>
      <c r="I382" s="29">
        <v>2.0699999999999998</v>
      </c>
      <c r="J382" s="9" t="str">
        <f t="shared" si="34"/>
        <v>+0.01 A (nearest step)</v>
      </c>
      <c r="K382" s="9" t="s">
        <v>539</v>
      </c>
      <c r="L382" s="9" t="s">
        <v>539</v>
      </c>
      <c r="M382" s="9" t="str">
        <f t="shared" si="35"/>
        <v>Same</v>
      </c>
      <c r="N382" s="30" t="s">
        <v>1063</v>
      </c>
      <c r="O382" s="30" t="s">
        <v>1064</v>
      </c>
    </row>
    <row r="383" spans="1:15" ht="15" customHeight="1" x14ac:dyDescent="0.2">
      <c r="A383" s="9">
        <v>378</v>
      </c>
      <c r="B383" s="27">
        <f t="shared" si="30"/>
        <v>1846.6047874938936</v>
      </c>
      <c r="C383" s="27">
        <f t="shared" si="31"/>
        <v>7452.8969223253534</v>
      </c>
      <c r="D383" s="28">
        <v>7.45</v>
      </c>
      <c r="E383" s="28">
        <v>7.45</v>
      </c>
      <c r="F383" s="9" t="str">
        <f t="shared" si="32"/>
        <v>Identical</v>
      </c>
      <c r="G383" s="27">
        <f t="shared" si="33"/>
        <v>1846.6047874938936</v>
      </c>
      <c r="H383" s="29">
        <v>2.0699999999999998</v>
      </c>
      <c r="I383" s="29">
        <v>2.0699999999999998</v>
      </c>
      <c r="J383" s="9" t="str">
        <f t="shared" si="34"/>
        <v>Identical</v>
      </c>
      <c r="K383" s="9" t="s">
        <v>539</v>
      </c>
      <c r="L383" s="9" t="s">
        <v>539</v>
      </c>
      <c r="M383" s="9" t="str">
        <f t="shared" si="35"/>
        <v>Same</v>
      </c>
      <c r="N383" s="30" t="s">
        <v>1064</v>
      </c>
      <c r="O383" s="30" t="s">
        <v>1064</v>
      </c>
    </row>
    <row r="384" spans="1:15" ht="15" customHeight="1" x14ac:dyDescent="0.2">
      <c r="A384" s="9">
        <v>379</v>
      </c>
      <c r="B384" s="27">
        <f t="shared" si="30"/>
        <v>1851.4899853444065</v>
      </c>
      <c r="C384" s="27">
        <f t="shared" si="31"/>
        <v>7472.6135808500239</v>
      </c>
      <c r="D384" s="28">
        <v>7.47</v>
      </c>
      <c r="E384" s="28">
        <v>7.47</v>
      </c>
      <c r="F384" s="9" t="str">
        <f t="shared" si="32"/>
        <v>Identical</v>
      </c>
      <c r="G384" s="27">
        <f t="shared" si="33"/>
        <v>1851.4899853444065</v>
      </c>
      <c r="H384" s="29">
        <v>2.08</v>
      </c>
      <c r="I384" s="29">
        <v>2.08</v>
      </c>
      <c r="J384" s="9" t="str">
        <f t="shared" si="34"/>
        <v>Identical</v>
      </c>
      <c r="K384" s="9" t="s">
        <v>539</v>
      </c>
      <c r="L384" s="9" t="s">
        <v>539</v>
      </c>
      <c r="M384" s="9" t="str">
        <f t="shared" si="35"/>
        <v>Same</v>
      </c>
      <c r="N384" s="30" t="s">
        <v>1065</v>
      </c>
      <c r="O384" s="30" t="s">
        <v>1065</v>
      </c>
    </row>
    <row r="385" spans="1:15" ht="15" customHeight="1" x14ac:dyDescent="0.2">
      <c r="A385" s="9">
        <v>380</v>
      </c>
      <c r="B385" s="27">
        <f t="shared" si="30"/>
        <v>1856.3751831949196</v>
      </c>
      <c r="C385" s="27">
        <f t="shared" si="31"/>
        <v>7492.3302393746944</v>
      </c>
      <c r="D385" s="28">
        <v>7.49</v>
      </c>
      <c r="E385" s="28">
        <v>7.49</v>
      </c>
      <c r="F385" s="9" t="str">
        <f t="shared" si="32"/>
        <v>Identical</v>
      </c>
      <c r="G385" s="27">
        <f t="shared" si="33"/>
        <v>1856.3751831949196</v>
      </c>
      <c r="H385" s="29">
        <v>2.08</v>
      </c>
      <c r="I385" s="29">
        <v>2.08</v>
      </c>
      <c r="J385" s="9" t="str">
        <f t="shared" si="34"/>
        <v>Identical</v>
      </c>
      <c r="K385" s="9" t="s">
        <v>539</v>
      </c>
      <c r="L385" s="9" t="s">
        <v>539</v>
      </c>
      <c r="M385" s="9" t="str">
        <f t="shared" si="35"/>
        <v>Same</v>
      </c>
      <c r="N385" s="30" t="s">
        <v>1065</v>
      </c>
      <c r="O385" s="30" t="s">
        <v>1065</v>
      </c>
    </row>
    <row r="386" spans="1:15" ht="15" customHeight="1" x14ac:dyDescent="0.2">
      <c r="A386" s="9">
        <v>381</v>
      </c>
      <c r="B386" s="27">
        <f t="shared" si="30"/>
        <v>1861.2603810454325</v>
      </c>
      <c r="C386" s="27">
        <f t="shared" si="31"/>
        <v>7512.0468978993649</v>
      </c>
      <c r="D386" s="28">
        <v>7.51</v>
      </c>
      <c r="E386" s="28">
        <v>7.51</v>
      </c>
      <c r="F386" s="9" t="str">
        <f t="shared" si="32"/>
        <v>Identical</v>
      </c>
      <c r="G386" s="27">
        <f t="shared" si="33"/>
        <v>1861.2603810454325</v>
      </c>
      <c r="H386" s="29">
        <v>2.09</v>
      </c>
      <c r="I386" s="29">
        <v>2.09</v>
      </c>
      <c r="J386" s="9" t="str">
        <f t="shared" si="34"/>
        <v>Identical</v>
      </c>
      <c r="K386" s="9" t="s">
        <v>539</v>
      </c>
      <c r="L386" s="9" t="s">
        <v>539</v>
      </c>
      <c r="M386" s="9" t="str">
        <f t="shared" si="35"/>
        <v>Same</v>
      </c>
      <c r="N386" s="30" t="s">
        <v>1066</v>
      </c>
      <c r="O386" s="30" t="s">
        <v>1066</v>
      </c>
    </row>
    <row r="387" spans="1:15" ht="15" customHeight="1" x14ac:dyDescent="0.2">
      <c r="A387" s="9">
        <v>382</v>
      </c>
      <c r="B387" s="27">
        <f t="shared" si="30"/>
        <v>1866.1455788959454</v>
      </c>
      <c r="C387" s="27">
        <f t="shared" si="31"/>
        <v>7531.7635564240345</v>
      </c>
      <c r="D387" s="28">
        <v>7.53</v>
      </c>
      <c r="E387" s="28">
        <v>7.53</v>
      </c>
      <c r="F387" s="9" t="str">
        <f t="shared" si="32"/>
        <v>Identical</v>
      </c>
      <c r="G387" s="27">
        <f t="shared" si="33"/>
        <v>1866.1455788959454</v>
      </c>
      <c r="H387" s="29">
        <v>2.09</v>
      </c>
      <c r="I387" s="29">
        <v>2.09</v>
      </c>
      <c r="J387" s="9" t="str">
        <f t="shared" si="34"/>
        <v>Identical</v>
      </c>
      <c r="K387" s="9" t="s">
        <v>539</v>
      </c>
      <c r="L387" s="9" t="s">
        <v>539</v>
      </c>
      <c r="M387" s="9" t="str">
        <f t="shared" si="35"/>
        <v>Same</v>
      </c>
      <c r="N387" s="30" t="s">
        <v>1066</v>
      </c>
      <c r="O387" s="30" t="s">
        <v>1066</v>
      </c>
    </row>
    <row r="388" spans="1:15" ht="15" customHeight="1" x14ac:dyDescent="0.2">
      <c r="A388" s="9">
        <v>383</v>
      </c>
      <c r="B388" s="27">
        <f t="shared" si="30"/>
        <v>1871.0307767464583</v>
      </c>
      <c r="C388" s="27">
        <f t="shared" si="31"/>
        <v>7551.480214948705</v>
      </c>
      <c r="D388" s="28">
        <v>7.55</v>
      </c>
      <c r="E388" s="28">
        <v>7.55</v>
      </c>
      <c r="F388" s="9" t="str">
        <f t="shared" si="32"/>
        <v>Identical</v>
      </c>
      <c r="G388" s="27">
        <f t="shared" si="33"/>
        <v>1871.0307767464583</v>
      </c>
      <c r="H388" s="29">
        <v>2.1</v>
      </c>
      <c r="I388" s="29">
        <v>2.1</v>
      </c>
      <c r="J388" s="9" t="str">
        <f t="shared" si="34"/>
        <v>Identical</v>
      </c>
      <c r="K388" s="9" t="s">
        <v>539</v>
      </c>
      <c r="L388" s="9" t="s">
        <v>539</v>
      </c>
      <c r="M388" s="9" t="str">
        <f t="shared" si="35"/>
        <v>Same</v>
      </c>
      <c r="N388" s="30" t="s">
        <v>1067</v>
      </c>
      <c r="O388" s="30" t="s">
        <v>1067</v>
      </c>
    </row>
    <row r="389" spans="1:15" ht="15" customHeight="1" x14ac:dyDescent="0.2">
      <c r="A389" s="9">
        <v>384</v>
      </c>
      <c r="B389" s="27">
        <f t="shared" ref="B389:B452" si="36">A389/$C$3*1000</f>
        <v>1875.9159745969714</v>
      </c>
      <c r="C389" s="27">
        <f t="shared" ref="C389:C452" si="37">B389*$F$3</f>
        <v>7571.1968734733755</v>
      </c>
      <c r="D389" s="28">
        <v>7.57</v>
      </c>
      <c r="E389" s="28">
        <v>7.57</v>
      </c>
      <c r="F389" s="9" t="str">
        <f t="shared" ref="F389:F452" si="38">IF(D389=E389,"Identical",IF(E389="OL","ADC full scale: now OL",IF(ABS(E389-D389)&lt;0.0105,"Within 10 mV (calibration line)",IF(AND(C389&lt;4200,ABS(E389-D389)&lt;0.0205),"-20 mV (end of old +30 mV band)",IF(C389&lt;830,"Low range fixed (F-02)","Different")))))</f>
        <v>Identical</v>
      </c>
      <c r="G389" s="27">
        <f t="shared" ref="G389:G452" si="39">B389</f>
        <v>1875.9159745969714</v>
      </c>
      <c r="H389" s="29">
        <v>2.1</v>
      </c>
      <c r="I389" s="29">
        <v>2.1</v>
      </c>
      <c r="J389" s="9" t="str">
        <f t="shared" ref="J389:J452" si="40">IF(H389=I389,"Identical",IF(I389="OL","Above 5.00 A: now OL",IF(H389="ERR (999.23)","Gap bug fixed",IF(ABS(I389-H389-0.01)&lt;0.0001,"+0.01 A (nearest step)","Different"))))</f>
        <v>Identical</v>
      </c>
      <c r="K389" s="9" t="s">
        <v>539</v>
      </c>
      <c r="L389" s="9" t="s">
        <v>539</v>
      </c>
      <c r="M389" s="9" t="str">
        <f t="shared" ref="M389:M452" si="41">IF(K389=L389,"Same","Different")</f>
        <v>Same</v>
      </c>
      <c r="N389" s="30" t="s">
        <v>1067</v>
      </c>
      <c r="O389" s="30" t="s">
        <v>1067</v>
      </c>
    </row>
    <row r="390" spans="1:15" ht="15" customHeight="1" x14ac:dyDescent="0.2">
      <c r="A390" s="9">
        <v>385</v>
      </c>
      <c r="B390" s="27">
        <f t="shared" si="36"/>
        <v>1880.8011724474843</v>
      </c>
      <c r="C390" s="27">
        <f t="shared" si="37"/>
        <v>7590.913531998046</v>
      </c>
      <c r="D390" s="28">
        <v>7.59</v>
      </c>
      <c r="E390" s="28">
        <v>7.59</v>
      </c>
      <c r="F390" s="9" t="str">
        <f t="shared" si="38"/>
        <v>Identical</v>
      </c>
      <c r="G390" s="27">
        <f t="shared" si="39"/>
        <v>1880.8011724474843</v>
      </c>
      <c r="H390" s="29">
        <v>2.11</v>
      </c>
      <c r="I390" s="29">
        <v>2.11</v>
      </c>
      <c r="J390" s="9" t="str">
        <f t="shared" si="40"/>
        <v>Identical</v>
      </c>
      <c r="K390" s="9" t="s">
        <v>539</v>
      </c>
      <c r="L390" s="9" t="s">
        <v>539</v>
      </c>
      <c r="M390" s="9" t="str">
        <f t="shared" si="41"/>
        <v>Same</v>
      </c>
      <c r="N390" s="30" t="s">
        <v>1068</v>
      </c>
      <c r="O390" s="30" t="s">
        <v>1068</v>
      </c>
    </row>
    <row r="391" spans="1:15" ht="15" customHeight="1" x14ac:dyDescent="0.2">
      <c r="A391" s="9">
        <v>386</v>
      </c>
      <c r="B391" s="27">
        <f t="shared" si="36"/>
        <v>1885.6863702979972</v>
      </c>
      <c r="C391" s="27">
        <f t="shared" si="37"/>
        <v>7610.6301905227156</v>
      </c>
      <c r="D391" s="28">
        <v>7.61</v>
      </c>
      <c r="E391" s="28">
        <v>7.61</v>
      </c>
      <c r="F391" s="9" t="str">
        <f t="shared" si="38"/>
        <v>Identical</v>
      </c>
      <c r="G391" s="27">
        <f t="shared" si="39"/>
        <v>1885.6863702979972</v>
      </c>
      <c r="H391" s="29">
        <v>2.11</v>
      </c>
      <c r="I391" s="29">
        <v>2.11</v>
      </c>
      <c r="J391" s="9" t="str">
        <f t="shared" si="40"/>
        <v>Identical</v>
      </c>
      <c r="K391" s="9" t="s">
        <v>539</v>
      </c>
      <c r="L391" s="9" t="s">
        <v>539</v>
      </c>
      <c r="M391" s="9" t="str">
        <f t="shared" si="41"/>
        <v>Same</v>
      </c>
      <c r="N391" s="30" t="s">
        <v>1068</v>
      </c>
      <c r="O391" s="30" t="s">
        <v>1068</v>
      </c>
    </row>
    <row r="392" spans="1:15" ht="15" customHeight="1" x14ac:dyDescent="0.2">
      <c r="A392" s="9">
        <v>387</v>
      </c>
      <c r="B392" s="27">
        <f t="shared" si="36"/>
        <v>1890.5715681485101</v>
      </c>
      <c r="C392" s="27">
        <f t="shared" si="37"/>
        <v>7630.3468490473861</v>
      </c>
      <c r="D392" s="28">
        <v>7.63</v>
      </c>
      <c r="E392" s="28">
        <v>7.63</v>
      </c>
      <c r="F392" s="9" t="str">
        <f t="shared" si="38"/>
        <v>Identical</v>
      </c>
      <c r="G392" s="27">
        <f t="shared" si="39"/>
        <v>1890.5715681485101</v>
      </c>
      <c r="H392" s="29">
        <v>2.12</v>
      </c>
      <c r="I392" s="29">
        <v>2.12</v>
      </c>
      <c r="J392" s="9" t="str">
        <f t="shared" si="40"/>
        <v>Identical</v>
      </c>
      <c r="K392" s="9" t="s">
        <v>539</v>
      </c>
      <c r="L392" s="9" t="s">
        <v>539</v>
      </c>
      <c r="M392" s="9" t="str">
        <f t="shared" si="41"/>
        <v>Same</v>
      </c>
      <c r="N392" s="30" t="s">
        <v>1069</v>
      </c>
      <c r="O392" s="30" t="s">
        <v>1069</v>
      </c>
    </row>
    <row r="393" spans="1:15" ht="15" customHeight="1" x14ac:dyDescent="0.2">
      <c r="A393" s="9">
        <v>388</v>
      </c>
      <c r="B393" s="27">
        <f t="shared" si="36"/>
        <v>1895.4567659990232</v>
      </c>
      <c r="C393" s="27">
        <f t="shared" si="37"/>
        <v>7650.0635075720566</v>
      </c>
      <c r="D393" s="28">
        <v>7.65</v>
      </c>
      <c r="E393" s="28">
        <v>7.65</v>
      </c>
      <c r="F393" s="9" t="str">
        <f t="shared" si="38"/>
        <v>Identical</v>
      </c>
      <c r="G393" s="27">
        <f t="shared" si="39"/>
        <v>1895.4567659990232</v>
      </c>
      <c r="H393" s="29">
        <v>2.13</v>
      </c>
      <c r="I393" s="29">
        <v>2.13</v>
      </c>
      <c r="J393" s="9" t="str">
        <f t="shared" si="40"/>
        <v>Identical</v>
      </c>
      <c r="K393" s="9" t="s">
        <v>539</v>
      </c>
      <c r="L393" s="9" t="s">
        <v>539</v>
      </c>
      <c r="M393" s="9" t="str">
        <f t="shared" si="41"/>
        <v>Same</v>
      </c>
      <c r="N393" s="30" t="s">
        <v>1070</v>
      </c>
      <c r="O393" s="30" t="s">
        <v>1070</v>
      </c>
    </row>
    <row r="394" spans="1:15" ht="15" customHeight="1" x14ac:dyDescent="0.2">
      <c r="A394" s="9">
        <v>389</v>
      </c>
      <c r="B394" s="27">
        <f t="shared" si="36"/>
        <v>1900.3419638495361</v>
      </c>
      <c r="C394" s="27">
        <f t="shared" si="37"/>
        <v>7669.780166096727</v>
      </c>
      <c r="D394" s="28">
        <v>7.66</v>
      </c>
      <c r="E394" s="28">
        <v>7.67</v>
      </c>
      <c r="F394" s="9" t="str">
        <f t="shared" si="38"/>
        <v>Within 10 mV (calibration line)</v>
      </c>
      <c r="G394" s="27">
        <f t="shared" si="39"/>
        <v>1900.3419638495361</v>
      </c>
      <c r="H394" s="29">
        <v>2.13</v>
      </c>
      <c r="I394" s="29">
        <v>2.13</v>
      </c>
      <c r="J394" s="9" t="str">
        <f t="shared" si="40"/>
        <v>Identical</v>
      </c>
      <c r="K394" s="9" t="s">
        <v>539</v>
      </c>
      <c r="L394" s="9" t="s">
        <v>539</v>
      </c>
      <c r="M394" s="9" t="str">
        <f t="shared" si="41"/>
        <v>Same</v>
      </c>
      <c r="N394" s="30" t="s">
        <v>1070</v>
      </c>
      <c r="O394" s="30" t="s">
        <v>1070</v>
      </c>
    </row>
    <row r="395" spans="1:15" ht="15" customHeight="1" x14ac:dyDescent="0.2">
      <c r="A395" s="9">
        <v>390</v>
      </c>
      <c r="B395" s="27">
        <f t="shared" si="36"/>
        <v>1905.227161700049</v>
      </c>
      <c r="C395" s="27">
        <f t="shared" si="37"/>
        <v>7689.4968246213966</v>
      </c>
      <c r="D395" s="28">
        <v>7.68</v>
      </c>
      <c r="E395" s="28">
        <v>7.69</v>
      </c>
      <c r="F395" s="9" t="str">
        <f t="shared" si="38"/>
        <v>Within 10 mV (calibration line)</v>
      </c>
      <c r="G395" s="27">
        <f t="shared" si="39"/>
        <v>1905.227161700049</v>
      </c>
      <c r="H395" s="29">
        <v>2.14</v>
      </c>
      <c r="I395" s="29">
        <v>2.14</v>
      </c>
      <c r="J395" s="9" t="str">
        <f t="shared" si="40"/>
        <v>Identical</v>
      </c>
      <c r="K395" s="9" t="s">
        <v>539</v>
      </c>
      <c r="L395" s="9" t="s">
        <v>539</v>
      </c>
      <c r="M395" s="9" t="str">
        <f t="shared" si="41"/>
        <v>Same</v>
      </c>
      <c r="N395" s="30" t="s">
        <v>1071</v>
      </c>
      <c r="O395" s="30" t="s">
        <v>1071</v>
      </c>
    </row>
    <row r="396" spans="1:15" ht="15" customHeight="1" x14ac:dyDescent="0.2">
      <c r="A396" s="9">
        <v>391</v>
      </c>
      <c r="B396" s="27">
        <f t="shared" si="36"/>
        <v>1910.1123595505619</v>
      </c>
      <c r="C396" s="27">
        <f t="shared" si="37"/>
        <v>7709.2134831460671</v>
      </c>
      <c r="D396" s="28">
        <v>7.7</v>
      </c>
      <c r="E396" s="28">
        <v>7.71</v>
      </c>
      <c r="F396" s="9" t="str">
        <f t="shared" si="38"/>
        <v>Within 10 mV (calibration line)</v>
      </c>
      <c r="G396" s="27">
        <f t="shared" si="39"/>
        <v>1910.1123595505619</v>
      </c>
      <c r="H396" s="29">
        <v>2.14</v>
      </c>
      <c r="I396" s="29">
        <v>2.14</v>
      </c>
      <c r="J396" s="9" t="str">
        <f t="shared" si="40"/>
        <v>Identical</v>
      </c>
      <c r="K396" s="9" t="s">
        <v>539</v>
      </c>
      <c r="L396" s="9" t="s">
        <v>539</v>
      </c>
      <c r="M396" s="9" t="str">
        <f t="shared" si="41"/>
        <v>Same</v>
      </c>
      <c r="N396" s="30" t="s">
        <v>1071</v>
      </c>
      <c r="O396" s="30" t="s">
        <v>1071</v>
      </c>
    </row>
    <row r="397" spans="1:15" ht="15" customHeight="1" x14ac:dyDescent="0.2">
      <c r="A397" s="9">
        <v>392</v>
      </c>
      <c r="B397" s="27">
        <f t="shared" si="36"/>
        <v>1914.9975574010748</v>
      </c>
      <c r="C397" s="27">
        <f t="shared" si="37"/>
        <v>7728.9301416707367</v>
      </c>
      <c r="D397" s="28">
        <v>7.72</v>
      </c>
      <c r="E397" s="28">
        <v>7.73</v>
      </c>
      <c r="F397" s="9" t="str">
        <f t="shared" si="38"/>
        <v>Within 10 mV (calibration line)</v>
      </c>
      <c r="G397" s="27">
        <f t="shared" si="39"/>
        <v>1914.9975574010748</v>
      </c>
      <c r="H397" s="29">
        <v>2.15</v>
      </c>
      <c r="I397" s="29">
        <v>2.15</v>
      </c>
      <c r="J397" s="9" t="str">
        <f t="shared" si="40"/>
        <v>Identical</v>
      </c>
      <c r="K397" s="9" t="s">
        <v>539</v>
      </c>
      <c r="L397" s="9" t="s">
        <v>539</v>
      </c>
      <c r="M397" s="9" t="str">
        <f t="shared" si="41"/>
        <v>Same</v>
      </c>
      <c r="N397" s="30" t="s">
        <v>1072</v>
      </c>
      <c r="O397" s="30" t="s">
        <v>1072</v>
      </c>
    </row>
    <row r="398" spans="1:15" ht="15" customHeight="1" x14ac:dyDescent="0.2">
      <c r="A398" s="9">
        <v>393</v>
      </c>
      <c r="B398" s="27">
        <f t="shared" si="36"/>
        <v>1919.8827552515877</v>
      </c>
      <c r="C398" s="27">
        <f t="shared" si="37"/>
        <v>7748.6468001954072</v>
      </c>
      <c r="D398" s="28">
        <v>7.74</v>
      </c>
      <c r="E398" s="28">
        <v>7.75</v>
      </c>
      <c r="F398" s="9" t="str">
        <f t="shared" si="38"/>
        <v>Within 10 mV (calibration line)</v>
      </c>
      <c r="G398" s="27">
        <f t="shared" si="39"/>
        <v>1919.8827552515877</v>
      </c>
      <c r="H398" s="29">
        <v>2.15</v>
      </c>
      <c r="I398" s="29">
        <v>2.15</v>
      </c>
      <c r="J398" s="9" t="str">
        <f t="shared" si="40"/>
        <v>Identical</v>
      </c>
      <c r="K398" s="9" t="s">
        <v>539</v>
      </c>
      <c r="L398" s="9" t="s">
        <v>539</v>
      </c>
      <c r="M398" s="9" t="str">
        <f t="shared" si="41"/>
        <v>Same</v>
      </c>
      <c r="N398" s="30" t="s">
        <v>1072</v>
      </c>
      <c r="O398" s="30" t="s">
        <v>1072</v>
      </c>
    </row>
    <row r="399" spans="1:15" ht="15" customHeight="1" x14ac:dyDescent="0.2">
      <c r="A399" s="9">
        <v>394</v>
      </c>
      <c r="B399" s="27">
        <f t="shared" si="36"/>
        <v>1924.7679531021006</v>
      </c>
      <c r="C399" s="27">
        <f t="shared" si="37"/>
        <v>7768.3634587200768</v>
      </c>
      <c r="D399" s="28">
        <v>7.76</v>
      </c>
      <c r="E399" s="28">
        <v>7.77</v>
      </c>
      <c r="F399" s="9" t="str">
        <f t="shared" si="38"/>
        <v>Within 10 mV (calibration line)</v>
      </c>
      <c r="G399" s="27">
        <f t="shared" si="39"/>
        <v>1924.7679531021006</v>
      </c>
      <c r="H399" s="29">
        <v>2.16</v>
      </c>
      <c r="I399" s="29">
        <v>2.16</v>
      </c>
      <c r="J399" s="9" t="str">
        <f t="shared" si="40"/>
        <v>Identical</v>
      </c>
      <c r="K399" s="9" t="s">
        <v>539</v>
      </c>
      <c r="L399" s="9" t="s">
        <v>539</v>
      </c>
      <c r="M399" s="9" t="str">
        <f t="shared" si="41"/>
        <v>Same</v>
      </c>
      <c r="N399" s="30" t="s">
        <v>1073</v>
      </c>
      <c r="O399" s="30" t="s">
        <v>1073</v>
      </c>
    </row>
    <row r="400" spans="1:15" ht="15" customHeight="1" x14ac:dyDescent="0.2">
      <c r="A400" s="9">
        <v>395</v>
      </c>
      <c r="B400" s="27">
        <f t="shared" si="36"/>
        <v>1929.6531509526135</v>
      </c>
      <c r="C400" s="27">
        <f t="shared" si="37"/>
        <v>7788.0801172447473</v>
      </c>
      <c r="D400" s="28">
        <v>7.78</v>
      </c>
      <c r="E400" s="28">
        <v>7.79</v>
      </c>
      <c r="F400" s="9" t="str">
        <f t="shared" si="38"/>
        <v>Within 10 mV (calibration line)</v>
      </c>
      <c r="G400" s="27">
        <f t="shared" si="39"/>
        <v>1929.6531509526135</v>
      </c>
      <c r="H400" s="29">
        <v>2.16</v>
      </c>
      <c r="I400" s="29">
        <v>2.16</v>
      </c>
      <c r="J400" s="9" t="str">
        <f t="shared" si="40"/>
        <v>Identical</v>
      </c>
      <c r="K400" s="9" t="s">
        <v>539</v>
      </c>
      <c r="L400" s="9" t="s">
        <v>539</v>
      </c>
      <c r="M400" s="9" t="str">
        <f t="shared" si="41"/>
        <v>Same</v>
      </c>
      <c r="N400" s="30" t="s">
        <v>1073</v>
      </c>
      <c r="O400" s="30" t="s">
        <v>1073</v>
      </c>
    </row>
    <row r="401" spans="1:15" ht="15" customHeight="1" x14ac:dyDescent="0.2">
      <c r="A401" s="9">
        <v>396</v>
      </c>
      <c r="B401" s="27">
        <f t="shared" si="36"/>
        <v>1934.5383488031266</v>
      </c>
      <c r="C401" s="27">
        <f t="shared" si="37"/>
        <v>7807.7967757694178</v>
      </c>
      <c r="D401" s="28">
        <v>7.8</v>
      </c>
      <c r="E401" s="28">
        <v>7.81</v>
      </c>
      <c r="F401" s="9" t="str">
        <f t="shared" si="38"/>
        <v>Within 10 mV (calibration line)</v>
      </c>
      <c r="G401" s="27">
        <f t="shared" si="39"/>
        <v>1934.5383488031266</v>
      </c>
      <c r="H401" s="29">
        <v>2.17</v>
      </c>
      <c r="I401" s="29">
        <v>2.17</v>
      </c>
      <c r="J401" s="9" t="str">
        <f t="shared" si="40"/>
        <v>Identical</v>
      </c>
      <c r="K401" s="9" t="s">
        <v>539</v>
      </c>
      <c r="L401" s="9" t="s">
        <v>539</v>
      </c>
      <c r="M401" s="9" t="str">
        <f t="shared" si="41"/>
        <v>Same</v>
      </c>
      <c r="N401" s="30" t="s">
        <v>1074</v>
      </c>
      <c r="O401" s="30" t="s">
        <v>1074</v>
      </c>
    </row>
    <row r="402" spans="1:15" ht="15" customHeight="1" x14ac:dyDescent="0.2">
      <c r="A402" s="9">
        <v>397</v>
      </c>
      <c r="B402" s="27">
        <f t="shared" si="36"/>
        <v>1939.4235466536395</v>
      </c>
      <c r="C402" s="27">
        <f t="shared" si="37"/>
        <v>7827.5134342940883</v>
      </c>
      <c r="D402" s="28">
        <v>7.82</v>
      </c>
      <c r="E402" s="28">
        <v>7.83</v>
      </c>
      <c r="F402" s="9" t="str">
        <f t="shared" si="38"/>
        <v>Within 10 mV (calibration line)</v>
      </c>
      <c r="G402" s="27">
        <f t="shared" si="39"/>
        <v>1939.4235466536395</v>
      </c>
      <c r="H402" s="29">
        <v>2.17</v>
      </c>
      <c r="I402" s="29">
        <v>2.1800000000000002</v>
      </c>
      <c r="J402" s="9" t="str">
        <f t="shared" si="40"/>
        <v>+0.01 A (nearest step)</v>
      </c>
      <c r="K402" s="9" t="s">
        <v>539</v>
      </c>
      <c r="L402" s="9" t="s">
        <v>539</v>
      </c>
      <c r="M402" s="9" t="str">
        <f t="shared" si="41"/>
        <v>Same</v>
      </c>
      <c r="N402" s="30" t="s">
        <v>1074</v>
      </c>
      <c r="O402" s="30" t="s">
        <v>1075</v>
      </c>
    </row>
    <row r="403" spans="1:15" ht="15" customHeight="1" x14ac:dyDescent="0.2">
      <c r="A403" s="9">
        <v>398</v>
      </c>
      <c r="B403" s="27">
        <f t="shared" si="36"/>
        <v>1944.3087445041524</v>
      </c>
      <c r="C403" s="27">
        <f t="shared" si="37"/>
        <v>7847.2300928187578</v>
      </c>
      <c r="D403" s="28">
        <v>7.84</v>
      </c>
      <c r="E403" s="28">
        <v>7.85</v>
      </c>
      <c r="F403" s="9" t="str">
        <f t="shared" si="38"/>
        <v>Within 10 mV (calibration line)</v>
      </c>
      <c r="G403" s="27">
        <f t="shared" si="39"/>
        <v>1944.3087445041524</v>
      </c>
      <c r="H403" s="29">
        <v>2.1800000000000002</v>
      </c>
      <c r="I403" s="29">
        <v>2.1800000000000002</v>
      </c>
      <c r="J403" s="9" t="str">
        <f t="shared" si="40"/>
        <v>Identical</v>
      </c>
      <c r="K403" s="9" t="s">
        <v>539</v>
      </c>
      <c r="L403" s="9" t="s">
        <v>539</v>
      </c>
      <c r="M403" s="9" t="str">
        <f t="shared" si="41"/>
        <v>Same</v>
      </c>
      <c r="N403" s="30" t="s">
        <v>1075</v>
      </c>
      <c r="O403" s="30" t="s">
        <v>1075</v>
      </c>
    </row>
    <row r="404" spans="1:15" ht="15" customHeight="1" x14ac:dyDescent="0.2">
      <c r="A404" s="9">
        <v>399</v>
      </c>
      <c r="B404" s="27">
        <f t="shared" si="36"/>
        <v>1949.1939423546653</v>
      </c>
      <c r="C404" s="27">
        <f t="shared" si="37"/>
        <v>7866.9467513434283</v>
      </c>
      <c r="D404" s="28">
        <v>7.86</v>
      </c>
      <c r="E404" s="28">
        <v>7.86</v>
      </c>
      <c r="F404" s="9" t="str">
        <f t="shared" si="38"/>
        <v>Identical</v>
      </c>
      <c r="G404" s="27">
        <f t="shared" si="39"/>
        <v>1949.1939423546653</v>
      </c>
      <c r="H404" s="29">
        <v>2.19</v>
      </c>
      <c r="I404" s="29">
        <v>2.19</v>
      </c>
      <c r="J404" s="9" t="str">
        <f t="shared" si="40"/>
        <v>Identical</v>
      </c>
      <c r="K404" s="9" t="s">
        <v>539</v>
      </c>
      <c r="L404" s="9" t="s">
        <v>539</v>
      </c>
      <c r="M404" s="9" t="str">
        <f t="shared" si="41"/>
        <v>Same</v>
      </c>
      <c r="N404" s="30" t="s">
        <v>1076</v>
      </c>
      <c r="O404" s="30" t="s">
        <v>1076</v>
      </c>
    </row>
    <row r="405" spans="1:15" ht="15" customHeight="1" x14ac:dyDescent="0.2">
      <c r="A405" s="9">
        <v>400</v>
      </c>
      <c r="B405" s="27">
        <f t="shared" si="36"/>
        <v>1954.0791402051784</v>
      </c>
      <c r="C405" s="27">
        <f t="shared" si="37"/>
        <v>7886.6634098680997</v>
      </c>
      <c r="D405" s="28">
        <v>7.88</v>
      </c>
      <c r="E405" s="28">
        <v>7.88</v>
      </c>
      <c r="F405" s="9" t="str">
        <f t="shared" si="38"/>
        <v>Identical</v>
      </c>
      <c r="G405" s="27">
        <f t="shared" si="39"/>
        <v>1954.0791402051784</v>
      </c>
      <c r="H405" s="29">
        <v>2.19</v>
      </c>
      <c r="I405" s="29">
        <v>2.19</v>
      </c>
      <c r="J405" s="9" t="str">
        <f t="shared" si="40"/>
        <v>Identical</v>
      </c>
      <c r="K405" s="9" t="s">
        <v>539</v>
      </c>
      <c r="L405" s="9" t="s">
        <v>539</v>
      </c>
      <c r="M405" s="9" t="str">
        <f t="shared" si="41"/>
        <v>Same</v>
      </c>
      <c r="N405" s="30" t="s">
        <v>1076</v>
      </c>
      <c r="O405" s="30" t="s">
        <v>1076</v>
      </c>
    </row>
    <row r="406" spans="1:15" ht="15" customHeight="1" x14ac:dyDescent="0.2">
      <c r="A406" s="9">
        <v>401</v>
      </c>
      <c r="B406" s="27">
        <f t="shared" si="36"/>
        <v>1958.9643380556913</v>
      </c>
      <c r="C406" s="27">
        <f t="shared" si="37"/>
        <v>7906.3800683927693</v>
      </c>
      <c r="D406" s="28">
        <v>7.9</v>
      </c>
      <c r="E406" s="28">
        <v>7.9</v>
      </c>
      <c r="F406" s="9" t="str">
        <f t="shared" si="38"/>
        <v>Identical</v>
      </c>
      <c r="G406" s="27">
        <f t="shared" si="39"/>
        <v>1958.9643380556913</v>
      </c>
      <c r="H406" s="29">
        <v>2.2000000000000002</v>
      </c>
      <c r="I406" s="29">
        <v>2.2000000000000002</v>
      </c>
      <c r="J406" s="9" t="str">
        <f t="shared" si="40"/>
        <v>Identical</v>
      </c>
      <c r="K406" s="9" t="s">
        <v>539</v>
      </c>
      <c r="L406" s="9" t="s">
        <v>539</v>
      </c>
      <c r="M406" s="9" t="str">
        <f t="shared" si="41"/>
        <v>Same</v>
      </c>
      <c r="N406" s="30" t="s">
        <v>1077</v>
      </c>
      <c r="O406" s="30" t="s">
        <v>1077</v>
      </c>
    </row>
    <row r="407" spans="1:15" ht="15" customHeight="1" x14ac:dyDescent="0.2">
      <c r="A407" s="9">
        <v>402</v>
      </c>
      <c r="B407" s="27">
        <f t="shared" si="36"/>
        <v>1963.8495359062042</v>
      </c>
      <c r="C407" s="27">
        <f t="shared" si="37"/>
        <v>7926.0967269174398</v>
      </c>
      <c r="D407" s="28">
        <v>7.92</v>
      </c>
      <c r="E407" s="28">
        <v>7.92</v>
      </c>
      <c r="F407" s="9" t="str">
        <f t="shared" si="38"/>
        <v>Identical</v>
      </c>
      <c r="G407" s="27">
        <f t="shared" si="39"/>
        <v>1963.8495359062042</v>
      </c>
      <c r="H407" s="29">
        <v>2.2000000000000002</v>
      </c>
      <c r="I407" s="29">
        <v>2.2000000000000002</v>
      </c>
      <c r="J407" s="9" t="str">
        <f t="shared" si="40"/>
        <v>Identical</v>
      </c>
      <c r="K407" s="9" t="s">
        <v>539</v>
      </c>
      <c r="L407" s="9" t="s">
        <v>539</v>
      </c>
      <c r="M407" s="9" t="str">
        <f t="shared" si="41"/>
        <v>Same</v>
      </c>
      <c r="N407" s="30" t="s">
        <v>1077</v>
      </c>
      <c r="O407" s="30" t="s">
        <v>1077</v>
      </c>
    </row>
    <row r="408" spans="1:15" ht="15" customHeight="1" x14ac:dyDescent="0.2">
      <c r="A408" s="9">
        <v>403</v>
      </c>
      <c r="B408" s="27">
        <f t="shared" si="36"/>
        <v>1968.7347337567171</v>
      </c>
      <c r="C408" s="27">
        <f t="shared" si="37"/>
        <v>7945.8133854421094</v>
      </c>
      <c r="D408" s="28">
        <v>7.94</v>
      </c>
      <c r="E408" s="28">
        <v>7.94</v>
      </c>
      <c r="F408" s="9" t="str">
        <f t="shared" si="38"/>
        <v>Identical</v>
      </c>
      <c r="G408" s="27">
        <f t="shared" si="39"/>
        <v>1968.7347337567171</v>
      </c>
      <c r="H408" s="29">
        <v>2.21</v>
      </c>
      <c r="I408" s="29">
        <v>2.21</v>
      </c>
      <c r="J408" s="9" t="str">
        <f t="shared" si="40"/>
        <v>Identical</v>
      </c>
      <c r="K408" s="9" t="s">
        <v>539</v>
      </c>
      <c r="L408" s="9" t="s">
        <v>539</v>
      </c>
      <c r="M408" s="9" t="str">
        <f t="shared" si="41"/>
        <v>Same</v>
      </c>
      <c r="N408" s="30" t="s">
        <v>1078</v>
      </c>
      <c r="O408" s="30" t="s">
        <v>1078</v>
      </c>
    </row>
    <row r="409" spans="1:15" ht="15" customHeight="1" x14ac:dyDescent="0.2">
      <c r="A409" s="9">
        <v>404</v>
      </c>
      <c r="B409" s="27">
        <f t="shared" si="36"/>
        <v>1973.6199316072302</v>
      </c>
      <c r="C409" s="27">
        <f t="shared" si="37"/>
        <v>7965.5300439667808</v>
      </c>
      <c r="D409" s="28">
        <v>7.96</v>
      </c>
      <c r="E409" s="28">
        <v>7.96</v>
      </c>
      <c r="F409" s="9" t="str">
        <f t="shared" si="38"/>
        <v>Identical</v>
      </c>
      <c r="G409" s="27">
        <f t="shared" si="39"/>
        <v>1973.6199316072302</v>
      </c>
      <c r="H409" s="29">
        <v>2.21</v>
      </c>
      <c r="I409" s="29">
        <v>2.21</v>
      </c>
      <c r="J409" s="9" t="str">
        <f t="shared" si="40"/>
        <v>Identical</v>
      </c>
      <c r="K409" s="9" t="s">
        <v>539</v>
      </c>
      <c r="L409" s="9" t="s">
        <v>539</v>
      </c>
      <c r="M409" s="9" t="str">
        <f t="shared" si="41"/>
        <v>Same</v>
      </c>
      <c r="N409" s="30" t="s">
        <v>1078</v>
      </c>
      <c r="O409" s="30" t="s">
        <v>1078</v>
      </c>
    </row>
    <row r="410" spans="1:15" ht="15" customHeight="1" x14ac:dyDescent="0.2">
      <c r="A410" s="9">
        <v>405</v>
      </c>
      <c r="B410" s="27">
        <f t="shared" si="36"/>
        <v>1978.5051294577431</v>
      </c>
      <c r="C410" s="27">
        <f t="shared" si="37"/>
        <v>7985.2467024914504</v>
      </c>
      <c r="D410" s="28">
        <v>7.98</v>
      </c>
      <c r="E410" s="28">
        <v>7.98</v>
      </c>
      <c r="F410" s="9" t="str">
        <f t="shared" si="38"/>
        <v>Identical</v>
      </c>
      <c r="G410" s="27">
        <f t="shared" si="39"/>
        <v>1978.5051294577431</v>
      </c>
      <c r="H410" s="29">
        <v>2.2200000000000002</v>
      </c>
      <c r="I410" s="29">
        <v>2.2200000000000002</v>
      </c>
      <c r="J410" s="9" t="str">
        <f t="shared" si="40"/>
        <v>Identical</v>
      </c>
      <c r="K410" s="9" t="s">
        <v>539</v>
      </c>
      <c r="L410" s="9" t="s">
        <v>539</v>
      </c>
      <c r="M410" s="9" t="str">
        <f t="shared" si="41"/>
        <v>Same</v>
      </c>
      <c r="N410" s="30" t="s">
        <v>1079</v>
      </c>
      <c r="O410" s="30" t="s">
        <v>1079</v>
      </c>
    </row>
    <row r="411" spans="1:15" ht="15" customHeight="1" x14ac:dyDescent="0.2">
      <c r="A411" s="9">
        <v>406</v>
      </c>
      <c r="B411" s="27">
        <f t="shared" si="36"/>
        <v>1983.390327308256</v>
      </c>
      <c r="C411" s="27">
        <f t="shared" si="37"/>
        <v>8004.9633610161209</v>
      </c>
      <c r="D411" s="28">
        <v>8</v>
      </c>
      <c r="E411" s="28">
        <v>8</v>
      </c>
      <c r="F411" s="9" t="str">
        <f t="shared" si="38"/>
        <v>Identical</v>
      </c>
      <c r="G411" s="27">
        <f t="shared" si="39"/>
        <v>1983.390327308256</v>
      </c>
      <c r="H411" s="29">
        <v>2.2200000000000002</v>
      </c>
      <c r="I411" s="29">
        <v>2.2200000000000002</v>
      </c>
      <c r="J411" s="9" t="str">
        <f t="shared" si="40"/>
        <v>Identical</v>
      </c>
      <c r="K411" s="9" t="s">
        <v>539</v>
      </c>
      <c r="L411" s="9" t="s">
        <v>539</v>
      </c>
      <c r="M411" s="9" t="str">
        <f t="shared" si="41"/>
        <v>Same</v>
      </c>
      <c r="N411" s="30" t="s">
        <v>1079</v>
      </c>
      <c r="O411" s="30" t="s">
        <v>1079</v>
      </c>
    </row>
    <row r="412" spans="1:15" ht="15" customHeight="1" x14ac:dyDescent="0.2">
      <c r="A412" s="9">
        <v>407</v>
      </c>
      <c r="B412" s="27">
        <f t="shared" si="36"/>
        <v>1988.2755251587689</v>
      </c>
      <c r="C412" s="27">
        <f t="shared" si="37"/>
        <v>8024.6800195407905</v>
      </c>
      <c r="D412" s="28">
        <v>8.02</v>
      </c>
      <c r="E412" s="28">
        <v>8.02</v>
      </c>
      <c r="F412" s="9" t="str">
        <f t="shared" si="38"/>
        <v>Identical</v>
      </c>
      <c r="G412" s="27">
        <f t="shared" si="39"/>
        <v>1988.2755251587689</v>
      </c>
      <c r="H412" s="29">
        <v>2.23</v>
      </c>
      <c r="I412" s="29">
        <v>2.23</v>
      </c>
      <c r="J412" s="9" t="str">
        <f t="shared" si="40"/>
        <v>Identical</v>
      </c>
      <c r="K412" s="9" t="s">
        <v>539</v>
      </c>
      <c r="L412" s="9" t="s">
        <v>539</v>
      </c>
      <c r="M412" s="9" t="str">
        <f t="shared" si="41"/>
        <v>Same</v>
      </c>
      <c r="N412" s="30" t="s">
        <v>1080</v>
      </c>
      <c r="O412" s="30" t="s">
        <v>1080</v>
      </c>
    </row>
    <row r="413" spans="1:15" ht="15" customHeight="1" x14ac:dyDescent="0.2">
      <c r="A413" s="9">
        <v>408</v>
      </c>
      <c r="B413" s="27">
        <f t="shared" si="36"/>
        <v>1993.160723009282</v>
      </c>
      <c r="C413" s="27">
        <f t="shared" si="37"/>
        <v>8044.3966780654619</v>
      </c>
      <c r="D413" s="28">
        <v>8.0399999999999991</v>
      </c>
      <c r="E413" s="28">
        <v>8.0399999999999991</v>
      </c>
      <c r="F413" s="9" t="str">
        <f t="shared" si="38"/>
        <v>Identical</v>
      </c>
      <c r="G413" s="27">
        <f t="shared" si="39"/>
        <v>1993.160723009282</v>
      </c>
      <c r="H413" s="29">
        <v>2.2400000000000002</v>
      </c>
      <c r="I413" s="29">
        <v>2.2400000000000002</v>
      </c>
      <c r="J413" s="9" t="str">
        <f t="shared" si="40"/>
        <v>Identical</v>
      </c>
      <c r="K413" s="9" t="s">
        <v>539</v>
      </c>
      <c r="L413" s="9" t="s">
        <v>539</v>
      </c>
      <c r="M413" s="9" t="str">
        <f t="shared" si="41"/>
        <v>Same</v>
      </c>
      <c r="N413" s="30" t="s">
        <v>1081</v>
      </c>
      <c r="O413" s="30" t="s">
        <v>1081</v>
      </c>
    </row>
    <row r="414" spans="1:15" ht="15" customHeight="1" x14ac:dyDescent="0.2">
      <c r="A414" s="9">
        <v>409</v>
      </c>
      <c r="B414" s="27">
        <f t="shared" si="36"/>
        <v>1998.0459208597949</v>
      </c>
      <c r="C414" s="27">
        <f t="shared" si="37"/>
        <v>8064.1133365901314</v>
      </c>
      <c r="D414" s="28">
        <v>8.06</v>
      </c>
      <c r="E414" s="28">
        <v>8.06</v>
      </c>
      <c r="F414" s="9" t="str">
        <f t="shared" si="38"/>
        <v>Identical</v>
      </c>
      <c r="G414" s="27">
        <f t="shared" si="39"/>
        <v>1998.0459208597949</v>
      </c>
      <c r="H414" s="29">
        <v>2.2400000000000002</v>
      </c>
      <c r="I414" s="29">
        <v>2.2400000000000002</v>
      </c>
      <c r="J414" s="9" t="str">
        <f t="shared" si="40"/>
        <v>Identical</v>
      </c>
      <c r="K414" s="9" t="s">
        <v>539</v>
      </c>
      <c r="L414" s="9" t="s">
        <v>539</v>
      </c>
      <c r="M414" s="9" t="str">
        <f t="shared" si="41"/>
        <v>Same</v>
      </c>
      <c r="N414" s="30" t="s">
        <v>1081</v>
      </c>
      <c r="O414" s="30" t="s">
        <v>1081</v>
      </c>
    </row>
    <row r="415" spans="1:15" ht="15" customHeight="1" x14ac:dyDescent="0.2">
      <c r="A415" s="9">
        <v>410</v>
      </c>
      <c r="B415" s="27">
        <f t="shared" si="36"/>
        <v>2002.9311187103081</v>
      </c>
      <c r="C415" s="27">
        <f t="shared" si="37"/>
        <v>8083.8299951148028</v>
      </c>
      <c r="D415" s="28">
        <v>8.08</v>
      </c>
      <c r="E415" s="28">
        <v>8.08</v>
      </c>
      <c r="F415" s="9" t="str">
        <f t="shared" si="38"/>
        <v>Identical</v>
      </c>
      <c r="G415" s="27">
        <f t="shared" si="39"/>
        <v>2002.9311187103081</v>
      </c>
      <c r="H415" s="29">
        <v>2.25</v>
      </c>
      <c r="I415" s="29">
        <v>2.25</v>
      </c>
      <c r="J415" s="9" t="str">
        <f t="shared" si="40"/>
        <v>Identical</v>
      </c>
      <c r="K415" s="9" t="s">
        <v>539</v>
      </c>
      <c r="L415" s="9" t="s">
        <v>539</v>
      </c>
      <c r="M415" s="9" t="str">
        <f t="shared" si="41"/>
        <v>Same</v>
      </c>
      <c r="N415" s="30" t="s">
        <v>1082</v>
      </c>
      <c r="O415" s="30" t="s">
        <v>1082</v>
      </c>
    </row>
    <row r="416" spans="1:15" ht="15" customHeight="1" x14ac:dyDescent="0.2">
      <c r="A416" s="9">
        <v>411</v>
      </c>
      <c r="B416" s="27">
        <f t="shared" si="36"/>
        <v>2007.8163165608207</v>
      </c>
      <c r="C416" s="27">
        <f t="shared" si="37"/>
        <v>8103.5466536394715</v>
      </c>
      <c r="D416" s="28">
        <v>8.1</v>
      </c>
      <c r="E416" s="28">
        <v>8.1</v>
      </c>
      <c r="F416" s="9" t="str">
        <f t="shared" si="38"/>
        <v>Identical</v>
      </c>
      <c r="G416" s="27">
        <f t="shared" si="39"/>
        <v>2007.8163165608207</v>
      </c>
      <c r="H416" s="29">
        <v>2.25</v>
      </c>
      <c r="I416" s="29">
        <v>2.25</v>
      </c>
      <c r="J416" s="9" t="str">
        <f t="shared" si="40"/>
        <v>Identical</v>
      </c>
      <c r="K416" s="9" t="s">
        <v>539</v>
      </c>
      <c r="L416" s="9" t="s">
        <v>539</v>
      </c>
      <c r="M416" s="9" t="str">
        <f t="shared" si="41"/>
        <v>Same</v>
      </c>
      <c r="N416" s="30" t="s">
        <v>1082</v>
      </c>
      <c r="O416" s="30" t="s">
        <v>1082</v>
      </c>
    </row>
    <row r="417" spans="1:15" ht="15" customHeight="1" x14ac:dyDescent="0.2">
      <c r="A417" s="9">
        <v>412</v>
      </c>
      <c r="B417" s="27">
        <f t="shared" si="36"/>
        <v>2012.7015144113338</v>
      </c>
      <c r="C417" s="27">
        <f t="shared" si="37"/>
        <v>8123.2633121641429</v>
      </c>
      <c r="D417" s="28">
        <v>8.1199999999999992</v>
      </c>
      <c r="E417" s="28">
        <v>8.1199999999999992</v>
      </c>
      <c r="F417" s="9" t="str">
        <f t="shared" si="38"/>
        <v>Identical</v>
      </c>
      <c r="G417" s="27">
        <f t="shared" si="39"/>
        <v>2012.7015144113338</v>
      </c>
      <c r="H417" s="29">
        <v>2.2599999999999998</v>
      </c>
      <c r="I417" s="29">
        <v>2.2599999999999998</v>
      </c>
      <c r="J417" s="9" t="str">
        <f t="shared" si="40"/>
        <v>Identical</v>
      </c>
      <c r="K417" s="9" t="s">
        <v>539</v>
      </c>
      <c r="L417" s="9" t="s">
        <v>539</v>
      </c>
      <c r="M417" s="9" t="str">
        <f t="shared" si="41"/>
        <v>Same</v>
      </c>
      <c r="N417" s="30" t="s">
        <v>1083</v>
      </c>
      <c r="O417" s="30" t="s">
        <v>1083</v>
      </c>
    </row>
    <row r="418" spans="1:15" ht="15" customHeight="1" x14ac:dyDescent="0.2">
      <c r="A418" s="9">
        <v>413</v>
      </c>
      <c r="B418" s="27">
        <f t="shared" si="36"/>
        <v>2017.586712261847</v>
      </c>
      <c r="C418" s="27">
        <f t="shared" si="37"/>
        <v>8142.9799706888134</v>
      </c>
      <c r="D418" s="28">
        <v>8.14</v>
      </c>
      <c r="E418" s="28">
        <v>8.14</v>
      </c>
      <c r="F418" s="9" t="str">
        <f t="shared" si="38"/>
        <v>Identical</v>
      </c>
      <c r="G418" s="27">
        <f t="shared" si="39"/>
        <v>2017.586712261847</v>
      </c>
      <c r="H418" s="29">
        <v>2.2599999999999998</v>
      </c>
      <c r="I418" s="29">
        <v>2.2599999999999998</v>
      </c>
      <c r="J418" s="9" t="str">
        <f t="shared" si="40"/>
        <v>Identical</v>
      </c>
      <c r="K418" s="9" t="s">
        <v>539</v>
      </c>
      <c r="L418" s="9" t="s">
        <v>539</v>
      </c>
      <c r="M418" s="9" t="str">
        <f t="shared" si="41"/>
        <v>Same</v>
      </c>
      <c r="N418" s="30" t="s">
        <v>1083</v>
      </c>
      <c r="O418" s="30" t="s">
        <v>1083</v>
      </c>
    </row>
    <row r="419" spans="1:15" ht="15" customHeight="1" x14ac:dyDescent="0.2">
      <c r="A419" s="9">
        <v>414</v>
      </c>
      <c r="B419" s="27">
        <f t="shared" si="36"/>
        <v>2022.4719101123596</v>
      </c>
      <c r="C419" s="27">
        <f t="shared" si="37"/>
        <v>8162.696629213483</v>
      </c>
      <c r="D419" s="28">
        <v>8.16</v>
      </c>
      <c r="E419" s="28">
        <v>8.16</v>
      </c>
      <c r="F419" s="9" t="str">
        <f t="shared" si="38"/>
        <v>Identical</v>
      </c>
      <c r="G419" s="27">
        <f t="shared" si="39"/>
        <v>2022.4719101123596</v>
      </c>
      <c r="H419" s="29">
        <v>2.27</v>
      </c>
      <c r="I419" s="29">
        <v>2.27</v>
      </c>
      <c r="J419" s="9" t="str">
        <f t="shared" si="40"/>
        <v>Identical</v>
      </c>
      <c r="K419" s="9" t="s">
        <v>539</v>
      </c>
      <c r="L419" s="9" t="s">
        <v>539</v>
      </c>
      <c r="M419" s="9" t="str">
        <f t="shared" si="41"/>
        <v>Same</v>
      </c>
      <c r="N419" s="30" t="s">
        <v>1084</v>
      </c>
      <c r="O419" s="30" t="s">
        <v>1084</v>
      </c>
    </row>
    <row r="420" spans="1:15" ht="15" customHeight="1" x14ac:dyDescent="0.2">
      <c r="A420" s="9">
        <v>415</v>
      </c>
      <c r="B420" s="27">
        <f t="shared" si="36"/>
        <v>2027.3571079628728</v>
      </c>
      <c r="C420" s="27">
        <f t="shared" si="37"/>
        <v>8182.4132877381535</v>
      </c>
      <c r="D420" s="28">
        <v>8.18</v>
      </c>
      <c r="E420" s="28">
        <v>8.18</v>
      </c>
      <c r="F420" s="9" t="str">
        <f t="shared" si="38"/>
        <v>Identical</v>
      </c>
      <c r="G420" s="27">
        <f t="shared" si="39"/>
        <v>2027.3571079628728</v>
      </c>
      <c r="H420" s="29">
        <v>2.27</v>
      </c>
      <c r="I420" s="29">
        <v>2.27</v>
      </c>
      <c r="J420" s="9" t="str">
        <f t="shared" si="40"/>
        <v>Identical</v>
      </c>
      <c r="K420" s="9" t="s">
        <v>539</v>
      </c>
      <c r="L420" s="9" t="s">
        <v>539</v>
      </c>
      <c r="M420" s="9" t="str">
        <f t="shared" si="41"/>
        <v>Same</v>
      </c>
      <c r="N420" s="30" t="s">
        <v>1084</v>
      </c>
      <c r="O420" s="30" t="s">
        <v>1084</v>
      </c>
    </row>
    <row r="421" spans="1:15" ht="15" customHeight="1" x14ac:dyDescent="0.2">
      <c r="A421" s="9">
        <v>416</v>
      </c>
      <c r="B421" s="27">
        <f t="shared" si="36"/>
        <v>2032.2423058133854</v>
      </c>
      <c r="C421" s="27">
        <f t="shared" si="37"/>
        <v>8202.1299462628231</v>
      </c>
      <c r="D421" s="28">
        <v>8.1999999999999993</v>
      </c>
      <c r="E421" s="28">
        <v>8.1999999999999993</v>
      </c>
      <c r="F421" s="9" t="str">
        <f t="shared" si="38"/>
        <v>Identical</v>
      </c>
      <c r="G421" s="27">
        <f t="shared" si="39"/>
        <v>2032.2423058133854</v>
      </c>
      <c r="H421" s="29">
        <v>2.2799999999999998</v>
      </c>
      <c r="I421" s="29">
        <v>2.2799999999999998</v>
      </c>
      <c r="J421" s="9" t="str">
        <f t="shared" si="40"/>
        <v>Identical</v>
      </c>
      <c r="K421" s="9" t="s">
        <v>539</v>
      </c>
      <c r="L421" s="9" t="s">
        <v>539</v>
      </c>
      <c r="M421" s="9" t="str">
        <f t="shared" si="41"/>
        <v>Same</v>
      </c>
      <c r="N421" s="30" t="s">
        <v>1085</v>
      </c>
      <c r="O421" s="30" t="s">
        <v>1085</v>
      </c>
    </row>
    <row r="422" spans="1:15" ht="15" customHeight="1" x14ac:dyDescent="0.2">
      <c r="A422" s="9">
        <v>417</v>
      </c>
      <c r="B422" s="27">
        <f t="shared" si="36"/>
        <v>2037.1275036638986</v>
      </c>
      <c r="C422" s="27">
        <f t="shared" si="37"/>
        <v>8221.8466047874936</v>
      </c>
      <c r="D422" s="28">
        <v>8.2200000000000006</v>
      </c>
      <c r="E422" s="28">
        <v>8.2200000000000006</v>
      </c>
      <c r="F422" s="9" t="str">
        <f t="shared" si="38"/>
        <v>Identical</v>
      </c>
      <c r="G422" s="27">
        <f t="shared" si="39"/>
        <v>2037.1275036638986</v>
      </c>
      <c r="H422" s="29">
        <v>2.2799999999999998</v>
      </c>
      <c r="I422" s="29">
        <v>2.2799999999999998</v>
      </c>
      <c r="J422" s="9" t="str">
        <f t="shared" si="40"/>
        <v>Identical</v>
      </c>
      <c r="K422" s="9" t="s">
        <v>539</v>
      </c>
      <c r="L422" s="9" t="s">
        <v>539</v>
      </c>
      <c r="M422" s="9" t="str">
        <f t="shared" si="41"/>
        <v>Same</v>
      </c>
      <c r="N422" s="30" t="s">
        <v>1085</v>
      </c>
      <c r="O422" s="30" t="s">
        <v>1085</v>
      </c>
    </row>
    <row r="423" spans="1:15" ht="15" customHeight="1" x14ac:dyDescent="0.2">
      <c r="A423" s="9">
        <v>418</v>
      </c>
      <c r="B423" s="27">
        <f t="shared" si="36"/>
        <v>2042.0127015144117</v>
      </c>
      <c r="C423" s="27">
        <f t="shared" si="37"/>
        <v>8241.5632633121641</v>
      </c>
      <c r="D423" s="28">
        <v>8.24</v>
      </c>
      <c r="E423" s="28">
        <v>8.24</v>
      </c>
      <c r="F423" s="9" t="str">
        <f t="shared" si="38"/>
        <v>Identical</v>
      </c>
      <c r="G423" s="27">
        <f t="shared" si="39"/>
        <v>2042.0127015144117</v>
      </c>
      <c r="H423" s="29">
        <v>2.29</v>
      </c>
      <c r="I423" s="29">
        <v>2.29</v>
      </c>
      <c r="J423" s="9" t="str">
        <f t="shared" si="40"/>
        <v>Identical</v>
      </c>
      <c r="K423" s="9" t="s">
        <v>539</v>
      </c>
      <c r="L423" s="9" t="s">
        <v>539</v>
      </c>
      <c r="M423" s="9" t="str">
        <f t="shared" si="41"/>
        <v>Same</v>
      </c>
      <c r="N423" s="30" t="s">
        <v>1086</v>
      </c>
      <c r="O423" s="30" t="s">
        <v>1086</v>
      </c>
    </row>
    <row r="424" spans="1:15" ht="15" customHeight="1" x14ac:dyDescent="0.2">
      <c r="A424" s="9">
        <v>419</v>
      </c>
      <c r="B424" s="27">
        <f t="shared" si="36"/>
        <v>2046.8978993649243</v>
      </c>
      <c r="C424" s="27">
        <f t="shared" si="37"/>
        <v>8261.2799218368345</v>
      </c>
      <c r="D424" s="28">
        <v>8.26</v>
      </c>
      <c r="E424" s="28">
        <v>8.26</v>
      </c>
      <c r="F424" s="9" t="str">
        <f t="shared" si="38"/>
        <v>Identical</v>
      </c>
      <c r="G424" s="27">
        <f t="shared" si="39"/>
        <v>2046.8978993649243</v>
      </c>
      <c r="H424" s="29">
        <v>2.29</v>
      </c>
      <c r="I424" s="29">
        <v>2.2999999999999998</v>
      </c>
      <c r="J424" s="9" t="str">
        <f t="shared" si="40"/>
        <v>+0.01 A (nearest step)</v>
      </c>
      <c r="K424" s="9" t="s">
        <v>539</v>
      </c>
      <c r="L424" s="9" t="s">
        <v>539</v>
      </c>
      <c r="M424" s="9" t="str">
        <f t="shared" si="41"/>
        <v>Same</v>
      </c>
      <c r="N424" s="30" t="s">
        <v>1086</v>
      </c>
      <c r="O424" s="30" t="s">
        <v>1087</v>
      </c>
    </row>
    <row r="425" spans="1:15" ht="15" customHeight="1" x14ac:dyDescent="0.2">
      <c r="A425" s="9">
        <v>420</v>
      </c>
      <c r="B425" s="27">
        <f t="shared" si="36"/>
        <v>2051.7830972154375</v>
      </c>
      <c r="C425" s="27">
        <f t="shared" si="37"/>
        <v>8280.996580361505</v>
      </c>
      <c r="D425" s="28">
        <v>8.2799999999999994</v>
      </c>
      <c r="E425" s="28">
        <v>8.2799999999999994</v>
      </c>
      <c r="F425" s="9" t="str">
        <f t="shared" si="38"/>
        <v>Identical</v>
      </c>
      <c r="G425" s="27">
        <f t="shared" si="39"/>
        <v>2051.7830972154375</v>
      </c>
      <c r="H425" s="29">
        <v>2.2999999999999998</v>
      </c>
      <c r="I425" s="29">
        <v>2.2999999999999998</v>
      </c>
      <c r="J425" s="9" t="str">
        <f t="shared" si="40"/>
        <v>Identical</v>
      </c>
      <c r="K425" s="9" t="s">
        <v>539</v>
      </c>
      <c r="L425" s="9" t="s">
        <v>539</v>
      </c>
      <c r="M425" s="9" t="str">
        <f t="shared" si="41"/>
        <v>Same</v>
      </c>
      <c r="N425" s="30" t="s">
        <v>1087</v>
      </c>
      <c r="O425" s="30" t="s">
        <v>1087</v>
      </c>
    </row>
    <row r="426" spans="1:15" ht="15" customHeight="1" x14ac:dyDescent="0.2">
      <c r="A426" s="9">
        <v>421</v>
      </c>
      <c r="B426" s="27">
        <f t="shared" si="36"/>
        <v>2056.6682950659506</v>
      </c>
      <c r="C426" s="27">
        <f t="shared" si="37"/>
        <v>8300.7132388861755</v>
      </c>
      <c r="D426" s="28">
        <v>8.3000000000000007</v>
      </c>
      <c r="E426" s="28">
        <v>8.3000000000000007</v>
      </c>
      <c r="F426" s="9" t="str">
        <f t="shared" si="38"/>
        <v>Identical</v>
      </c>
      <c r="G426" s="27">
        <f t="shared" si="39"/>
        <v>2056.6682950659506</v>
      </c>
      <c r="H426" s="29">
        <v>2.31</v>
      </c>
      <c r="I426" s="29">
        <v>2.31</v>
      </c>
      <c r="J426" s="9" t="str">
        <f t="shared" si="40"/>
        <v>Identical</v>
      </c>
      <c r="K426" s="9" t="s">
        <v>539</v>
      </c>
      <c r="L426" s="9" t="s">
        <v>539</v>
      </c>
      <c r="M426" s="9" t="str">
        <f t="shared" si="41"/>
        <v>Same</v>
      </c>
      <c r="N426" s="30" t="s">
        <v>1088</v>
      </c>
      <c r="O426" s="30" t="s">
        <v>1088</v>
      </c>
    </row>
    <row r="427" spans="1:15" ht="15" customHeight="1" x14ac:dyDescent="0.2">
      <c r="A427" s="9">
        <v>422</v>
      </c>
      <c r="B427" s="27">
        <f t="shared" si="36"/>
        <v>2061.5534929164633</v>
      </c>
      <c r="C427" s="27">
        <f t="shared" si="37"/>
        <v>8320.4298974108442</v>
      </c>
      <c r="D427" s="28">
        <v>8.32</v>
      </c>
      <c r="E427" s="28">
        <v>8.32</v>
      </c>
      <c r="F427" s="9" t="str">
        <f t="shared" si="38"/>
        <v>Identical</v>
      </c>
      <c r="G427" s="27">
        <f t="shared" si="39"/>
        <v>2061.5534929164633</v>
      </c>
      <c r="H427" s="29">
        <v>2.31</v>
      </c>
      <c r="I427" s="29">
        <v>2.31</v>
      </c>
      <c r="J427" s="9" t="str">
        <f t="shared" si="40"/>
        <v>Identical</v>
      </c>
      <c r="K427" s="9" t="s">
        <v>539</v>
      </c>
      <c r="L427" s="9" t="s">
        <v>539</v>
      </c>
      <c r="M427" s="9" t="str">
        <f t="shared" si="41"/>
        <v>Same</v>
      </c>
      <c r="N427" s="30" t="s">
        <v>1088</v>
      </c>
      <c r="O427" s="30" t="s">
        <v>1088</v>
      </c>
    </row>
    <row r="428" spans="1:15" ht="15" customHeight="1" x14ac:dyDescent="0.2">
      <c r="A428" s="9">
        <v>423</v>
      </c>
      <c r="B428" s="27">
        <f t="shared" si="36"/>
        <v>2066.4386907669764</v>
      </c>
      <c r="C428" s="27">
        <f t="shared" si="37"/>
        <v>8340.1465559355165</v>
      </c>
      <c r="D428" s="28">
        <v>8.34</v>
      </c>
      <c r="E428" s="28">
        <v>8.34</v>
      </c>
      <c r="F428" s="9" t="str">
        <f t="shared" si="38"/>
        <v>Identical</v>
      </c>
      <c r="G428" s="27">
        <f t="shared" si="39"/>
        <v>2066.4386907669764</v>
      </c>
      <c r="H428" s="29">
        <v>2.3199999999999998</v>
      </c>
      <c r="I428" s="29">
        <v>2.3199999999999998</v>
      </c>
      <c r="J428" s="9" t="str">
        <f t="shared" si="40"/>
        <v>Identical</v>
      </c>
      <c r="K428" s="9" t="s">
        <v>539</v>
      </c>
      <c r="L428" s="9" t="s">
        <v>539</v>
      </c>
      <c r="M428" s="9" t="str">
        <f t="shared" si="41"/>
        <v>Same</v>
      </c>
      <c r="N428" s="30" t="s">
        <v>1089</v>
      </c>
      <c r="O428" s="30" t="s">
        <v>1089</v>
      </c>
    </row>
    <row r="429" spans="1:15" ht="15" customHeight="1" x14ac:dyDescent="0.2">
      <c r="A429" s="9">
        <v>424</v>
      </c>
      <c r="B429" s="27">
        <f t="shared" si="36"/>
        <v>2071.323888617489</v>
      </c>
      <c r="C429" s="27">
        <f t="shared" si="37"/>
        <v>8359.8632144601852</v>
      </c>
      <c r="D429" s="28">
        <v>8.35</v>
      </c>
      <c r="E429" s="28">
        <v>8.36</v>
      </c>
      <c r="F429" s="9" t="str">
        <f t="shared" si="38"/>
        <v>Within 10 mV (calibration line)</v>
      </c>
      <c r="G429" s="27">
        <f t="shared" si="39"/>
        <v>2071.323888617489</v>
      </c>
      <c r="H429" s="29">
        <v>2.3199999999999998</v>
      </c>
      <c r="I429" s="29">
        <v>2.3199999999999998</v>
      </c>
      <c r="J429" s="9" t="str">
        <f t="shared" si="40"/>
        <v>Identical</v>
      </c>
      <c r="K429" s="9" t="s">
        <v>539</v>
      </c>
      <c r="L429" s="9" t="s">
        <v>539</v>
      </c>
      <c r="M429" s="9" t="str">
        <f t="shared" si="41"/>
        <v>Same</v>
      </c>
      <c r="N429" s="30" t="s">
        <v>1089</v>
      </c>
      <c r="O429" s="30" t="s">
        <v>1089</v>
      </c>
    </row>
    <row r="430" spans="1:15" ht="15" customHeight="1" x14ac:dyDescent="0.2">
      <c r="A430" s="9">
        <v>425</v>
      </c>
      <c r="B430" s="27">
        <f t="shared" si="36"/>
        <v>2076.2090864680022</v>
      </c>
      <c r="C430" s="27">
        <f t="shared" si="37"/>
        <v>8379.5798729848557</v>
      </c>
      <c r="D430" s="28">
        <v>8.3699999999999992</v>
      </c>
      <c r="E430" s="28">
        <v>8.3800000000000008</v>
      </c>
      <c r="F430" s="9" t="str">
        <f t="shared" si="38"/>
        <v>Within 10 mV (calibration line)</v>
      </c>
      <c r="G430" s="27">
        <f t="shared" si="39"/>
        <v>2076.2090864680022</v>
      </c>
      <c r="H430" s="29">
        <v>2.33</v>
      </c>
      <c r="I430" s="29">
        <v>2.33</v>
      </c>
      <c r="J430" s="9" t="str">
        <f t="shared" si="40"/>
        <v>Identical</v>
      </c>
      <c r="K430" s="9" t="s">
        <v>539</v>
      </c>
      <c r="L430" s="9" t="s">
        <v>539</v>
      </c>
      <c r="M430" s="9" t="str">
        <f t="shared" si="41"/>
        <v>Same</v>
      </c>
      <c r="N430" s="30" t="s">
        <v>1090</v>
      </c>
      <c r="O430" s="30" t="s">
        <v>1090</v>
      </c>
    </row>
    <row r="431" spans="1:15" ht="15" customHeight="1" x14ac:dyDescent="0.2">
      <c r="A431" s="9">
        <v>426</v>
      </c>
      <c r="B431" s="27">
        <f t="shared" si="36"/>
        <v>2081.0942843185153</v>
      </c>
      <c r="C431" s="27">
        <f t="shared" si="37"/>
        <v>8399.2965315095262</v>
      </c>
      <c r="D431" s="28">
        <v>8.39</v>
      </c>
      <c r="E431" s="28">
        <v>8.39</v>
      </c>
      <c r="F431" s="9" t="str">
        <f t="shared" si="38"/>
        <v>Identical</v>
      </c>
      <c r="G431" s="27">
        <f t="shared" si="39"/>
        <v>2081.0942843185153</v>
      </c>
      <c r="H431" s="29">
        <v>2.34</v>
      </c>
      <c r="I431" s="29">
        <v>2.34</v>
      </c>
      <c r="J431" s="9" t="str">
        <f t="shared" si="40"/>
        <v>Identical</v>
      </c>
      <c r="K431" s="9" t="s">
        <v>539</v>
      </c>
      <c r="L431" s="9" t="s">
        <v>539</v>
      </c>
      <c r="M431" s="9" t="str">
        <f t="shared" si="41"/>
        <v>Same</v>
      </c>
      <c r="N431" s="30" t="s">
        <v>1091</v>
      </c>
      <c r="O431" s="30" t="s">
        <v>1091</v>
      </c>
    </row>
    <row r="432" spans="1:15" ht="15" customHeight="1" x14ac:dyDescent="0.2">
      <c r="A432" s="9">
        <v>427</v>
      </c>
      <c r="B432" s="27">
        <f t="shared" si="36"/>
        <v>2085.979482169028</v>
      </c>
      <c r="C432" s="27">
        <f t="shared" si="37"/>
        <v>8419.0131900341967</v>
      </c>
      <c r="D432" s="28">
        <v>8.41</v>
      </c>
      <c r="E432" s="28">
        <v>8.41</v>
      </c>
      <c r="F432" s="9" t="str">
        <f t="shared" si="38"/>
        <v>Identical</v>
      </c>
      <c r="G432" s="27">
        <f t="shared" si="39"/>
        <v>2085.979482169028</v>
      </c>
      <c r="H432" s="29">
        <v>2.34</v>
      </c>
      <c r="I432" s="29">
        <v>2.34</v>
      </c>
      <c r="J432" s="9" t="str">
        <f t="shared" si="40"/>
        <v>Identical</v>
      </c>
      <c r="K432" s="9" t="s">
        <v>539</v>
      </c>
      <c r="L432" s="9" t="s">
        <v>539</v>
      </c>
      <c r="M432" s="9" t="str">
        <f t="shared" si="41"/>
        <v>Same</v>
      </c>
      <c r="N432" s="30" t="s">
        <v>1091</v>
      </c>
      <c r="O432" s="30" t="s">
        <v>1091</v>
      </c>
    </row>
    <row r="433" spans="1:15" ht="15" customHeight="1" x14ac:dyDescent="0.2">
      <c r="A433" s="9">
        <v>428</v>
      </c>
      <c r="B433" s="27">
        <f t="shared" si="36"/>
        <v>2090.8646800195411</v>
      </c>
      <c r="C433" s="27">
        <f t="shared" si="37"/>
        <v>8438.7298485588672</v>
      </c>
      <c r="D433" s="28">
        <v>8.43</v>
      </c>
      <c r="E433" s="28">
        <v>8.43</v>
      </c>
      <c r="F433" s="9" t="str">
        <f t="shared" si="38"/>
        <v>Identical</v>
      </c>
      <c r="G433" s="27">
        <f t="shared" si="39"/>
        <v>2090.8646800195411</v>
      </c>
      <c r="H433" s="29">
        <v>2.35</v>
      </c>
      <c r="I433" s="29">
        <v>2.35</v>
      </c>
      <c r="J433" s="9" t="str">
        <f t="shared" si="40"/>
        <v>Identical</v>
      </c>
      <c r="K433" s="9" t="s">
        <v>539</v>
      </c>
      <c r="L433" s="9" t="s">
        <v>539</v>
      </c>
      <c r="M433" s="9" t="str">
        <f t="shared" si="41"/>
        <v>Same</v>
      </c>
      <c r="N433" s="30" t="s">
        <v>1092</v>
      </c>
      <c r="O433" s="30" t="s">
        <v>1092</v>
      </c>
    </row>
    <row r="434" spans="1:15" ht="15" customHeight="1" x14ac:dyDescent="0.2">
      <c r="A434" s="9">
        <v>429</v>
      </c>
      <c r="B434" s="27">
        <f t="shared" si="36"/>
        <v>2095.7498778700542</v>
      </c>
      <c r="C434" s="27">
        <f t="shared" si="37"/>
        <v>8458.4465070835377</v>
      </c>
      <c r="D434" s="28">
        <v>8.4499999999999993</v>
      </c>
      <c r="E434" s="28">
        <v>8.4499999999999993</v>
      </c>
      <c r="F434" s="9" t="str">
        <f t="shared" si="38"/>
        <v>Identical</v>
      </c>
      <c r="G434" s="27">
        <f t="shared" si="39"/>
        <v>2095.7498778700542</v>
      </c>
      <c r="H434" s="29">
        <v>2.35</v>
      </c>
      <c r="I434" s="29">
        <v>2.35</v>
      </c>
      <c r="J434" s="9" t="str">
        <f t="shared" si="40"/>
        <v>Identical</v>
      </c>
      <c r="K434" s="9" t="s">
        <v>539</v>
      </c>
      <c r="L434" s="9" t="s">
        <v>539</v>
      </c>
      <c r="M434" s="9" t="str">
        <f t="shared" si="41"/>
        <v>Same</v>
      </c>
      <c r="N434" s="30" t="s">
        <v>1092</v>
      </c>
      <c r="O434" s="30" t="s">
        <v>1092</v>
      </c>
    </row>
    <row r="435" spans="1:15" ht="15" customHeight="1" x14ac:dyDescent="0.2">
      <c r="A435" s="9">
        <v>430</v>
      </c>
      <c r="B435" s="27">
        <f t="shared" si="36"/>
        <v>2100.6350757205669</v>
      </c>
      <c r="C435" s="27">
        <f t="shared" si="37"/>
        <v>8478.1631656082063</v>
      </c>
      <c r="D435" s="28">
        <v>8.4700000000000006</v>
      </c>
      <c r="E435" s="28">
        <v>8.4700000000000006</v>
      </c>
      <c r="F435" s="9" t="str">
        <f t="shared" si="38"/>
        <v>Identical</v>
      </c>
      <c r="G435" s="27">
        <f t="shared" si="39"/>
        <v>2100.6350757205669</v>
      </c>
      <c r="H435" s="29">
        <v>2.36</v>
      </c>
      <c r="I435" s="29">
        <v>2.36</v>
      </c>
      <c r="J435" s="9" t="str">
        <f t="shared" si="40"/>
        <v>Identical</v>
      </c>
      <c r="K435" s="9" t="s">
        <v>539</v>
      </c>
      <c r="L435" s="9" t="s">
        <v>539</v>
      </c>
      <c r="M435" s="9" t="str">
        <f t="shared" si="41"/>
        <v>Same</v>
      </c>
      <c r="N435" s="30" t="s">
        <v>1093</v>
      </c>
      <c r="O435" s="30" t="s">
        <v>1093</v>
      </c>
    </row>
    <row r="436" spans="1:15" ht="15" customHeight="1" x14ac:dyDescent="0.2">
      <c r="A436" s="9">
        <v>431</v>
      </c>
      <c r="B436" s="27">
        <f t="shared" si="36"/>
        <v>2105.52027357108</v>
      </c>
      <c r="C436" s="27">
        <f t="shared" si="37"/>
        <v>8497.8798241328786</v>
      </c>
      <c r="D436" s="28">
        <v>8.49</v>
      </c>
      <c r="E436" s="28">
        <v>8.49</v>
      </c>
      <c r="F436" s="9" t="str">
        <f t="shared" si="38"/>
        <v>Identical</v>
      </c>
      <c r="G436" s="27">
        <f t="shared" si="39"/>
        <v>2105.52027357108</v>
      </c>
      <c r="H436" s="29">
        <v>2.36</v>
      </c>
      <c r="I436" s="29">
        <v>2.36</v>
      </c>
      <c r="J436" s="9" t="str">
        <f t="shared" si="40"/>
        <v>Identical</v>
      </c>
      <c r="K436" s="9" t="s">
        <v>539</v>
      </c>
      <c r="L436" s="9" t="s">
        <v>539</v>
      </c>
      <c r="M436" s="9" t="str">
        <f t="shared" si="41"/>
        <v>Same</v>
      </c>
      <c r="N436" s="30" t="s">
        <v>1093</v>
      </c>
      <c r="O436" s="30" t="s">
        <v>1093</v>
      </c>
    </row>
    <row r="437" spans="1:15" ht="15" customHeight="1" x14ac:dyDescent="0.2">
      <c r="A437" s="9">
        <v>432</v>
      </c>
      <c r="B437" s="27">
        <f t="shared" si="36"/>
        <v>2110.4054714215927</v>
      </c>
      <c r="C437" s="27">
        <f t="shared" si="37"/>
        <v>8517.5964826575473</v>
      </c>
      <c r="D437" s="28">
        <v>8.51</v>
      </c>
      <c r="E437" s="28">
        <v>8.51</v>
      </c>
      <c r="F437" s="9" t="str">
        <f t="shared" si="38"/>
        <v>Identical</v>
      </c>
      <c r="G437" s="27">
        <f t="shared" si="39"/>
        <v>2110.4054714215927</v>
      </c>
      <c r="H437" s="29">
        <v>2.37</v>
      </c>
      <c r="I437" s="29">
        <v>2.37</v>
      </c>
      <c r="J437" s="9" t="str">
        <f t="shared" si="40"/>
        <v>Identical</v>
      </c>
      <c r="K437" s="9" t="s">
        <v>539</v>
      </c>
      <c r="L437" s="9" t="s">
        <v>539</v>
      </c>
      <c r="M437" s="9" t="str">
        <f t="shared" si="41"/>
        <v>Same</v>
      </c>
      <c r="N437" s="30" t="s">
        <v>1094</v>
      </c>
      <c r="O437" s="30" t="s">
        <v>1094</v>
      </c>
    </row>
    <row r="438" spans="1:15" ht="15" customHeight="1" x14ac:dyDescent="0.2">
      <c r="A438" s="9">
        <v>433</v>
      </c>
      <c r="B438" s="27">
        <f t="shared" si="36"/>
        <v>2115.2906692721058</v>
      </c>
      <c r="C438" s="27">
        <f t="shared" si="37"/>
        <v>8537.3131411822178</v>
      </c>
      <c r="D438" s="28">
        <v>8.5299999999999994</v>
      </c>
      <c r="E438" s="28">
        <v>8.5299999999999994</v>
      </c>
      <c r="F438" s="9" t="str">
        <f t="shared" si="38"/>
        <v>Identical</v>
      </c>
      <c r="G438" s="27">
        <f t="shared" si="39"/>
        <v>2115.2906692721058</v>
      </c>
      <c r="H438" s="29">
        <v>2.37</v>
      </c>
      <c r="I438" s="29">
        <v>2.37</v>
      </c>
      <c r="J438" s="9" t="str">
        <f t="shared" si="40"/>
        <v>Identical</v>
      </c>
      <c r="K438" s="9" t="s">
        <v>539</v>
      </c>
      <c r="L438" s="9" t="s">
        <v>539</v>
      </c>
      <c r="M438" s="9" t="str">
        <f t="shared" si="41"/>
        <v>Same</v>
      </c>
      <c r="N438" s="30" t="s">
        <v>1094</v>
      </c>
      <c r="O438" s="30" t="s">
        <v>1094</v>
      </c>
    </row>
    <row r="439" spans="1:15" ht="15" customHeight="1" x14ac:dyDescent="0.2">
      <c r="A439" s="9">
        <v>434</v>
      </c>
      <c r="B439" s="27">
        <f t="shared" si="36"/>
        <v>2120.1758671226189</v>
      </c>
      <c r="C439" s="27">
        <f t="shared" si="37"/>
        <v>8557.0297997068883</v>
      </c>
      <c r="D439" s="28">
        <v>8.5500000000000007</v>
      </c>
      <c r="E439" s="28">
        <v>8.5500000000000007</v>
      </c>
      <c r="F439" s="9" t="str">
        <f t="shared" si="38"/>
        <v>Identical</v>
      </c>
      <c r="G439" s="27">
        <f t="shared" si="39"/>
        <v>2120.1758671226189</v>
      </c>
      <c r="H439" s="29">
        <v>2.38</v>
      </c>
      <c r="I439" s="29">
        <v>2.38</v>
      </c>
      <c r="J439" s="9" t="str">
        <f t="shared" si="40"/>
        <v>Identical</v>
      </c>
      <c r="K439" s="9" t="s">
        <v>539</v>
      </c>
      <c r="L439" s="9" t="s">
        <v>539</v>
      </c>
      <c r="M439" s="9" t="str">
        <f t="shared" si="41"/>
        <v>Same</v>
      </c>
      <c r="N439" s="30" t="s">
        <v>1095</v>
      </c>
      <c r="O439" s="30" t="s">
        <v>1095</v>
      </c>
    </row>
    <row r="440" spans="1:15" ht="15" customHeight="1" x14ac:dyDescent="0.2">
      <c r="A440" s="9">
        <v>435</v>
      </c>
      <c r="B440" s="27">
        <f t="shared" si="36"/>
        <v>2125.0610649731316</v>
      </c>
      <c r="C440" s="27">
        <f t="shared" si="37"/>
        <v>8576.7464582315588</v>
      </c>
      <c r="D440" s="28">
        <v>8.57</v>
      </c>
      <c r="E440" s="28">
        <v>8.57</v>
      </c>
      <c r="F440" s="9" t="str">
        <f t="shared" si="38"/>
        <v>Identical</v>
      </c>
      <c r="G440" s="27">
        <f t="shared" si="39"/>
        <v>2125.0610649731316</v>
      </c>
      <c r="H440" s="29">
        <v>2.39</v>
      </c>
      <c r="I440" s="29">
        <v>2.39</v>
      </c>
      <c r="J440" s="9" t="str">
        <f t="shared" si="40"/>
        <v>Identical</v>
      </c>
      <c r="K440" s="9" t="s">
        <v>539</v>
      </c>
      <c r="L440" s="9" t="s">
        <v>539</v>
      </c>
      <c r="M440" s="9" t="str">
        <f t="shared" si="41"/>
        <v>Same</v>
      </c>
      <c r="N440" s="30" t="s">
        <v>1096</v>
      </c>
      <c r="O440" s="30" t="s">
        <v>1096</v>
      </c>
    </row>
    <row r="441" spans="1:15" ht="15" customHeight="1" x14ac:dyDescent="0.2">
      <c r="A441" s="9">
        <v>436</v>
      </c>
      <c r="B441" s="27">
        <f t="shared" si="36"/>
        <v>2129.9462628236447</v>
      </c>
      <c r="C441" s="27">
        <f t="shared" si="37"/>
        <v>8596.4631167562293</v>
      </c>
      <c r="D441" s="28">
        <v>8.59</v>
      </c>
      <c r="E441" s="28">
        <v>8.59</v>
      </c>
      <c r="F441" s="9" t="str">
        <f t="shared" si="38"/>
        <v>Identical</v>
      </c>
      <c r="G441" s="27">
        <f t="shared" si="39"/>
        <v>2129.9462628236447</v>
      </c>
      <c r="H441" s="29">
        <v>2.39</v>
      </c>
      <c r="I441" s="29">
        <v>2.39</v>
      </c>
      <c r="J441" s="9" t="str">
        <f t="shared" si="40"/>
        <v>Identical</v>
      </c>
      <c r="K441" s="9" t="s">
        <v>539</v>
      </c>
      <c r="L441" s="9" t="s">
        <v>539</v>
      </c>
      <c r="M441" s="9" t="str">
        <f t="shared" si="41"/>
        <v>Same</v>
      </c>
      <c r="N441" s="30" t="s">
        <v>1096</v>
      </c>
      <c r="O441" s="30" t="s">
        <v>1096</v>
      </c>
    </row>
    <row r="442" spans="1:15" ht="15" customHeight="1" x14ac:dyDescent="0.2">
      <c r="A442" s="9">
        <v>437</v>
      </c>
      <c r="B442" s="27">
        <f t="shared" si="36"/>
        <v>2134.8314606741578</v>
      </c>
      <c r="C442" s="27">
        <f t="shared" si="37"/>
        <v>8616.1797752808998</v>
      </c>
      <c r="D442" s="28">
        <v>8.61</v>
      </c>
      <c r="E442" s="28">
        <v>8.61</v>
      </c>
      <c r="F442" s="9" t="str">
        <f t="shared" si="38"/>
        <v>Identical</v>
      </c>
      <c r="G442" s="27">
        <f t="shared" si="39"/>
        <v>2134.8314606741578</v>
      </c>
      <c r="H442" s="29">
        <v>2.4</v>
      </c>
      <c r="I442" s="29">
        <v>2.4</v>
      </c>
      <c r="J442" s="9" t="str">
        <f t="shared" si="40"/>
        <v>Identical</v>
      </c>
      <c r="K442" s="9" t="s">
        <v>539</v>
      </c>
      <c r="L442" s="9" t="s">
        <v>539</v>
      </c>
      <c r="M442" s="9" t="str">
        <f t="shared" si="41"/>
        <v>Same</v>
      </c>
      <c r="N442" s="30" t="s">
        <v>1097</v>
      </c>
      <c r="O442" s="30" t="s">
        <v>1097</v>
      </c>
    </row>
    <row r="443" spans="1:15" ht="15" customHeight="1" x14ac:dyDescent="0.2">
      <c r="A443" s="9">
        <v>438</v>
      </c>
      <c r="B443" s="27">
        <f t="shared" si="36"/>
        <v>2139.7166585246705</v>
      </c>
      <c r="C443" s="27">
        <f t="shared" si="37"/>
        <v>8635.8964338055684</v>
      </c>
      <c r="D443" s="28">
        <v>8.6300000000000008</v>
      </c>
      <c r="E443" s="28">
        <v>8.6300000000000008</v>
      </c>
      <c r="F443" s="9" t="str">
        <f t="shared" si="38"/>
        <v>Identical</v>
      </c>
      <c r="G443" s="27">
        <f t="shared" si="39"/>
        <v>2139.7166585246705</v>
      </c>
      <c r="H443" s="29">
        <v>2.4</v>
      </c>
      <c r="I443" s="29">
        <v>2.4</v>
      </c>
      <c r="J443" s="9" t="str">
        <f t="shared" si="40"/>
        <v>Identical</v>
      </c>
      <c r="K443" s="9" t="s">
        <v>539</v>
      </c>
      <c r="L443" s="9" t="s">
        <v>539</v>
      </c>
      <c r="M443" s="9" t="str">
        <f t="shared" si="41"/>
        <v>Same</v>
      </c>
      <c r="N443" s="30" t="s">
        <v>1097</v>
      </c>
      <c r="O443" s="30" t="s">
        <v>1097</v>
      </c>
    </row>
    <row r="444" spans="1:15" ht="15" customHeight="1" x14ac:dyDescent="0.2">
      <c r="A444" s="9">
        <v>439</v>
      </c>
      <c r="B444" s="27">
        <f t="shared" si="36"/>
        <v>2144.6018563751836</v>
      </c>
      <c r="C444" s="27">
        <f t="shared" si="37"/>
        <v>8655.6130923302408</v>
      </c>
      <c r="D444" s="28">
        <v>8.65</v>
      </c>
      <c r="E444" s="28">
        <v>8.65</v>
      </c>
      <c r="F444" s="9" t="str">
        <f t="shared" si="38"/>
        <v>Identical</v>
      </c>
      <c r="G444" s="27">
        <f t="shared" si="39"/>
        <v>2144.6018563751836</v>
      </c>
      <c r="H444" s="29">
        <v>2.41</v>
      </c>
      <c r="I444" s="29">
        <v>2.41</v>
      </c>
      <c r="J444" s="9" t="str">
        <f t="shared" si="40"/>
        <v>Identical</v>
      </c>
      <c r="K444" s="9" t="s">
        <v>539</v>
      </c>
      <c r="L444" s="9" t="s">
        <v>539</v>
      </c>
      <c r="M444" s="9" t="str">
        <f t="shared" si="41"/>
        <v>Same</v>
      </c>
      <c r="N444" s="30" t="s">
        <v>1098</v>
      </c>
      <c r="O444" s="30" t="s">
        <v>1098</v>
      </c>
    </row>
    <row r="445" spans="1:15" ht="15" customHeight="1" x14ac:dyDescent="0.2">
      <c r="A445" s="9">
        <v>440</v>
      </c>
      <c r="B445" s="27">
        <f t="shared" si="36"/>
        <v>2149.4870542256963</v>
      </c>
      <c r="C445" s="27">
        <f t="shared" si="37"/>
        <v>8675.3297508549094</v>
      </c>
      <c r="D445" s="28">
        <v>8.67</v>
      </c>
      <c r="E445" s="28">
        <v>8.67</v>
      </c>
      <c r="F445" s="9" t="str">
        <f t="shared" si="38"/>
        <v>Identical</v>
      </c>
      <c r="G445" s="27">
        <f t="shared" si="39"/>
        <v>2149.4870542256963</v>
      </c>
      <c r="H445" s="29">
        <v>2.41</v>
      </c>
      <c r="I445" s="29">
        <v>2.41</v>
      </c>
      <c r="J445" s="9" t="str">
        <f t="shared" si="40"/>
        <v>Identical</v>
      </c>
      <c r="K445" s="9" t="s">
        <v>539</v>
      </c>
      <c r="L445" s="9" t="s">
        <v>539</v>
      </c>
      <c r="M445" s="9" t="str">
        <f t="shared" si="41"/>
        <v>Same</v>
      </c>
      <c r="N445" s="30" t="s">
        <v>1098</v>
      </c>
      <c r="O445" s="30" t="s">
        <v>1098</v>
      </c>
    </row>
    <row r="446" spans="1:15" ht="15" customHeight="1" x14ac:dyDescent="0.2">
      <c r="A446" s="9">
        <v>441</v>
      </c>
      <c r="B446" s="27">
        <f t="shared" si="36"/>
        <v>2154.3722520762094</v>
      </c>
      <c r="C446" s="27">
        <f t="shared" si="37"/>
        <v>8695.0464093795799</v>
      </c>
      <c r="D446" s="28">
        <v>8.69</v>
      </c>
      <c r="E446" s="28">
        <v>8.69</v>
      </c>
      <c r="F446" s="9" t="str">
        <f t="shared" si="38"/>
        <v>Identical</v>
      </c>
      <c r="G446" s="27">
        <f t="shared" si="39"/>
        <v>2154.3722520762094</v>
      </c>
      <c r="H446" s="29">
        <v>2.42</v>
      </c>
      <c r="I446" s="29">
        <v>2.42</v>
      </c>
      <c r="J446" s="9" t="str">
        <f t="shared" si="40"/>
        <v>Identical</v>
      </c>
      <c r="K446" s="9" t="s">
        <v>539</v>
      </c>
      <c r="L446" s="9" t="s">
        <v>539</v>
      </c>
      <c r="M446" s="9" t="str">
        <f t="shared" si="41"/>
        <v>Same</v>
      </c>
      <c r="N446" s="30" t="s">
        <v>1099</v>
      </c>
      <c r="O446" s="30" t="s">
        <v>1099</v>
      </c>
    </row>
    <row r="447" spans="1:15" ht="15" customHeight="1" x14ac:dyDescent="0.2">
      <c r="A447" s="9">
        <v>442</v>
      </c>
      <c r="B447" s="27">
        <f t="shared" si="36"/>
        <v>2159.2574499267225</v>
      </c>
      <c r="C447" s="27">
        <f t="shared" si="37"/>
        <v>8714.7630679042504</v>
      </c>
      <c r="D447" s="28">
        <v>8.7100000000000009</v>
      </c>
      <c r="E447" s="28">
        <v>8.7100000000000009</v>
      </c>
      <c r="F447" s="9" t="str">
        <f t="shared" si="38"/>
        <v>Identical</v>
      </c>
      <c r="G447" s="27">
        <f t="shared" si="39"/>
        <v>2159.2574499267225</v>
      </c>
      <c r="H447" s="29">
        <v>2.42</v>
      </c>
      <c r="I447" s="29">
        <v>2.42</v>
      </c>
      <c r="J447" s="9" t="str">
        <f t="shared" si="40"/>
        <v>Identical</v>
      </c>
      <c r="K447" s="9" t="s">
        <v>539</v>
      </c>
      <c r="L447" s="9" t="s">
        <v>539</v>
      </c>
      <c r="M447" s="9" t="str">
        <f t="shared" si="41"/>
        <v>Same</v>
      </c>
      <c r="N447" s="30" t="s">
        <v>1099</v>
      </c>
      <c r="O447" s="30" t="s">
        <v>1099</v>
      </c>
    </row>
    <row r="448" spans="1:15" ht="15" customHeight="1" x14ac:dyDescent="0.2">
      <c r="A448" s="9">
        <v>443</v>
      </c>
      <c r="B448" s="27">
        <f t="shared" si="36"/>
        <v>2164.1426477772352</v>
      </c>
      <c r="C448" s="27">
        <f t="shared" si="37"/>
        <v>8734.4797264289209</v>
      </c>
      <c r="D448" s="28">
        <v>8.73</v>
      </c>
      <c r="E448" s="28">
        <v>8.73</v>
      </c>
      <c r="F448" s="9" t="str">
        <f t="shared" si="38"/>
        <v>Identical</v>
      </c>
      <c r="G448" s="27">
        <f t="shared" si="39"/>
        <v>2164.1426477772352</v>
      </c>
      <c r="H448" s="29">
        <v>2.4300000000000002</v>
      </c>
      <c r="I448" s="29">
        <v>2.4300000000000002</v>
      </c>
      <c r="J448" s="9" t="str">
        <f t="shared" si="40"/>
        <v>Identical</v>
      </c>
      <c r="K448" s="9" t="s">
        <v>539</v>
      </c>
      <c r="L448" s="9" t="s">
        <v>539</v>
      </c>
      <c r="M448" s="9" t="str">
        <f t="shared" si="41"/>
        <v>Same</v>
      </c>
      <c r="N448" s="30" t="s">
        <v>1100</v>
      </c>
      <c r="O448" s="30" t="s">
        <v>1100</v>
      </c>
    </row>
    <row r="449" spans="1:15" ht="15" customHeight="1" x14ac:dyDescent="0.2">
      <c r="A449" s="9">
        <v>444</v>
      </c>
      <c r="B449" s="27">
        <f t="shared" si="36"/>
        <v>2169.0278456277479</v>
      </c>
      <c r="C449" s="27">
        <f t="shared" si="37"/>
        <v>8754.1963849535896</v>
      </c>
      <c r="D449" s="28">
        <v>8.75</v>
      </c>
      <c r="E449" s="28">
        <v>8.75</v>
      </c>
      <c r="F449" s="9" t="str">
        <f t="shared" si="38"/>
        <v>Identical</v>
      </c>
      <c r="G449" s="27">
        <f t="shared" si="39"/>
        <v>2169.0278456277479</v>
      </c>
      <c r="H449" s="29">
        <v>2.4300000000000002</v>
      </c>
      <c r="I449" s="29">
        <v>2.4300000000000002</v>
      </c>
      <c r="J449" s="9" t="str">
        <f t="shared" si="40"/>
        <v>Identical</v>
      </c>
      <c r="K449" s="9" t="s">
        <v>539</v>
      </c>
      <c r="L449" s="9" t="s">
        <v>539</v>
      </c>
      <c r="M449" s="9" t="str">
        <f t="shared" si="41"/>
        <v>Same</v>
      </c>
      <c r="N449" s="30" t="s">
        <v>1100</v>
      </c>
      <c r="O449" s="30" t="s">
        <v>1100</v>
      </c>
    </row>
    <row r="450" spans="1:15" ht="15" customHeight="1" x14ac:dyDescent="0.2">
      <c r="A450" s="9">
        <v>445</v>
      </c>
      <c r="B450" s="27">
        <f t="shared" si="36"/>
        <v>2173.913043478261</v>
      </c>
      <c r="C450" s="27">
        <f t="shared" si="37"/>
        <v>8773.9130434782601</v>
      </c>
      <c r="D450" s="28">
        <v>8.76</v>
      </c>
      <c r="E450" s="28">
        <v>8.77</v>
      </c>
      <c r="F450" s="9" t="str">
        <f t="shared" si="38"/>
        <v>Within 10 mV (calibration line)</v>
      </c>
      <c r="G450" s="27">
        <f t="shared" si="39"/>
        <v>2173.913043478261</v>
      </c>
      <c r="H450" s="29">
        <v>2.44</v>
      </c>
      <c r="I450" s="29">
        <v>2.44</v>
      </c>
      <c r="J450" s="9" t="str">
        <f t="shared" si="40"/>
        <v>Identical</v>
      </c>
      <c r="K450" s="9" t="s">
        <v>539</v>
      </c>
      <c r="L450" s="9" t="s">
        <v>539</v>
      </c>
      <c r="M450" s="9" t="str">
        <f t="shared" si="41"/>
        <v>Same</v>
      </c>
      <c r="N450" s="30" t="s">
        <v>1101</v>
      </c>
      <c r="O450" s="30" t="s">
        <v>1101</v>
      </c>
    </row>
    <row r="451" spans="1:15" ht="15" customHeight="1" x14ac:dyDescent="0.2">
      <c r="A451" s="9">
        <v>446</v>
      </c>
      <c r="B451" s="27">
        <f t="shared" si="36"/>
        <v>2178.7982413287737</v>
      </c>
      <c r="C451" s="27">
        <f t="shared" si="37"/>
        <v>8793.6297020029288</v>
      </c>
      <c r="D451" s="28">
        <v>8.7799999999999994</v>
      </c>
      <c r="E451" s="28">
        <v>8.7899999999999991</v>
      </c>
      <c r="F451" s="9" t="str">
        <f t="shared" si="38"/>
        <v>Within 10 mV (calibration line)</v>
      </c>
      <c r="G451" s="27">
        <f t="shared" si="39"/>
        <v>2178.7982413287737</v>
      </c>
      <c r="H451" s="29">
        <v>2.44</v>
      </c>
      <c r="I451" s="29">
        <v>2.4500000000000002</v>
      </c>
      <c r="J451" s="9" t="str">
        <f t="shared" si="40"/>
        <v>+0.01 A (nearest step)</v>
      </c>
      <c r="K451" s="9" t="s">
        <v>539</v>
      </c>
      <c r="L451" s="9" t="s">
        <v>539</v>
      </c>
      <c r="M451" s="9" t="str">
        <f t="shared" si="41"/>
        <v>Same</v>
      </c>
      <c r="N451" s="30" t="s">
        <v>1101</v>
      </c>
      <c r="O451" s="30" t="s">
        <v>1102</v>
      </c>
    </row>
    <row r="452" spans="1:15" ht="15" customHeight="1" x14ac:dyDescent="0.2">
      <c r="A452" s="9">
        <v>447</v>
      </c>
      <c r="B452" s="27">
        <f t="shared" si="36"/>
        <v>2183.6834391792868</v>
      </c>
      <c r="C452" s="27">
        <f t="shared" si="37"/>
        <v>8813.3463605276011</v>
      </c>
      <c r="D452" s="28">
        <v>8.8000000000000007</v>
      </c>
      <c r="E452" s="28">
        <v>8.81</v>
      </c>
      <c r="F452" s="9" t="str">
        <f t="shared" si="38"/>
        <v>Within 10 mV (calibration line)</v>
      </c>
      <c r="G452" s="27">
        <f t="shared" si="39"/>
        <v>2183.6834391792868</v>
      </c>
      <c r="H452" s="29">
        <v>2.4500000000000002</v>
      </c>
      <c r="I452" s="29">
        <v>2.4500000000000002</v>
      </c>
      <c r="J452" s="9" t="str">
        <f t="shared" si="40"/>
        <v>Identical</v>
      </c>
      <c r="K452" s="9" t="s">
        <v>539</v>
      </c>
      <c r="L452" s="9" t="s">
        <v>539</v>
      </c>
      <c r="M452" s="9" t="str">
        <f t="shared" si="41"/>
        <v>Same</v>
      </c>
      <c r="N452" s="30" t="s">
        <v>1102</v>
      </c>
      <c r="O452" s="30" t="s">
        <v>1102</v>
      </c>
    </row>
    <row r="453" spans="1:15" ht="15" customHeight="1" x14ac:dyDescent="0.2">
      <c r="A453" s="9">
        <v>448</v>
      </c>
      <c r="B453" s="27">
        <f t="shared" ref="B453:B516" si="42">A453/$C$3*1000</f>
        <v>2188.5686370297994</v>
      </c>
      <c r="C453" s="27">
        <f t="shared" ref="C453:C516" si="43">B453*$F$3</f>
        <v>8833.0630190522697</v>
      </c>
      <c r="D453" s="28">
        <v>8.82</v>
      </c>
      <c r="E453" s="28">
        <v>8.83</v>
      </c>
      <c r="F453" s="9" t="str">
        <f t="shared" ref="F453:F516" si="44">IF(D453=E453,"Identical",IF(E453="OL","ADC full scale: now OL",IF(ABS(E453-D453)&lt;0.0105,"Within 10 mV (calibration line)",IF(AND(C453&lt;4200,ABS(E453-D453)&lt;0.0205),"-20 mV (end of old +30 mV band)",IF(C453&lt;830,"Low range fixed (F-02)","Different")))))</f>
        <v>Within 10 mV (calibration line)</v>
      </c>
      <c r="G453" s="27">
        <f t="shared" ref="G453:G516" si="45">B453</f>
        <v>2188.5686370297994</v>
      </c>
      <c r="H453" s="29">
        <v>2.46</v>
      </c>
      <c r="I453" s="29">
        <v>2.46</v>
      </c>
      <c r="J453" s="9" t="str">
        <f t="shared" ref="J453:J516" si="46">IF(H453=I453,"Identical",IF(I453="OL","Above 5.00 A: now OL",IF(H453="ERR (999.23)","Gap bug fixed",IF(ABS(I453-H453-0.01)&lt;0.0001,"+0.01 A (nearest step)","Different"))))</f>
        <v>Identical</v>
      </c>
      <c r="K453" s="9" t="s">
        <v>539</v>
      </c>
      <c r="L453" s="9" t="s">
        <v>539</v>
      </c>
      <c r="M453" s="9" t="str">
        <f t="shared" ref="M453:M516" si="47">IF(K453=L453,"Same","Different")</f>
        <v>Same</v>
      </c>
      <c r="N453" s="30" t="s">
        <v>1103</v>
      </c>
      <c r="O453" s="30" t="s">
        <v>1103</v>
      </c>
    </row>
    <row r="454" spans="1:15" ht="15" customHeight="1" x14ac:dyDescent="0.2">
      <c r="A454" s="9">
        <v>449</v>
      </c>
      <c r="B454" s="27">
        <f t="shared" si="42"/>
        <v>2193.4538348803126</v>
      </c>
      <c r="C454" s="27">
        <f t="shared" si="43"/>
        <v>8852.7796775769402</v>
      </c>
      <c r="D454" s="28">
        <v>8.84</v>
      </c>
      <c r="E454" s="28">
        <v>8.85</v>
      </c>
      <c r="F454" s="9" t="str">
        <f t="shared" si="44"/>
        <v>Within 10 mV (calibration line)</v>
      </c>
      <c r="G454" s="27">
        <f t="shared" si="45"/>
        <v>2193.4538348803126</v>
      </c>
      <c r="H454" s="29">
        <v>2.46</v>
      </c>
      <c r="I454" s="29">
        <v>2.46</v>
      </c>
      <c r="J454" s="9" t="str">
        <f t="shared" si="46"/>
        <v>Identical</v>
      </c>
      <c r="K454" s="9" t="s">
        <v>539</v>
      </c>
      <c r="L454" s="9" t="s">
        <v>539</v>
      </c>
      <c r="M454" s="9" t="str">
        <f t="shared" si="47"/>
        <v>Same</v>
      </c>
      <c r="N454" s="30" t="s">
        <v>1103</v>
      </c>
      <c r="O454" s="30" t="s">
        <v>1103</v>
      </c>
    </row>
    <row r="455" spans="1:15" ht="15" customHeight="1" x14ac:dyDescent="0.2">
      <c r="A455" s="9">
        <v>450</v>
      </c>
      <c r="B455" s="27">
        <f t="shared" si="42"/>
        <v>2198.3390327308257</v>
      </c>
      <c r="C455" s="27">
        <f t="shared" si="43"/>
        <v>8872.4963361016107</v>
      </c>
      <c r="D455" s="28">
        <v>8.86</v>
      </c>
      <c r="E455" s="28">
        <v>8.8699999999999992</v>
      </c>
      <c r="F455" s="9" t="str">
        <f t="shared" si="44"/>
        <v>Within 10 mV (calibration line)</v>
      </c>
      <c r="G455" s="27">
        <f t="shared" si="45"/>
        <v>2198.3390327308257</v>
      </c>
      <c r="H455" s="29">
        <v>2.4700000000000002</v>
      </c>
      <c r="I455" s="29">
        <v>2.4700000000000002</v>
      </c>
      <c r="J455" s="9" t="str">
        <f t="shared" si="46"/>
        <v>Identical</v>
      </c>
      <c r="K455" s="9" t="s">
        <v>539</v>
      </c>
      <c r="L455" s="9" t="s">
        <v>539</v>
      </c>
      <c r="M455" s="9" t="str">
        <f t="shared" si="47"/>
        <v>Same</v>
      </c>
      <c r="N455" s="30" t="s">
        <v>1104</v>
      </c>
      <c r="O455" s="30" t="s">
        <v>1104</v>
      </c>
    </row>
    <row r="456" spans="1:15" ht="15" customHeight="1" x14ac:dyDescent="0.2">
      <c r="A456" s="9">
        <v>451</v>
      </c>
      <c r="B456" s="27">
        <f t="shared" si="42"/>
        <v>2203.2242305813384</v>
      </c>
      <c r="C456" s="27">
        <f t="shared" si="43"/>
        <v>8892.2129946262812</v>
      </c>
      <c r="D456" s="28">
        <v>8.8800000000000008</v>
      </c>
      <c r="E456" s="28">
        <v>8.89</v>
      </c>
      <c r="F456" s="9" t="str">
        <f t="shared" si="44"/>
        <v>Within 10 mV (calibration line)</v>
      </c>
      <c r="G456" s="27">
        <f t="shared" si="45"/>
        <v>2203.2242305813384</v>
      </c>
      <c r="H456" s="29">
        <v>2.4700000000000002</v>
      </c>
      <c r="I456" s="29">
        <v>2.4700000000000002</v>
      </c>
      <c r="J456" s="9" t="str">
        <f t="shared" si="46"/>
        <v>Identical</v>
      </c>
      <c r="K456" s="9" t="s">
        <v>539</v>
      </c>
      <c r="L456" s="9" t="s">
        <v>539</v>
      </c>
      <c r="M456" s="9" t="str">
        <f t="shared" si="47"/>
        <v>Same</v>
      </c>
      <c r="N456" s="30" t="s">
        <v>1104</v>
      </c>
      <c r="O456" s="30" t="s">
        <v>1104</v>
      </c>
    </row>
    <row r="457" spans="1:15" ht="15" customHeight="1" x14ac:dyDescent="0.2">
      <c r="A457" s="9">
        <v>452</v>
      </c>
      <c r="B457" s="27">
        <f t="shared" si="42"/>
        <v>2208.1094284318515</v>
      </c>
      <c r="C457" s="27">
        <f t="shared" si="43"/>
        <v>8911.9296531509517</v>
      </c>
      <c r="D457" s="28">
        <v>8.9</v>
      </c>
      <c r="E457" s="28">
        <v>8.91</v>
      </c>
      <c r="F457" s="9" t="str">
        <f t="shared" si="44"/>
        <v>Within 10 mV (calibration line)</v>
      </c>
      <c r="G457" s="27">
        <f t="shared" si="45"/>
        <v>2208.1094284318515</v>
      </c>
      <c r="H457" s="29">
        <v>2.48</v>
      </c>
      <c r="I457" s="29">
        <v>2.48</v>
      </c>
      <c r="J457" s="9" t="str">
        <f t="shared" si="46"/>
        <v>Identical</v>
      </c>
      <c r="K457" s="9" t="s">
        <v>539</v>
      </c>
      <c r="L457" s="9" t="s">
        <v>539</v>
      </c>
      <c r="M457" s="9" t="str">
        <f t="shared" si="47"/>
        <v>Same</v>
      </c>
      <c r="N457" s="30" t="s">
        <v>1105</v>
      </c>
      <c r="O457" s="30" t="s">
        <v>1105</v>
      </c>
    </row>
    <row r="458" spans="1:15" ht="15" customHeight="1" x14ac:dyDescent="0.2">
      <c r="A458" s="9">
        <v>453</v>
      </c>
      <c r="B458" s="27">
        <f t="shared" si="42"/>
        <v>2212.9946262823646</v>
      </c>
      <c r="C458" s="27">
        <f t="shared" si="43"/>
        <v>8931.6463116756222</v>
      </c>
      <c r="D458" s="28">
        <v>8.92</v>
      </c>
      <c r="E458" s="28">
        <v>8.92</v>
      </c>
      <c r="F458" s="9" t="str">
        <f t="shared" si="44"/>
        <v>Identical</v>
      </c>
      <c r="G458" s="27">
        <f t="shared" si="45"/>
        <v>2212.9946262823646</v>
      </c>
      <c r="H458" s="29">
        <v>2.48</v>
      </c>
      <c r="I458" s="29">
        <v>2.48</v>
      </c>
      <c r="J458" s="9" t="str">
        <f t="shared" si="46"/>
        <v>Identical</v>
      </c>
      <c r="K458" s="9" t="s">
        <v>539</v>
      </c>
      <c r="L458" s="9" t="s">
        <v>539</v>
      </c>
      <c r="M458" s="9" t="str">
        <f t="shared" si="47"/>
        <v>Same</v>
      </c>
      <c r="N458" s="30" t="s">
        <v>1105</v>
      </c>
      <c r="O458" s="30" t="s">
        <v>1105</v>
      </c>
    </row>
    <row r="459" spans="1:15" ht="15" customHeight="1" x14ac:dyDescent="0.2">
      <c r="A459" s="9">
        <v>454</v>
      </c>
      <c r="B459" s="27">
        <f t="shared" si="42"/>
        <v>2217.8798241328773</v>
      </c>
      <c r="C459" s="27">
        <f t="shared" si="43"/>
        <v>8951.3629702002909</v>
      </c>
      <c r="D459" s="28">
        <v>8.94</v>
      </c>
      <c r="E459" s="28">
        <v>8.94</v>
      </c>
      <c r="F459" s="9" t="str">
        <f t="shared" si="44"/>
        <v>Identical</v>
      </c>
      <c r="G459" s="27">
        <f t="shared" si="45"/>
        <v>2217.8798241328773</v>
      </c>
      <c r="H459" s="29">
        <v>2.4900000000000002</v>
      </c>
      <c r="I459" s="29">
        <v>2.4900000000000002</v>
      </c>
      <c r="J459" s="9" t="str">
        <f t="shared" si="46"/>
        <v>Identical</v>
      </c>
      <c r="K459" s="9" t="s">
        <v>539</v>
      </c>
      <c r="L459" s="9" t="s">
        <v>539</v>
      </c>
      <c r="M459" s="9" t="str">
        <f t="shared" si="47"/>
        <v>Same</v>
      </c>
      <c r="N459" s="30" t="s">
        <v>1106</v>
      </c>
      <c r="O459" s="30" t="s">
        <v>1106</v>
      </c>
    </row>
    <row r="460" spans="1:15" ht="15" customHeight="1" x14ac:dyDescent="0.2">
      <c r="A460" s="9">
        <v>455</v>
      </c>
      <c r="B460" s="27">
        <f t="shared" si="42"/>
        <v>2222.7650219833904</v>
      </c>
      <c r="C460" s="27">
        <f t="shared" si="43"/>
        <v>8971.0796287249632</v>
      </c>
      <c r="D460" s="28">
        <v>8.9600000000000009</v>
      </c>
      <c r="E460" s="28">
        <v>8.9600000000000009</v>
      </c>
      <c r="F460" s="9" t="str">
        <f t="shared" si="44"/>
        <v>Identical</v>
      </c>
      <c r="G460" s="27">
        <f t="shared" si="45"/>
        <v>2222.7650219833904</v>
      </c>
      <c r="H460" s="29" t="s">
        <v>1107</v>
      </c>
      <c r="I460" s="29">
        <v>2.4900000000000002</v>
      </c>
      <c r="J460" s="9" t="str">
        <f t="shared" si="46"/>
        <v>Gap bug fixed</v>
      </c>
      <c r="K460" s="9" t="s">
        <v>535</v>
      </c>
      <c r="L460" s="9" t="s">
        <v>539</v>
      </c>
      <c r="M460" s="9" t="str">
        <f t="shared" si="47"/>
        <v>Different</v>
      </c>
      <c r="N460" s="30" t="s">
        <v>1108</v>
      </c>
      <c r="O460" s="30" t="s">
        <v>1106</v>
      </c>
    </row>
    <row r="461" spans="1:15" ht="15" customHeight="1" x14ac:dyDescent="0.2">
      <c r="A461" s="9">
        <v>456</v>
      </c>
      <c r="B461" s="27">
        <f t="shared" si="42"/>
        <v>2227.6502198339031</v>
      </c>
      <c r="C461" s="27">
        <f t="shared" si="43"/>
        <v>8990.7962872496319</v>
      </c>
      <c r="D461" s="28">
        <v>8.98</v>
      </c>
      <c r="E461" s="28">
        <v>8.98</v>
      </c>
      <c r="F461" s="9" t="str">
        <f t="shared" si="44"/>
        <v>Identical</v>
      </c>
      <c r="G461" s="27">
        <f t="shared" si="45"/>
        <v>2227.6502198339031</v>
      </c>
      <c r="H461" s="29" t="s">
        <v>1107</v>
      </c>
      <c r="I461" s="29">
        <v>2.5</v>
      </c>
      <c r="J461" s="9" t="str">
        <f t="shared" si="46"/>
        <v>Gap bug fixed</v>
      </c>
      <c r="K461" s="9" t="s">
        <v>535</v>
      </c>
      <c r="L461" s="9" t="s">
        <v>539</v>
      </c>
      <c r="M461" s="9" t="str">
        <f t="shared" si="47"/>
        <v>Different</v>
      </c>
      <c r="N461" s="30" t="s">
        <v>1108</v>
      </c>
      <c r="O461" s="30" t="s">
        <v>1109</v>
      </c>
    </row>
    <row r="462" spans="1:15" ht="15" customHeight="1" x14ac:dyDescent="0.2">
      <c r="A462" s="9">
        <v>457</v>
      </c>
      <c r="B462" s="27">
        <f t="shared" si="42"/>
        <v>2232.5354176844162</v>
      </c>
      <c r="C462" s="27">
        <f t="shared" si="43"/>
        <v>9010.5129457743024</v>
      </c>
      <c r="D462" s="28">
        <v>9</v>
      </c>
      <c r="E462" s="28">
        <v>9</v>
      </c>
      <c r="F462" s="9" t="str">
        <f t="shared" si="44"/>
        <v>Identical</v>
      </c>
      <c r="G462" s="27">
        <f t="shared" si="45"/>
        <v>2232.5354176844162</v>
      </c>
      <c r="H462" s="29">
        <v>2.5</v>
      </c>
      <c r="I462" s="29">
        <v>2.5099999999999998</v>
      </c>
      <c r="J462" s="9" t="str">
        <f t="shared" si="46"/>
        <v>+0.01 A (nearest step)</v>
      </c>
      <c r="K462" s="9" t="s">
        <v>539</v>
      </c>
      <c r="L462" s="9" t="s">
        <v>539</v>
      </c>
      <c r="M462" s="9" t="str">
        <f t="shared" si="47"/>
        <v>Same</v>
      </c>
      <c r="N462" s="30" t="s">
        <v>1110</v>
      </c>
      <c r="O462" s="30" t="s">
        <v>1111</v>
      </c>
    </row>
    <row r="463" spans="1:15" ht="15" customHeight="1" x14ac:dyDescent="0.2">
      <c r="A463" s="9">
        <v>458</v>
      </c>
      <c r="B463" s="27">
        <f t="shared" si="42"/>
        <v>2237.4206155349293</v>
      </c>
      <c r="C463" s="27">
        <f t="shared" si="43"/>
        <v>9030.2296042989747</v>
      </c>
      <c r="D463" s="28">
        <v>9.02</v>
      </c>
      <c r="E463" s="28">
        <v>9.02</v>
      </c>
      <c r="F463" s="9" t="str">
        <f t="shared" si="44"/>
        <v>Identical</v>
      </c>
      <c r="G463" s="27">
        <f t="shared" si="45"/>
        <v>2237.4206155349293</v>
      </c>
      <c r="H463" s="29">
        <v>2.5099999999999998</v>
      </c>
      <c r="I463" s="29">
        <v>2.5099999999999998</v>
      </c>
      <c r="J463" s="9" t="str">
        <f t="shared" si="46"/>
        <v>Identical</v>
      </c>
      <c r="K463" s="9" t="s">
        <v>539</v>
      </c>
      <c r="L463" s="9" t="s">
        <v>539</v>
      </c>
      <c r="M463" s="9" t="str">
        <f t="shared" si="47"/>
        <v>Same</v>
      </c>
      <c r="N463" s="30" t="s">
        <v>1112</v>
      </c>
      <c r="O463" s="30" t="s">
        <v>1111</v>
      </c>
    </row>
    <row r="464" spans="1:15" ht="15" customHeight="1" x14ac:dyDescent="0.2">
      <c r="A464" s="9">
        <v>459</v>
      </c>
      <c r="B464" s="27">
        <f t="shared" si="42"/>
        <v>2242.305813385442</v>
      </c>
      <c r="C464" s="27">
        <f t="shared" si="43"/>
        <v>9049.9462628236433</v>
      </c>
      <c r="D464" s="28">
        <v>9.0299999999999994</v>
      </c>
      <c r="E464" s="28">
        <v>9.0399999999999991</v>
      </c>
      <c r="F464" s="9" t="str">
        <f t="shared" si="44"/>
        <v>Within 10 mV (calibration line)</v>
      </c>
      <c r="G464" s="27">
        <f t="shared" si="45"/>
        <v>2242.305813385442</v>
      </c>
      <c r="H464" s="29">
        <v>2.52</v>
      </c>
      <c r="I464" s="29">
        <v>2.52</v>
      </c>
      <c r="J464" s="9" t="str">
        <f t="shared" si="46"/>
        <v>Identical</v>
      </c>
      <c r="K464" s="9" t="s">
        <v>539</v>
      </c>
      <c r="L464" s="9" t="s">
        <v>539</v>
      </c>
      <c r="M464" s="9" t="str">
        <f t="shared" si="47"/>
        <v>Same</v>
      </c>
      <c r="N464" s="30" t="s">
        <v>1113</v>
      </c>
      <c r="O464" s="30" t="s">
        <v>1114</v>
      </c>
    </row>
    <row r="465" spans="1:15" ht="15" customHeight="1" x14ac:dyDescent="0.2">
      <c r="A465" s="9">
        <v>460</v>
      </c>
      <c r="B465" s="27">
        <f t="shared" si="42"/>
        <v>2247.1910112359551</v>
      </c>
      <c r="C465" s="27">
        <f t="shared" si="43"/>
        <v>9069.6629213483138</v>
      </c>
      <c r="D465" s="28">
        <v>9.0500000000000007</v>
      </c>
      <c r="E465" s="28">
        <v>9.06</v>
      </c>
      <c r="F465" s="9" t="str">
        <f t="shared" si="44"/>
        <v>Within 10 mV (calibration line)</v>
      </c>
      <c r="G465" s="27">
        <f t="shared" si="45"/>
        <v>2247.1910112359551</v>
      </c>
      <c r="H465" s="29">
        <v>2.52</v>
      </c>
      <c r="I465" s="29">
        <v>2.52</v>
      </c>
      <c r="J465" s="9" t="str">
        <f t="shared" si="46"/>
        <v>Identical</v>
      </c>
      <c r="K465" s="9" t="s">
        <v>539</v>
      </c>
      <c r="L465" s="9" t="s">
        <v>539</v>
      </c>
      <c r="M465" s="9" t="str">
        <f t="shared" si="47"/>
        <v>Same</v>
      </c>
      <c r="N465" s="30" t="s">
        <v>1113</v>
      </c>
      <c r="O465" s="30" t="s">
        <v>1114</v>
      </c>
    </row>
    <row r="466" spans="1:15" ht="15" customHeight="1" x14ac:dyDescent="0.2">
      <c r="A466" s="9">
        <v>461</v>
      </c>
      <c r="B466" s="27">
        <f t="shared" si="42"/>
        <v>2252.0762090864682</v>
      </c>
      <c r="C466" s="27">
        <f t="shared" si="43"/>
        <v>9089.3795798729843</v>
      </c>
      <c r="D466" s="28">
        <v>9.07</v>
      </c>
      <c r="E466" s="28">
        <v>9.08</v>
      </c>
      <c r="F466" s="9" t="str">
        <f t="shared" si="44"/>
        <v>Within 10 mV (calibration line)</v>
      </c>
      <c r="G466" s="27">
        <f t="shared" si="45"/>
        <v>2252.0762090864682</v>
      </c>
      <c r="H466" s="29">
        <v>2.5299999999999998</v>
      </c>
      <c r="I466" s="29">
        <v>2.5299999999999998</v>
      </c>
      <c r="J466" s="9" t="str">
        <f t="shared" si="46"/>
        <v>Identical</v>
      </c>
      <c r="K466" s="9" t="s">
        <v>539</v>
      </c>
      <c r="L466" s="9" t="s">
        <v>539</v>
      </c>
      <c r="M466" s="9" t="str">
        <f t="shared" si="47"/>
        <v>Same</v>
      </c>
      <c r="N466" s="30" t="s">
        <v>1115</v>
      </c>
      <c r="O466" s="30" t="s">
        <v>1116</v>
      </c>
    </row>
    <row r="467" spans="1:15" ht="15" customHeight="1" x14ac:dyDescent="0.2">
      <c r="A467" s="9">
        <v>462</v>
      </c>
      <c r="B467" s="27">
        <f t="shared" si="42"/>
        <v>2256.9614069369809</v>
      </c>
      <c r="C467" s="27">
        <f t="shared" si="43"/>
        <v>9109.0962383976548</v>
      </c>
      <c r="D467" s="28">
        <v>9.09</v>
      </c>
      <c r="E467" s="28">
        <v>9.1</v>
      </c>
      <c r="F467" s="9" t="str">
        <f t="shared" si="44"/>
        <v>Within 10 mV (calibration line)</v>
      </c>
      <c r="G467" s="27">
        <f t="shared" si="45"/>
        <v>2256.9614069369809</v>
      </c>
      <c r="H467" s="29">
        <v>2.5299999999999998</v>
      </c>
      <c r="I467" s="29">
        <v>2.5299999999999998</v>
      </c>
      <c r="J467" s="9" t="str">
        <f t="shared" si="46"/>
        <v>Identical</v>
      </c>
      <c r="K467" s="9" t="s">
        <v>539</v>
      </c>
      <c r="L467" s="9" t="s">
        <v>539</v>
      </c>
      <c r="M467" s="9" t="str">
        <f t="shared" si="47"/>
        <v>Same</v>
      </c>
      <c r="N467" s="30" t="s">
        <v>1115</v>
      </c>
      <c r="O467" s="30" t="s">
        <v>1116</v>
      </c>
    </row>
    <row r="468" spans="1:15" ht="15" customHeight="1" x14ac:dyDescent="0.2">
      <c r="A468" s="9">
        <v>463</v>
      </c>
      <c r="B468" s="27">
        <f t="shared" si="42"/>
        <v>2261.846604787494</v>
      </c>
      <c r="C468" s="27">
        <f t="shared" si="43"/>
        <v>9128.8128969223253</v>
      </c>
      <c r="D468" s="28">
        <v>9.11</v>
      </c>
      <c r="E468" s="28">
        <v>9.1199999999999992</v>
      </c>
      <c r="F468" s="9" t="str">
        <f t="shared" si="44"/>
        <v>Within 10 mV (calibration line)</v>
      </c>
      <c r="G468" s="27">
        <f t="shared" si="45"/>
        <v>2261.846604787494</v>
      </c>
      <c r="H468" s="29">
        <v>2.54</v>
      </c>
      <c r="I468" s="29">
        <v>2.54</v>
      </c>
      <c r="J468" s="9" t="str">
        <f t="shared" si="46"/>
        <v>Identical</v>
      </c>
      <c r="K468" s="9" t="s">
        <v>539</v>
      </c>
      <c r="L468" s="9" t="s">
        <v>539</v>
      </c>
      <c r="M468" s="9" t="str">
        <f t="shared" si="47"/>
        <v>Same</v>
      </c>
      <c r="N468" s="30" t="s">
        <v>1117</v>
      </c>
      <c r="O468" s="30" t="s">
        <v>1118</v>
      </c>
    </row>
    <row r="469" spans="1:15" ht="15" customHeight="1" x14ac:dyDescent="0.2">
      <c r="A469" s="9">
        <v>464</v>
      </c>
      <c r="B469" s="27">
        <f t="shared" si="42"/>
        <v>2266.7318026380067</v>
      </c>
      <c r="C469" s="27">
        <f t="shared" si="43"/>
        <v>9148.529555446994</v>
      </c>
      <c r="D469" s="28">
        <v>9.1300000000000008</v>
      </c>
      <c r="E469" s="28">
        <v>9.14</v>
      </c>
      <c r="F469" s="9" t="str">
        <f t="shared" si="44"/>
        <v>Within 10 mV (calibration line)</v>
      </c>
      <c r="G469" s="27">
        <f t="shared" si="45"/>
        <v>2266.7318026380067</v>
      </c>
      <c r="H469" s="29">
        <v>2.54</v>
      </c>
      <c r="I469" s="29">
        <v>2.54</v>
      </c>
      <c r="J469" s="9" t="str">
        <f t="shared" si="46"/>
        <v>Identical</v>
      </c>
      <c r="K469" s="9" t="s">
        <v>539</v>
      </c>
      <c r="L469" s="9" t="s">
        <v>539</v>
      </c>
      <c r="M469" s="9" t="str">
        <f t="shared" si="47"/>
        <v>Same</v>
      </c>
      <c r="N469" s="30" t="s">
        <v>1117</v>
      </c>
      <c r="O469" s="30" t="s">
        <v>1118</v>
      </c>
    </row>
    <row r="470" spans="1:15" ht="15" customHeight="1" x14ac:dyDescent="0.2">
      <c r="A470" s="9">
        <v>465</v>
      </c>
      <c r="B470" s="27">
        <f t="shared" si="42"/>
        <v>2271.6170004885198</v>
      </c>
      <c r="C470" s="27">
        <f t="shared" si="43"/>
        <v>9168.2462139716645</v>
      </c>
      <c r="D470" s="28">
        <v>9.15</v>
      </c>
      <c r="E470" s="28">
        <v>9.16</v>
      </c>
      <c r="F470" s="9" t="str">
        <f t="shared" si="44"/>
        <v>Within 10 mV (calibration line)</v>
      </c>
      <c r="G470" s="27">
        <f t="shared" si="45"/>
        <v>2271.6170004885198</v>
      </c>
      <c r="H470" s="29">
        <v>2.5499999999999998</v>
      </c>
      <c r="I470" s="29">
        <v>2.5499999999999998</v>
      </c>
      <c r="J470" s="9" t="str">
        <f t="shared" si="46"/>
        <v>Identical</v>
      </c>
      <c r="K470" s="9" t="s">
        <v>539</v>
      </c>
      <c r="L470" s="9" t="s">
        <v>539</v>
      </c>
      <c r="M470" s="9" t="str">
        <f t="shared" si="47"/>
        <v>Same</v>
      </c>
      <c r="N470" s="30" t="s">
        <v>1119</v>
      </c>
      <c r="O470" s="30" t="s">
        <v>1120</v>
      </c>
    </row>
    <row r="471" spans="1:15" ht="15" customHeight="1" x14ac:dyDescent="0.2">
      <c r="A471" s="9">
        <v>466</v>
      </c>
      <c r="B471" s="27">
        <f t="shared" si="42"/>
        <v>2276.5021983390329</v>
      </c>
      <c r="C471" s="27">
        <f t="shared" si="43"/>
        <v>9187.9628724963368</v>
      </c>
      <c r="D471" s="28">
        <v>9.17</v>
      </c>
      <c r="E471" s="28">
        <v>9.18</v>
      </c>
      <c r="F471" s="9" t="str">
        <f t="shared" si="44"/>
        <v>Within 10 mV (calibration line)</v>
      </c>
      <c r="G471" s="27">
        <f t="shared" si="45"/>
        <v>2276.5021983390329</v>
      </c>
      <c r="H471" s="29">
        <v>2.5499999999999998</v>
      </c>
      <c r="I471" s="29">
        <v>2.56</v>
      </c>
      <c r="J471" s="9" t="str">
        <f t="shared" si="46"/>
        <v>+0.01 A (nearest step)</v>
      </c>
      <c r="K471" s="9" t="s">
        <v>539</v>
      </c>
      <c r="L471" s="9" t="s">
        <v>539</v>
      </c>
      <c r="M471" s="9" t="str">
        <f t="shared" si="47"/>
        <v>Same</v>
      </c>
      <c r="N471" s="30" t="s">
        <v>1119</v>
      </c>
      <c r="O471" s="30" t="s">
        <v>1121</v>
      </c>
    </row>
    <row r="472" spans="1:15" ht="15" customHeight="1" x14ac:dyDescent="0.2">
      <c r="A472" s="9">
        <v>467</v>
      </c>
      <c r="B472" s="27">
        <f t="shared" si="42"/>
        <v>2281.3873961895456</v>
      </c>
      <c r="C472" s="27">
        <f t="shared" si="43"/>
        <v>9207.6795310210055</v>
      </c>
      <c r="D472" s="28">
        <v>9.19</v>
      </c>
      <c r="E472" s="28">
        <v>9.1999999999999993</v>
      </c>
      <c r="F472" s="9" t="str">
        <f t="shared" si="44"/>
        <v>Within 10 mV (calibration line)</v>
      </c>
      <c r="G472" s="27">
        <f t="shared" si="45"/>
        <v>2281.3873961895456</v>
      </c>
      <c r="H472" s="29">
        <v>2.56</v>
      </c>
      <c r="I472" s="29">
        <v>2.56</v>
      </c>
      <c r="J472" s="9" t="str">
        <f t="shared" si="46"/>
        <v>Identical</v>
      </c>
      <c r="K472" s="9" t="s">
        <v>539</v>
      </c>
      <c r="L472" s="9" t="s">
        <v>539</v>
      </c>
      <c r="M472" s="9" t="str">
        <f t="shared" si="47"/>
        <v>Same</v>
      </c>
      <c r="N472" s="30" t="s">
        <v>1122</v>
      </c>
      <c r="O472" s="30" t="s">
        <v>1121</v>
      </c>
    </row>
    <row r="473" spans="1:15" ht="15" customHeight="1" x14ac:dyDescent="0.2">
      <c r="A473" s="9">
        <v>468</v>
      </c>
      <c r="B473" s="27">
        <f t="shared" si="42"/>
        <v>2286.2725940400587</v>
      </c>
      <c r="C473" s="27">
        <f t="shared" si="43"/>
        <v>9227.396189545676</v>
      </c>
      <c r="D473" s="28">
        <v>9.2100000000000009</v>
      </c>
      <c r="E473" s="28">
        <v>9.2200000000000006</v>
      </c>
      <c r="F473" s="9" t="str">
        <f t="shared" si="44"/>
        <v>Within 10 mV (calibration line)</v>
      </c>
      <c r="G473" s="27">
        <f t="shared" si="45"/>
        <v>2286.2725940400587</v>
      </c>
      <c r="H473" s="29">
        <v>2.57</v>
      </c>
      <c r="I473" s="29">
        <v>2.57</v>
      </c>
      <c r="J473" s="9" t="str">
        <f t="shared" si="46"/>
        <v>Identical</v>
      </c>
      <c r="K473" s="9" t="s">
        <v>539</v>
      </c>
      <c r="L473" s="9" t="s">
        <v>539</v>
      </c>
      <c r="M473" s="9" t="str">
        <f t="shared" si="47"/>
        <v>Same</v>
      </c>
      <c r="N473" s="30" t="s">
        <v>1123</v>
      </c>
      <c r="O473" s="30" t="s">
        <v>1124</v>
      </c>
    </row>
    <row r="474" spans="1:15" ht="15" customHeight="1" x14ac:dyDescent="0.2">
      <c r="A474" s="9">
        <v>469</v>
      </c>
      <c r="B474" s="27">
        <f t="shared" si="42"/>
        <v>2291.1577918905718</v>
      </c>
      <c r="C474" s="27">
        <f t="shared" si="43"/>
        <v>9247.1128480703464</v>
      </c>
      <c r="D474" s="28">
        <v>9.23</v>
      </c>
      <c r="E474" s="28">
        <v>9.24</v>
      </c>
      <c r="F474" s="9" t="str">
        <f t="shared" si="44"/>
        <v>Within 10 mV (calibration line)</v>
      </c>
      <c r="G474" s="27">
        <f t="shared" si="45"/>
        <v>2291.1577918905718</v>
      </c>
      <c r="H474" s="29">
        <v>2.57</v>
      </c>
      <c r="I474" s="29">
        <v>2.57</v>
      </c>
      <c r="J474" s="9" t="str">
        <f t="shared" si="46"/>
        <v>Identical</v>
      </c>
      <c r="K474" s="9" t="s">
        <v>539</v>
      </c>
      <c r="L474" s="9" t="s">
        <v>539</v>
      </c>
      <c r="M474" s="9" t="str">
        <f t="shared" si="47"/>
        <v>Same</v>
      </c>
      <c r="N474" s="30" t="s">
        <v>1123</v>
      </c>
      <c r="O474" s="30" t="s">
        <v>1124</v>
      </c>
    </row>
    <row r="475" spans="1:15" ht="15" customHeight="1" x14ac:dyDescent="0.2">
      <c r="A475" s="9">
        <v>470</v>
      </c>
      <c r="B475" s="27">
        <f t="shared" si="42"/>
        <v>2296.0429897410845</v>
      </c>
      <c r="C475" s="27">
        <f t="shared" si="43"/>
        <v>9266.8295065950169</v>
      </c>
      <c r="D475" s="28">
        <v>9.25</v>
      </c>
      <c r="E475" s="28">
        <v>9.26</v>
      </c>
      <c r="F475" s="9" t="str">
        <f t="shared" si="44"/>
        <v>Within 10 mV (calibration line)</v>
      </c>
      <c r="G475" s="27">
        <f t="shared" si="45"/>
        <v>2296.0429897410845</v>
      </c>
      <c r="H475" s="29">
        <v>2.58</v>
      </c>
      <c r="I475" s="29">
        <v>2.58</v>
      </c>
      <c r="J475" s="9" t="str">
        <f t="shared" si="46"/>
        <v>Identical</v>
      </c>
      <c r="K475" s="9" t="s">
        <v>539</v>
      </c>
      <c r="L475" s="9" t="s">
        <v>539</v>
      </c>
      <c r="M475" s="9" t="str">
        <f t="shared" si="47"/>
        <v>Same</v>
      </c>
      <c r="N475" s="30" t="s">
        <v>1125</v>
      </c>
      <c r="O475" s="30" t="s">
        <v>1126</v>
      </c>
    </row>
    <row r="476" spans="1:15" ht="15" customHeight="1" x14ac:dyDescent="0.2">
      <c r="A476" s="9">
        <v>471</v>
      </c>
      <c r="B476" s="27">
        <f t="shared" si="42"/>
        <v>2300.9281875915976</v>
      </c>
      <c r="C476" s="27">
        <f t="shared" si="43"/>
        <v>9286.5461651196874</v>
      </c>
      <c r="D476" s="28">
        <v>9.27</v>
      </c>
      <c r="E476" s="28">
        <v>9.2799999999999994</v>
      </c>
      <c r="F476" s="9" t="str">
        <f t="shared" si="44"/>
        <v>Within 10 mV (calibration line)</v>
      </c>
      <c r="G476" s="27">
        <f t="shared" si="45"/>
        <v>2300.9281875915976</v>
      </c>
      <c r="H476" s="29">
        <v>2.58</v>
      </c>
      <c r="I476" s="29">
        <v>2.58</v>
      </c>
      <c r="J476" s="9" t="str">
        <f t="shared" si="46"/>
        <v>Identical</v>
      </c>
      <c r="K476" s="9" t="s">
        <v>539</v>
      </c>
      <c r="L476" s="9" t="s">
        <v>539</v>
      </c>
      <c r="M476" s="9" t="str">
        <f t="shared" si="47"/>
        <v>Same</v>
      </c>
      <c r="N476" s="30" t="s">
        <v>1125</v>
      </c>
      <c r="O476" s="30" t="s">
        <v>1126</v>
      </c>
    </row>
    <row r="477" spans="1:15" ht="15" customHeight="1" x14ac:dyDescent="0.2">
      <c r="A477" s="9">
        <v>472</v>
      </c>
      <c r="B477" s="27">
        <f t="shared" si="42"/>
        <v>2305.8133854421103</v>
      </c>
      <c r="C477" s="27">
        <f t="shared" si="43"/>
        <v>9306.2628236443561</v>
      </c>
      <c r="D477" s="28">
        <v>9.2899999999999991</v>
      </c>
      <c r="E477" s="28">
        <v>9.3000000000000007</v>
      </c>
      <c r="F477" s="9" t="str">
        <f t="shared" si="44"/>
        <v>Within 10 mV (calibration line)</v>
      </c>
      <c r="G477" s="27">
        <f t="shared" si="45"/>
        <v>2305.8133854421103</v>
      </c>
      <c r="H477" s="29">
        <v>2.59</v>
      </c>
      <c r="I477" s="29">
        <v>2.59</v>
      </c>
      <c r="J477" s="9" t="str">
        <f t="shared" si="46"/>
        <v>Identical</v>
      </c>
      <c r="K477" s="9" t="s">
        <v>539</v>
      </c>
      <c r="L477" s="9" t="s">
        <v>539</v>
      </c>
      <c r="M477" s="9" t="str">
        <f t="shared" si="47"/>
        <v>Same</v>
      </c>
      <c r="N477" s="30" t="s">
        <v>1127</v>
      </c>
      <c r="O477" s="30" t="s">
        <v>1128</v>
      </c>
    </row>
    <row r="478" spans="1:15" ht="15" customHeight="1" x14ac:dyDescent="0.2">
      <c r="A478" s="9">
        <v>473</v>
      </c>
      <c r="B478" s="27">
        <f t="shared" si="42"/>
        <v>2310.6985832926234</v>
      </c>
      <c r="C478" s="27">
        <f t="shared" si="43"/>
        <v>9325.9794821690266</v>
      </c>
      <c r="D478" s="28">
        <v>9.31</v>
      </c>
      <c r="E478" s="28">
        <v>9.32</v>
      </c>
      <c r="F478" s="9" t="str">
        <f t="shared" si="44"/>
        <v>Within 10 mV (calibration line)</v>
      </c>
      <c r="G478" s="27">
        <f t="shared" si="45"/>
        <v>2310.6985832926234</v>
      </c>
      <c r="H478" s="29">
        <v>2.59</v>
      </c>
      <c r="I478" s="29">
        <v>2.59</v>
      </c>
      <c r="J478" s="9" t="str">
        <f t="shared" si="46"/>
        <v>Identical</v>
      </c>
      <c r="K478" s="9" t="s">
        <v>539</v>
      </c>
      <c r="L478" s="9" t="s">
        <v>539</v>
      </c>
      <c r="M478" s="9" t="str">
        <f t="shared" si="47"/>
        <v>Same</v>
      </c>
      <c r="N478" s="30" t="s">
        <v>1127</v>
      </c>
      <c r="O478" s="30" t="s">
        <v>1128</v>
      </c>
    </row>
    <row r="479" spans="1:15" ht="15" customHeight="1" x14ac:dyDescent="0.2">
      <c r="A479" s="9">
        <v>474</v>
      </c>
      <c r="B479" s="27">
        <f t="shared" si="42"/>
        <v>2315.5837811431365</v>
      </c>
      <c r="C479" s="27">
        <f t="shared" si="43"/>
        <v>9345.6961406936989</v>
      </c>
      <c r="D479" s="28">
        <v>9.33</v>
      </c>
      <c r="E479" s="28">
        <v>9.34</v>
      </c>
      <c r="F479" s="9" t="str">
        <f t="shared" si="44"/>
        <v>Within 10 mV (calibration line)</v>
      </c>
      <c r="G479" s="27">
        <f t="shared" si="45"/>
        <v>2315.5837811431365</v>
      </c>
      <c r="H479" s="29">
        <v>2.6</v>
      </c>
      <c r="I479" s="29">
        <v>2.6</v>
      </c>
      <c r="J479" s="9" t="str">
        <f t="shared" si="46"/>
        <v>Identical</v>
      </c>
      <c r="K479" s="9" t="s">
        <v>539</v>
      </c>
      <c r="L479" s="9" t="s">
        <v>539</v>
      </c>
      <c r="M479" s="9" t="str">
        <f t="shared" si="47"/>
        <v>Same</v>
      </c>
      <c r="N479" s="30" t="s">
        <v>1129</v>
      </c>
      <c r="O479" s="30" t="s">
        <v>1130</v>
      </c>
    </row>
    <row r="480" spans="1:15" ht="15" customHeight="1" x14ac:dyDescent="0.2">
      <c r="A480" s="9">
        <v>475</v>
      </c>
      <c r="B480" s="27">
        <f t="shared" si="42"/>
        <v>2320.4689789936492</v>
      </c>
      <c r="C480" s="27">
        <f t="shared" si="43"/>
        <v>9365.4127992183676</v>
      </c>
      <c r="D480" s="28">
        <v>9.35</v>
      </c>
      <c r="E480" s="28">
        <v>9.36</v>
      </c>
      <c r="F480" s="9" t="str">
        <f t="shared" si="44"/>
        <v>Within 10 mV (calibration line)</v>
      </c>
      <c r="G480" s="27">
        <f t="shared" si="45"/>
        <v>2320.4689789936492</v>
      </c>
      <c r="H480" s="29">
        <v>2.6</v>
      </c>
      <c r="I480" s="29">
        <v>2.6</v>
      </c>
      <c r="J480" s="9" t="str">
        <f t="shared" si="46"/>
        <v>Identical</v>
      </c>
      <c r="K480" s="9" t="s">
        <v>539</v>
      </c>
      <c r="L480" s="9" t="s">
        <v>539</v>
      </c>
      <c r="M480" s="9" t="str">
        <f t="shared" si="47"/>
        <v>Same</v>
      </c>
      <c r="N480" s="30" t="s">
        <v>1129</v>
      </c>
      <c r="O480" s="30" t="s">
        <v>1130</v>
      </c>
    </row>
    <row r="481" spans="1:15" ht="15" customHeight="1" x14ac:dyDescent="0.2">
      <c r="A481" s="9">
        <v>476</v>
      </c>
      <c r="B481" s="27">
        <f t="shared" si="42"/>
        <v>2325.3541768441623</v>
      </c>
      <c r="C481" s="27">
        <f t="shared" si="43"/>
        <v>9385.1294577430381</v>
      </c>
      <c r="D481" s="28">
        <v>9.3699999999999992</v>
      </c>
      <c r="E481" s="28">
        <v>9.3800000000000008</v>
      </c>
      <c r="F481" s="9" t="str">
        <f t="shared" si="44"/>
        <v>Within 10 mV (calibration line)</v>
      </c>
      <c r="G481" s="27">
        <f t="shared" si="45"/>
        <v>2325.3541768441623</v>
      </c>
      <c r="H481" s="29">
        <v>2.61</v>
      </c>
      <c r="I481" s="29">
        <v>2.61</v>
      </c>
      <c r="J481" s="9" t="str">
        <f t="shared" si="46"/>
        <v>Identical</v>
      </c>
      <c r="K481" s="9" t="s">
        <v>539</v>
      </c>
      <c r="L481" s="9" t="s">
        <v>539</v>
      </c>
      <c r="M481" s="9" t="str">
        <f t="shared" si="47"/>
        <v>Same</v>
      </c>
      <c r="N481" s="30" t="s">
        <v>1131</v>
      </c>
      <c r="O481" s="30" t="s">
        <v>1132</v>
      </c>
    </row>
    <row r="482" spans="1:15" ht="15" customHeight="1" x14ac:dyDescent="0.2">
      <c r="A482" s="9">
        <v>477</v>
      </c>
      <c r="B482" s="27">
        <f t="shared" si="42"/>
        <v>2330.2393746946755</v>
      </c>
      <c r="C482" s="27">
        <f t="shared" si="43"/>
        <v>9404.8461162677086</v>
      </c>
      <c r="D482" s="28">
        <v>9.39</v>
      </c>
      <c r="E482" s="28">
        <v>9.4</v>
      </c>
      <c r="F482" s="9" t="str">
        <f t="shared" si="44"/>
        <v>Within 10 mV (calibration line)</v>
      </c>
      <c r="G482" s="27">
        <f t="shared" si="45"/>
        <v>2330.2393746946755</v>
      </c>
      <c r="H482" s="29">
        <v>2.61</v>
      </c>
      <c r="I482" s="29">
        <v>2.61</v>
      </c>
      <c r="J482" s="9" t="str">
        <f t="shared" si="46"/>
        <v>Identical</v>
      </c>
      <c r="K482" s="9" t="s">
        <v>539</v>
      </c>
      <c r="L482" s="9" t="s">
        <v>539</v>
      </c>
      <c r="M482" s="9" t="str">
        <f t="shared" si="47"/>
        <v>Same</v>
      </c>
      <c r="N482" s="30" t="s">
        <v>1131</v>
      </c>
      <c r="O482" s="30" t="s">
        <v>1132</v>
      </c>
    </row>
    <row r="483" spans="1:15" ht="15" customHeight="1" x14ac:dyDescent="0.2">
      <c r="A483" s="9">
        <v>478</v>
      </c>
      <c r="B483" s="27">
        <f t="shared" si="42"/>
        <v>2335.1245725451881</v>
      </c>
      <c r="C483" s="27">
        <f t="shared" si="43"/>
        <v>9424.5627747923791</v>
      </c>
      <c r="D483" s="28">
        <v>9.41</v>
      </c>
      <c r="E483" s="28">
        <v>9.42</v>
      </c>
      <c r="F483" s="9" t="str">
        <f t="shared" si="44"/>
        <v>Within 10 mV (calibration line)</v>
      </c>
      <c r="G483" s="27">
        <f t="shared" si="45"/>
        <v>2335.1245725451881</v>
      </c>
      <c r="H483" s="29">
        <v>2.62</v>
      </c>
      <c r="I483" s="29">
        <v>2.62</v>
      </c>
      <c r="J483" s="9" t="str">
        <f t="shared" si="46"/>
        <v>Identical</v>
      </c>
      <c r="K483" s="9" t="s">
        <v>539</v>
      </c>
      <c r="L483" s="9" t="s">
        <v>539</v>
      </c>
      <c r="M483" s="9" t="str">
        <f t="shared" si="47"/>
        <v>Same</v>
      </c>
      <c r="N483" s="30" t="s">
        <v>1133</v>
      </c>
      <c r="O483" s="30" t="s">
        <v>1134</v>
      </c>
    </row>
    <row r="484" spans="1:15" ht="15" customHeight="1" x14ac:dyDescent="0.2">
      <c r="A484" s="9">
        <v>479</v>
      </c>
      <c r="B484" s="27">
        <f t="shared" si="42"/>
        <v>2340.0097703957013</v>
      </c>
      <c r="C484" s="27">
        <f t="shared" si="43"/>
        <v>9444.2794333170496</v>
      </c>
      <c r="D484" s="28">
        <v>9.43</v>
      </c>
      <c r="E484" s="28">
        <v>9.44</v>
      </c>
      <c r="F484" s="9" t="str">
        <f t="shared" si="44"/>
        <v>Within 10 mV (calibration line)</v>
      </c>
      <c r="G484" s="27">
        <f t="shared" si="45"/>
        <v>2340.0097703957013</v>
      </c>
      <c r="H484" s="29">
        <v>2.63</v>
      </c>
      <c r="I484" s="29">
        <v>2.63</v>
      </c>
      <c r="J484" s="9" t="str">
        <f t="shared" si="46"/>
        <v>Identical</v>
      </c>
      <c r="K484" s="9" t="s">
        <v>539</v>
      </c>
      <c r="L484" s="9" t="s">
        <v>539</v>
      </c>
      <c r="M484" s="9" t="str">
        <f t="shared" si="47"/>
        <v>Same</v>
      </c>
      <c r="N484" s="30" t="s">
        <v>1135</v>
      </c>
      <c r="O484" s="30" t="s">
        <v>1136</v>
      </c>
    </row>
    <row r="485" spans="1:15" ht="15" customHeight="1" x14ac:dyDescent="0.2">
      <c r="A485" s="9">
        <v>480</v>
      </c>
      <c r="B485" s="27">
        <f t="shared" si="42"/>
        <v>2344.8949682462139</v>
      </c>
      <c r="C485" s="27">
        <f t="shared" si="43"/>
        <v>9463.9960918417182</v>
      </c>
      <c r="D485" s="28">
        <v>9.4499999999999993</v>
      </c>
      <c r="E485" s="28">
        <v>9.4600000000000009</v>
      </c>
      <c r="F485" s="9" t="str">
        <f t="shared" si="44"/>
        <v>Within 10 mV (calibration line)</v>
      </c>
      <c r="G485" s="27">
        <f t="shared" si="45"/>
        <v>2344.8949682462139</v>
      </c>
      <c r="H485" s="29">
        <v>2.63</v>
      </c>
      <c r="I485" s="29">
        <v>2.63</v>
      </c>
      <c r="J485" s="9" t="str">
        <f t="shared" si="46"/>
        <v>Identical</v>
      </c>
      <c r="K485" s="9" t="s">
        <v>539</v>
      </c>
      <c r="L485" s="9" t="s">
        <v>539</v>
      </c>
      <c r="M485" s="9" t="str">
        <f t="shared" si="47"/>
        <v>Same</v>
      </c>
      <c r="N485" s="30" t="s">
        <v>1135</v>
      </c>
      <c r="O485" s="30" t="s">
        <v>1136</v>
      </c>
    </row>
    <row r="486" spans="1:15" ht="15" customHeight="1" x14ac:dyDescent="0.2">
      <c r="A486" s="9">
        <v>481</v>
      </c>
      <c r="B486" s="27">
        <f t="shared" si="42"/>
        <v>2349.780166096727</v>
      </c>
      <c r="C486" s="27">
        <f t="shared" si="43"/>
        <v>9483.7127503663887</v>
      </c>
      <c r="D486" s="28">
        <v>9.4700000000000006</v>
      </c>
      <c r="E486" s="28">
        <v>9.4700000000000006</v>
      </c>
      <c r="F486" s="9" t="str">
        <f t="shared" si="44"/>
        <v>Identical</v>
      </c>
      <c r="G486" s="27">
        <f t="shared" si="45"/>
        <v>2349.780166096727</v>
      </c>
      <c r="H486" s="29">
        <v>2.64</v>
      </c>
      <c r="I486" s="29">
        <v>2.64</v>
      </c>
      <c r="J486" s="9" t="str">
        <f t="shared" si="46"/>
        <v>Identical</v>
      </c>
      <c r="K486" s="9" t="s">
        <v>539</v>
      </c>
      <c r="L486" s="9" t="s">
        <v>539</v>
      </c>
      <c r="M486" s="9" t="str">
        <f t="shared" si="47"/>
        <v>Same</v>
      </c>
      <c r="N486" s="30" t="s">
        <v>1137</v>
      </c>
      <c r="O486" s="30" t="s">
        <v>1138</v>
      </c>
    </row>
    <row r="487" spans="1:15" ht="15" customHeight="1" x14ac:dyDescent="0.2">
      <c r="A487" s="9">
        <v>482</v>
      </c>
      <c r="B487" s="27">
        <f t="shared" si="42"/>
        <v>2354.6653639472402</v>
      </c>
      <c r="C487" s="27">
        <f t="shared" si="43"/>
        <v>9503.429408891061</v>
      </c>
      <c r="D487" s="28">
        <v>9.49</v>
      </c>
      <c r="E487" s="28">
        <v>9.49</v>
      </c>
      <c r="F487" s="9" t="str">
        <f t="shared" si="44"/>
        <v>Identical</v>
      </c>
      <c r="G487" s="27">
        <f t="shared" si="45"/>
        <v>2354.6653639472402</v>
      </c>
      <c r="H487" s="29">
        <v>2.64</v>
      </c>
      <c r="I487" s="29">
        <v>2.64</v>
      </c>
      <c r="J487" s="9" t="str">
        <f t="shared" si="46"/>
        <v>Identical</v>
      </c>
      <c r="K487" s="9" t="s">
        <v>539</v>
      </c>
      <c r="L487" s="9" t="s">
        <v>539</v>
      </c>
      <c r="M487" s="9" t="str">
        <f t="shared" si="47"/>
        <v>Same</v>
      </c>
      <c r="N487" s="30" t="s">
        <v>1137</v>
      </c>
      <c r="O487" s="30" t="s">
        <v>1138</v>
      </c>
    </row>
    <row r="488" spans="1:15" ht="15" customHeight="1" x14ac:dyDescent="0.2">
      <c r="A488" s="9">
        <v>483</v>
      </c>
      <c r="B488" s="27">
        <f t="shared" si="42"/>
        <v>2359.5505617977528</v>
      </c>
      <c r="C488" s="27">
        <f t="shared" si="43"/>
        <v>9523.1460674157297</v>
      </c>
      <c r="D488" s="28">
        <v>9.51</v>
      </c>
      <c r="E488" s="28">
        <v>9.51</v>
      </c>
      <c r="F488" s="9" t="str">
        <f t="shared" si="44"/>
        <v>Identical</v>
      </c>
      <c r="G488" s="27">
        <f t="shared" si="45"/>
        <v>2359.5505617977528</v>
      </c>
      <c r="H488" s="29">
        <v>2.65</v>
      </c>
      <c r="I488" s="29">
        <v>2.65</v>
      </c>
      <c r="J488" s="9" t="str">
        <f t="shared" si="46"/>
        <v>Identical</v>
      </c>
      <c r="K488" s="9" t="s">
        <v>539</v>
      </c>
      <c r="L488" s="9" t="s">
        <v>539</v>
      </c>
      <c r="M488" s="9" t="str">
        <f t="shared" si="47"/>
        <v>Same</v>
      </c>
      <c r="N488" s="30" t="s">
        <v>1139</v>
      </c>
      <c r="O488" s="30" t="s">
        <v>1140</v>
      </c>
    </row>
    <row r="489" spans="1:15" ht="15" customHeight="1" x14ac:dyDescent="0.2">
      <c r="A489" s="9">
        <v>484</v>
      </c>
      <c r="B489" s="27">
        <f t="shared" si="42"/>
        <v>2364.435759648266</v>
      </c>
      <c r="C489" s="27">
        <f t="shared" si="43"/>
        <v>9542.8627259404002</v>
      </c>
      <c r="D489" s="28">
        <v>9.5299999999999994</v>
      </c>
      <c r="E489" s="28">
        <v>9.5299999999999994</v>
      </c>
      <c r="F489" s="9" t="str">
        <f t="shared" si="44"/>
        <v>Identical</v>
      </c>
      <c r="G489" s="27">
        <f t="shared" si="45"/>
        <v>2364.435759648266</v>
      </c>
      <c r="H489" s="29">
        <v>2.65</v>
      </c>
      <c r="I489" s="29">
        <v>2.65</v>
      </c>
      <c r="J489" s="9" t="str">
        <f t="shared" si="46"/>
        <v>Identical</v>
      </c>
      <c r="K489" s="9" t="s">
        <v>539</v>
      </c>
      <c r="L489" s="9" t="s">
        <v>539</v>
      </c>
      <c r="M489" s="9" t="str">
        <f t="shared" si="47"/>
        <v>Same</v>
      </c>
      <c r="N489" s="30" t="s">
        <v>1139</v>
      </c>
      <c r="O489" s="30" t="s">
        <v>1140</v>
      </c>
    </row>
    <row r="490" spans="1:15" ht="15" customHeight="1" x14ac:dyDescent="0.2">
      <c r="A490" s="9">
        <v>485</v>
      </c>
      <c r="B490" s="27">
        <f t="shared" si="42"/>
        <v>2369.3209574987791</v>
      </c>
      <c r="C490" s="27">
        <f t="shared" si="43"/>
        <v>9562.5793844650707</v>
      </c>
      <c r="D490" s="28">
        <v>9.5500000000000007</v>
      </c>
      <c r="E490" s="28">
        <v>9.5500000000000007</v>
      </c>
      <c r="F490" s="9" t="str">
        <f t="shared" si="44"/>
        <v>Identical</v>
      </c>
      <c r="G490" s="27">
        <f t="shared" si="45"/>
        <v>2369.3209574987791</v>
      </c>
      <c r="H490" s="29">
        <v>2.66</v>
      </c>
      <c r="I490" s="29">
        <v>2.66</v>
      </c>
      <c r="J490" s="9" t="str">
        <f t="shared" si="46"/>
        <v>Identical</v>
      </c>
      <c r="K490" s="9" t="s">
        <v>539</v>
      </c>
      <c r="L490" s="9" t="s">
        <v>539</v>
      </c>
      <c r="M490" s="9" t="str">
        <f t="shared" si="47"/>
        <v>Same</v>
      </c>
      <c r="N490" s="30" t="s">
        <v>1141</v>
      </c>
      <c r="O490" s="30" t="s">
        <v>1142</v>
      </c>
    </row>
    <row r="491" spans="1:15" ht="15" customHeight="1" x14ac:dyDescent="0.2">
      <c r="A491" s="9">
        <v>486</v>
      </c>
      <c r="B491" s="27">
        <f t="shared" si="42"/>
        <v>2374.2061553492917</v>
      </c>
      <c r="C491" s="27">
        <f t="shared" si="43"/>
        <v>9582.2960429897412</v>
      </c>
      <c r="D491" s="28">
        <v>9.57</v>
      </c>
      <c r="E491" s="28">
        <v>9.57</v>
      </c>
      <c r="F491" s="9" t="str">
        <f t="shared" si="44"/>
        <v>Identical</v>
      </c>
      <c r="G491" s="27">
        <f t="shared" si="45"/>
        <v>2374.2061553492917</v>
      </c>
      <c r="H491" s="29">
        <v>2.66</v>
      </c>
      <c r="I491" s="29">
        <v>2.66</v>
      </c>
      <c r="J491" s="9" t="str">
        <f t="shared" si="46"/>
        <v>Identical</v>
      </c>
      <c r="K491" s="9" t="s">
        <v>539</v>
      </c>
      <c r="L491" s="9" t="s">
        <v>539</v>
      </c>
      <c r="M491" s="9" t="str">
        <f t="shared" si="47"/>
        <v>Same</v>
      </c>
      <c r="N491" s="30" t="s">
        <v>1141</v>
      </c>
      <c r="O491" s="30" t="s">
        <v>1142</v>
      </c>
    </row>
    <row r="492" spans="1:15" ht="15" customHeight="1" x14ac:dyDescent="0.2">
      <c r="A492" s="9">
        <v>487</v>
      </c>
      <c r="B492" s="27">
        <f t="shared" si="42"/>
        <v>2379.0913531998049</v>
      </c>
      <c r="C492" s="27">
        <f t="shared" si="43"/>
        <v>9602.0127015144117</v>
      </c>
      <c r="D492" s="28">
        <v>9.59</v>
      </c>
      <c r="E492" s="28">
        <v>9.59</v>
      </c>
      <c r="F492" s="9" t="str">
        <f t="shared" si="44"/>
        <v>Identical</v>
      </c>
      <c r="G492" s="27">
        <f t="shared" si="45"/>
        <v>2379.0913531998049</v>
      </c>
      <c r="H492" s="29">
        <v>2.67</v>
      </c>
      <c r="I492" s="29">
        <v>2.67</v>
      </c>
      <c r="J492" s="9" t="str">
        <f t="shared" si="46"/>
        <v>Identical</v>
      </c>
      <c r="K492" s="9" t="s">
        <v>539</v>
      </c>
      <c r="L492" s="9" t="s">
        <v>539</v>
      </c>
      <c r="M492" s="9" t="str">
        <f t="shared" si="47"/>
        <v>Same</v>
      </c>
      <c r="N492" s="30" t="s">
        <v>1143</v>
      </c>
      <c r="O492" s="30" t="s">
        <v>1144</v>
      </c>
    </row>
    <row r="493" spans="1:15" ht="15" customHeight="1" x14ac:dyDescent="0.2">
      <c r="A493" s="9">
        <v>488</v>
      </c>
      <c r="B493" s="27">
        <f t="shared" si="42"/>
        <v>2383.9765510503175</v>
      </c>
      <c r="C493" s="27">
        <f t="shared" si="43"/>
        <v>9621.7293600390803</v>
      </c>
      <c r="D493" s="28">
        <v>9.61</v>
      </c>
      <c r="E493" s="28">
        <v>9.61</v>
      </c>
      <c r="F493" s="9" t="str">
        <f t="shared" si="44"/>
        <v>Identical</v>
      </c>
      <c r="G493" s="27">
        <f t="shared" si="45"/>
        <v>2383.9765510503175</v>
      </c>
      <c r="H493" s="29">
        <v>2.67</v>
      </c>
      <c r="I493" s="29">
        <v>2.67</v>
      </c>
      <c r="J493" s="9" t="str">
        <f t="shared" si="46"/>
        <v>Identical</v>
      </c>
      <c r="K493" s="9" t="s">
        <v>539</v>
      </c>
      <c r="L493" s="9" t="s">
        <v>539</v>
      </c>
      <c r="M493" s="9" t="str">
        <f t="shared" si="47"/>
        <v>Same</v>
      </c>
      <c r="N493" s="30" t="s">
        <v>1143</v>
      </c>
      <c r="O493" s="30" t="s">
        <v>1144</v>
      </c>
    </row>
    <row r="494" spans="1:15" ht="15" customHeight="1" x14ac:dyDescent="0.2">
      <c r="A494" s="9">
        <v>489</v>
      </c>
      <c r="B494" s="27">
        <f t="shared" si="42"/>
        <v>2388.8617489008307</v>
      </c>
      <c r="C494" s="27">
        <f t="shared" si="43"/>
        <v>9641.4460185637508</v>
      </c>
      <c r="D494" s="28">
        <v>9.6300000000000008</v>
      </c>
      <c r="E494" s="28">
        <v>9.6300000000000008</v>
      </c>
      <c r="F494" s="9" t="str">
        <f t="shared" si="44"/>
        <v>Identical</v>
      </c>
      <c r="G494" s="27">
        <f t="shared" si="45"/>
        <v>2388.8617489008307</v>
      </c>
      <c r="H494" s="29">
        <v>2.68</v>
      </c>
      <c r="I494" s="29">
        <v>2.68</v>
      </c>
      <c r="J494" s="9" t="str">
        <f t="shared" si="46"/>
        <v>Identical</v>
      </c>
      <c r="K494" s="9" t="s">
        <v>539</v>
      </c>
      <c r="L494" s="9" t="s">
        <v>539</v>
      </c>
      <c r="M494" s="9" t="str">
        <f t="shared" si="47"/>
        <v>Same</v>
      </c>
      <c r="N494" s="30" t="s">
        <v>1145</v>
      </c>
      <c r="O494" s="30" t="s">
        <v>1146</v>
      </c>
    </row>
    <row r="495" spans="1:15" ht="15" customHeight="1" x14ac:dyDescent="0.2">
      <c r="A495" s="9">
        <v>490</v>
      </c>
      <c r="B495" s="27">
        <f t="shared" si="42"/>
        <v>2393.7469467513438</v>
      </c>
      <c r="C495" s="27">
        <f t="shared" si="43"/>
        <v>9661.1626770884232</v>
      </c>
      <c r="D495" s="28">
        <v>9.65</v>
      </c>
      <c r="E495" s="28">
        <v>9.65</v>
      </c>
      <c r="F495" s="9" t="str">
        <f t="shared" si="44"/>
        <v>Identical</v>
      </c>
      <c r="G495" s="27">
        <f t="shared" si="45"/>
        <v>2393.7469467513438</v>
      </c>
      <c r="H495" s="29">
        <v>2.68</v>
      </c>
      <c r="I495" s="29">
        <v>2.69</v>
      </c>
      <c r="J495" s="9" t="str">
        <f t="shared" si="46"/>
        <v>+0.01 A (nearest step)</v>
      </c>
      <c r="K495" s="9" t="s">
        <v>539</v>
      </c>
      <c r="L495" s="9" t="s">
        <v>539</v>
      </c>
      <c r="M495" s="9" t="str">
        <f t="shared" si="47"/>
        <v>Same</v>
      </c>
      <c r="N495" s="30" t="s">
        <v>1145</v>
      </c>
      <c r="O495" s="30" t="s">
        <v>1147</v>
      </c>
    </row>
    <row r="496" spans="1:15" ht="15" customHeight="1" x14ac:dyDescent="0.2">
      <c r="A496" s="9">
        <v>491</v>
      </c>
      <c r="B496" s="27">
        <f t="shared" si="42"/>
        <v>2398.6321446018565</v>
      </c>
      <c r="C496" s="27">
        <f t="shared" si="43"/>
        <v>9680.8793356130918</v>
      </c>
      <c r="D496" s="28">
        <v>9.67</v>
      </c>
      <c r="E496" s="28">
        <v>9.67</v>
      </c>
      <c r="F496" s="9" t="str">
        <f t="shared" si="44"/>
        <v>Identical</v>
      </c>
      <c r="G496" s="27">
        <f t="shared" si="45"/>
        <v>2398.6321446018565</v>
      </c>
      <c r="H496" s="29">
        <v>2.69</v>
      </c>
      <c r="I496" s="29">
        <v>2.69</v>
      </c>
      <c r="J496" s="9" t="str">
        <f t="shared" si="46"/>
        <v>Identical</v>
      </c>
      <c r="K496" s="9" t="s">
        <v>539</v>
      </c>
      <c r="L496" s="9" t="s">
        <v>539</v>
      </c>
      <c r="M496" s="9" t="str">
        <f t="shared" si="47"/>
        <v>Same</v>
      </c>
      <c r="N496" s="30" t="s">
        <v>1148</v>
      </c>
      <c r="O496" s="30" t="s">
        <v>1147</v>
      </c>
    </row>
    <row r="497" spans="1:15" ht="15" customHeight="1" x14ac:dyDescent="0.2">
      <c r="A497" s="9">
        <v>492</v>
      </c>
      <c r="B497" s="27">
        <f t="shared" si="42"/>
        <v>2403.5173424523696</v>
      </c>
      <c r="C497" s="27">
        <f t="shared" si="43"/>
        <v>9700.5959941377623</v>
      </c>
      <c r="D497" s="28">
        <v>9.69</v>
      </c>
      <c r="E497" s="28">
        <v>9.69</v>
      </c>
      <c r="F497" s="9" t="str">
        <f t="shared" si="44"/>
        <v>Identical</v>
      </c>
      <c r="G497" s="27">
        <f t="shared" si="45"/>
        <v>2403.5173424523696</v>
      </c>
      <c r="H497" s="29">
        <v>2.7</v>
      </c>
      <c r="I497" s="29">
        <v>2.7</v>
      </c>
      <c r="J497" s="9" t="str">
        <f t="shared" si="46"/>
        <v>Identical</v>
      </c>
      <c r="K497" s="9" t="s">
        <v>539</v>
      </c>
      <c r="L497" s="9" t="s">
        <v>539</v>
      </c>
      <c r="M497" s="9" t="str">
        <f t="shared" si="47"/>
        <v>Same</v>
      </c>
      <c r="N497" s="30" t="s">
        <v>1149</v>
      </c>
      <c r="O497" s="30" t="s">
        <v>1150</v>
      </c>
    </row>
    <row r="498" spans="1:15" ht="15" customHeight="1" x14ac:dyDescent="0.2">
      <c r="A498" s="9">
        <v>493</v>
      </c>
      <c r="B498" s="27">
        <f t="shared" si="42"/>
        <v>2408.4025403028827</v>
      </c>
      <c r="C498" s="27">
        <f t="shared" si="43"/>
        <v>9720.3126526624328</v>
      </c>
      <c r="D498" s="28">
        <v>9.7100000000000009</v>
      </c>
      <c r="E498" s="28">
        <v>9.7100000000000009</v>
      </c>
      <c r="F498" s="9" t="str">
        <f t="shared" si="44"/>
        <v>Identical</v>
      </c>
      <c r="G498" s="27">
        <f t="shared" si="45"/>
        <v>2408.4025403028827</v>
      </c>
      <c r="H498" s="29">
        <v>2.7</v>
      </c>
      <c r="I498" s="29">
        <v>2.7</v>
      </c>
      <c r="J498" s="9" t="str">
        <f t="shared" si="46"/>
        <v>Identical</v>
      </c>
      <c r="K498" s="9" t="s">
        <v>539</v>
      </c>
      <c r="L498" s="9" t="s">
        <v>539</v>
      </c>
      <c r="M498" s="9" t="str">
        <f t="shared" si="47"/>
        <v>Same</v>
      </c>
      <c r="N498" s="30" t="s">
        <v>1149</v>
      </c>
      <c r="O498" s="30" t="s">
        <v>1150</v>
      </c>
    </row>
    <row r="499" spans="1:15" ht="15" customHeight="1" x14ac:dyDescent="0.2">
      <c r="A499" s="9">
        <v>494</v>
      </c>
      <c r="B499" s="27">
        <f t="shared" si="42"/>
        <v>2413.2877381533954</v>
      </c>
      <c r="C499" s="27">
        <f t="shared" si="43"/>
        <v>9740.0293111871033</v>
      </c>
      <c r="D499" s="28">
        <v>9.73</v>
      </c>
      <c r="E499" s="28">
        <v>9.73</v>
      </c>
      <c r="F499" s="9" t="str">
        <f t="shared" si="44"/>
        <v>Identical</v>
      </c>
      <c r="G499" s="27">
        <f t="shared" si="45"/>
        <v>2413.2877381533954</v>
      </c>
      <c r="H499" s="29">
        <v>2.71</v>
      </c>
      <c r="I499" s="29">
        <v>2.71</v>
      </c>
      <c r="J499" s="9" t="str">
        <f t="shared" si="46"/>
        <v>Identical</v>
      </c>
      <c r="K499" s="9" t="s">
        <v>539</v>
      </c>
      <c r="L499" s="9" t="s">
        <v>539</v>
      </c>
      <c r="M499" s="9" t="str">
        <f t="shared" si="47"/>
        <v>Same</v>
      </c>
      <c r="N499" s="30" t="s">
        <v>1151</v>
      </c>
      <c r="O499" s="30" t="s">
        <v>1152</v>
      </c>
    </row>
    <row r="500" spans="1:15" ht="15" customHeight="1" x14ac:dyDescent="0.2">
      <c r="A500" s="9">
        <v>495</v>
      </c>
      <c r="B500" s="27">
        <f t="shared" si="42"/>
        <v>2418.1729360039085</v>
      </c>
      <c r="C500" s="27">
        <f t="shared" si="43"/>
        <v>9759.7459697117738</v>
      </c>
      <c r="D500" s="28">
        <v>9.74</v>
      </c>
      <c r="E500" s="28">
        <v>9.75</v>
      </c>
      <c r="F500" s="9" t="str">
        <f t="shared" si="44"/>
        <v>Within 10 mV (calibration line)</v>
      </c>
      <c r="G500" s="27">
        <f t="shared" si="45"/>
        <v>2418.1729360039085</v>
      </c>
      <c r="H500" s="29">
        <v>2.71</v>
      </c>
      <c r="I500" s="29">
        <v>2.71</v>
      </c>
      <c r="J500" s="9" t="str">
        <f t="shared" si="46"/>
        <v>Identical</v>
      </c>
      <c r="K500" s="9" t="s">
        <v>539</v>
      </c>
      <c r="L500" s="9" t="s">
        <v>539</v>
      </c>
      <c r="M500" s="9" t="str">
        <f t="shared" si="47"/>
        <v>Same</v>
      </c>
      <c r="N500" s="30" t="s">
        <v>1151</v>
      </c>
      <c r="O500" s="30" t="s">
        <v>1152</v>
      </c>
    </row>
    <row r="501" spans="1:15" ht="15" customHeight="1" x14ac:dyDescent="0.2">
      <c r="A501" s="9">
        <v>496</v>
      </c>
      <c r="B501" s="27">
        <f t="shared" si="42"/>
        <v>2423.0581338544212</v>
      </c>
      <c r="C501" s="27">
        <f t="shared" si="43"/>
        <v>9779.4626282364425</v>
      </c>
      <c r="D501" s="28">
        <v>9.76</v>
      </c>
      <c r="E501" s="28">
        <v>9.77</v>
      </c>
      <c r="F501" s="9" t="str">
        <f t="shared" si="44"/>
        <v>Within 10 mV (calibration line)</v>
      </c>
      <c r="G501" s="27">
        <f t="shared" si="45"/>
        <v>2423.0581338544212</v>
      </c>
      <c r="H501" s="29">
        <v>2.72</v>
      </c>
      <c r="I501" s="29">
        <v>2.72</v>
      </c>
      <c r="J501" s="9" t="str">
        <f t="shared" si="46"/>
        <v>Identical</v>
      </c>
      <c r="K501" s="9" t="s">
        <v>539</v>
      </c>
      <c r="L501" s="9" t="s">
        <v>539</v>
      </c>
      <c r="M501" s="9" t="str">
        <f t="shared" si="47"/>
        <v>Same</v>
      </c>
      <c r="N501" s="30" t="s">
        <v>1153</v>
      </c>
      <c r="O501" s="30" t="s">
        <v>1154</v>
      </c>
    </row>
    <row r="502" spans="1:15" ht="15" customHeight="1" x14ac:dyDescent="0.2">
      <c r="A502" s="9">
        <v>497</v>
      </c>
      <c r="B502" s="27">
        <f t="shared" si="42"/>
        <v>2427.9433317049343</v>
      </c>
      <c r="C502" s="27">
        <f t="shared" si="43"/>
        <v>9799.179286761113</v>
      </c>
      <c r="D502" s="28">
        <v>9.7799999999999994</v>
      </c>
      <c r="E502" s="28">
        <v>9.7899999999999991</v>
      </c>
      <c r="F502" s="9" t="str">
        <f t="shared" si="44"/>
        <v>Within 10 mV (calibration line)</v>
      </c>
      <c r="G502" s="27">
        <f t="shared" si="45"/>
        <v>2427.9433317049343</v>
      </c>
      <c r="H502" s="29">
        <v>2.72</v>
      </c>
      <c r="I502" s="29">
        <v>2.72</v>
      </c>
      <c r="J502" s="9" t="str">
        <f t="shared" si="46"/>
        <v>Identical</v>
      </c>
      <c r="K502" s="9" t="s">
        <v>539</v>
      </c>
      <c r="L502" s="9" t="s">
        <v>539</v>
      </c>
      <c r="M502" s="9" t="str">
        <f t="shared" si="47"/>
        <v>Same</v>
      </c>
      <c r="N502" s="30" t="s">
        <v>1153</v>
      </c>
      <c r="O502" s="30" t="s">
        <v>1154</v>
      </c>
    </row>
    <row r="503" spans="1:15" ht="15" customHeight="1" x14ac:dyDescent="0.2">
      <c r="A503" s="9">
        <v>498</v>
      </c>
      <c r="B503" s="27">
        <f t="shared" si="42"/>
        <v>2432.8285295554474</v>
      </c>
      <c r="C503" s="27">
        <f t="shared" si="43"/>
        <v>9818.8959452857853</v>
      </c>
      <c r="D503" s="28">
        <v>9.8000000000000007</v>
      </c>
      <c r="E503" s="28">
        <v>9.81</v>
      </c>
      <c r="F503" s="9" t="str">
        <f t="shared" si="44"/>
        <v>Within 10 mV (calibration line)</v>
      </c>
      <c r="G503" s="27">
        <f t="shared" si="45"/>
        <v>2432.8285295554474</v>
      </c>
      <c r="H503" s="29">
        <v>2.73</v>
      </c>
      <c r="I503" s="29">
        <v>2.73</v>
      </c>
      <c r="J503" s="9" t="str">
        <f t="shared" si="46"/>
        <v>Identical</v>
      </c>
      <c r="K503" s="9" t="s">
        <v>539</v>
      </c>
      <c r="L503" s="9" t="s">
        <v>539</v>
      </c>
      <c r="M503" s="9" t="str">
        <f t="shared" si="47"/>
        <v>Same</v>
      </c>
      <c r="N503" s="30" t="s">
        <v>1155</v>
      </c>
      <c r="O503" s="30" t="s">
        <v>1156</v>
      </c>
    </row>
    <row r="504" spans="1:15" ht="15" customHeight="1" x14ac:dyDescent="0.2">
      <c r="A504" s="9">
        <v>499</v>
      </c>
      <c r="B504" s="27">
        <f t="shared" si="42"/>
        <v>2437.7137274059601</v>
      </c>
      <c r="C504" s="27">
        <f t="shared" si="43"/>
        <v>9838.6126038104539</v>
      </c>
      <c r="D504" s="28">
        <v>9.82</v>
      </c>
      <c r="E504" s="28">
        <v>9.83</v>
      </c>
      <c r="F504" s="9" t="str">
        <f t="shared" si="44"/>
        <v>Within 10 mV (calibration line)</v>
      </c>
      <c r="G504" s="27">
        <f t="shared" si="45"/>
        <v>2437.7137274059601</v>
      </c>
      <c r="H504" s="29">
        <v>2.73</v>
      </c>
      <c r="I504" s="29">
        <v>2.74</v>
      </c>
      <c r="J504" s="9" t="str">
        <f t="shared" si="46"/>
        <v>+0.01 A (nearest step)</v>
      </c>
      <c r="K504" s="9" t="s">
        <v>539</v>
      </c>
      <c r="L504" s="9" t="s">
        <v>539</v>
      </c>
      <c r="M504" s="9" t="str">
        <f t="shared" si="47"/>
        <v>Same</v>
      </c>
      <c r="N504" s="30" t="s">
        <v>1155</v>
      </c>
      <c r="O504" s="30" t="s">
        <v>1157</v>
      </c>
    </row>
    <row r="505" spans="1:15" ht="15" customHeight="1" x14ac:dyDescent="0.2">
      <c r="A505" s="9">
        <v>500</v>
      </c>
      <c r="B505" s="27">
        <f t="shared" si="42"/>
        <v>2442.5989252564732</v>
      </c>
      <c r="C505" s="27">
        <f t="shared" si="43"/>
        <v>9858.3292623351244</v>
      </c>
      <c r="D505" s="28">
        <v>9.84</v>
      </c>
      <c r="E505" s="28">
        <v>9.85</v>
      </c>
      <c r="F505" s="9" t="str">
        <f t="shared" si="44"/>
        <v>Within 10 mV (calibration line)</v>
      </c>
      <c r="G505" s="27">
        <f t="shared" si="45"/>
        <v>2442.5989252564732</v>
      </c>
      <c r="H505" s="29">
        <v>2.74</v>
      </c>
      <c r="I505" s="29">
        <v>2.74</v>
      </c>
      <c r="J505" s="9" t="str">
        <f t="shared" si="46"/>
        <v>Identical</v>
      </c>
      <c r="K505" s="9" t="s">
        <v>539</v>
      </c>
      <c r="L505" s="9" t="s">
        <v>539</v>
      </c>
      <c r="M505" s="9" t="str">
        <f t="shared" si="47"/>
        <v>Same</v>
      </c>
      <c r="N505" s="30" t="s">
        <v>1158</v>
      </c>
      <c r="O505" s="30" t="s">
        <v>1157</v>
      </c>
    </row>
    <row r="506" spans="1:15" ht="15" customHeight="1" x14ac:dyDescent="0.2">
      <c r="A506" s="9">
        <v>501</v>
      </c>
      <c r="B506" s="27">
        <f t="shared" si="42"/>
        <v>2447.4841231069863</v>
      </c>
      <c r="C506" s="27">
        <f t="shared" si="43"/>
        <v>9878.0459208597949</v>
      </c>
      <c r="D506" s="28">
        <v>9.86</v>
      </c>
      <c r="E506" s="28">
        <v>9.8699999999999992</v>
      </c>
      <c r="F506" s="9" t="str">
        <f t="shared" si="44"/>
        <v>Within 10 mV (calibration line)</v>
      </c>
      <c r="G506" s="27">
        <f t="shared" si="45"/>
        <v>2447.4841231069863</v>
      </c>
      <c r="H506" s="29">
        <v>2.75</v>
      </c>
      <c r="I506" s="29">
        <v>2.75</v>
      </c>
      <c r="J506" s="9" t="str">
        <f t="shared" si="46"/>
        <v>Identical</v>
      </c>
      <c r="K506" s="9" t="s">
        <v>539</v>
      </c>
      <c r="L506" s="9" t="s">
        <v>539</v>
      </c>
      <c r="M506" s="9" t="str">
        <f t="shared" si="47"/>
        <v>Same</v>
      </c>
      <c r="N506" s="30" t="s">
        <v>1159</v>
      </c>
      <c r="O506" s="30" t="s">
        <v>1160</v>
      </c>
    </row>
    <row r="507" spans="1:15" ht="15" customHeight="1" x14ac:dyDescent="0.2">
      <c r="A507" s="9">
        <v>502</v>
      </c>
      <c r="B507" s="27">
        <f t="shared" si="42"/>
        <v>2452.369320957499</v>
      </c>
      <c r="C507" s="27">
        <f t="shared" si="43"/>
        <v>9897.7625793844654</v>
      </c>
      <c r="D507" s="28">
        <v>9.8800000000000008</v>
      </c>
      <c r="E507" s="28">
        <v>9.89</v>
      </c>
      <c r="F507" s="9" t="str">
        <f t="shared" si="44"/>
        <v>Within 10 mV (calibration line)</v>
      </c>
      <c r="G507" s="27">
        <f t="shared" si="45"/>
        <v>2452.369320957499</v>
      </c>
      <c r="H507" s="29">
        <v>2.75</v>
      </c>
      <c r="I507" s="29">
        <v>2.75</v>
      </c>
      <c r="J507" s="9" t="str">
        <f t="shared" si="46"/>
        <v>Identical</v>
      </c>
      <c r="K507" s="9" t="s">
        <v>539</v>
      </c>
      <c r="L507" s="9" t="s">
        <v>539</v>
      </c>
      <c r="M507" s="9" t="str">
        <f t="shared" si="47"/>
        <v>Same</v>
      </c>
      <c r="N507" s="30" t="s">
        <v>1159</v>
      </c>
      <c r="O507" s="30" t="s">
        <v>1160</v>
      </c>
    </row>
    <row r="508" spans="1:15" ht="15" customHeight="1" x14ac:dyDescent="0.2">
      <c r="A508" s="9">
        <v>503</v>
      </c>
      <c r="B508" s="27">
        <f t="shared" si="42"/>
        <v>2457.2545188080121</v>
      </c>
      <c r="C508" s="27">
        <f t="shared" si="43"/>
        <v>9917.4792379091359</v>
      </c>
      <c r="D508" s="28">
        <v>9.9</v>
      </c>
      <c r="E508" s="28">
        <v>9.91</v>
      </c>
      <c r="F508" s="9" t="str">
        <f t="shared" si="44"/>
        <v>Within 10 mV (calibration line)</v>
      </c>
      <c r="G508" s="27">
        <f t="shared" si="45"/>
        <v>2457.2545188080121</v>
      </c>
      <c r="H508" s="29">
        <v>2.76</v>
      </c>
      <c r="I508" s="29">
        <v>2.76</v>
      </c>
      <c r="J508" s="9" t="str">
        <f t="shared" si="46"/>
        <v>Identical</v>
      </c>
      <c r="K508" s="9" t="s">
        <v>539</v>
      </c>
      <c r="L508" s="9" t="s">
        <v>539</v>
      </c>
      <c r="M508" s="9" t="str">
        <f t="shared" si="47"/>
        <v>Same</v>
      </c>
      <c r="N508" s="30" t="s">
        <v>1161</v>
      </c>
      <c r="O508" s="30" t="s">
        <v>1162</v>
      </c>
    </row>
    <row r="509" spans="1:15" ht="15" customHeight="1" x14ac:dyDescent="0.2">
      <c r="A509" s="9">
        <v>504</v>
      </c>
      <c r="B509" s="27">
        <f t="shared" si="42"/>
        <v>2462.1397166585248</v>
      </c>
      <c r="C509" s="27">
        <f t="shared" si="43"/>
        <v>9937.1958964338046</v>
      </c>
      <c r="D509" s="28">
        <v>9.92</v>
      </c>
      <c r="E509" s="28">
        <v>9.93</v>
      </c>
      <c r="F509" s="9" t="str">
        <f t="shared" si="44"/>
        <v>Within 10 mV (calibration line)</v>
      </c>
      <c r="G509" s="27">
        <f t="shared" si="45"/>
        <v>2462.1397166585248</v>
      </c>
      <c r="H509" s="29">
        <v>2.76</v>
      </c>
      <c r="I509" s="29">
        <v>2.76</v>
      </c>
      <c r="J509" s="9" t="str">
        <f t="shared" si="46"/>
        <v>Identical</v>
      </c>
      <c r="K509" s="9" t="s">
        <v>539</v>
      </c>
      <c r="L509" s="9" t="s">
        <v>539</v>
      </c>
      <c r="M509" s="9" t="str">
        <f t="shared" si="47"/>
        <v>Same</v>
      </c>
      <c r="N509" s="30" t="s">
        <v>1161</v>
      </c>
      <c r="O509" s="30" t="s">
        <v>1162</v>
      </c>
    </row>
    <row r="510" spans="1:15" ht="15" customHeight="1" x14ac:dyDescent="0.2">
      <c r="A510" s="9">
        <v>505</v>
      </c>
      <c r="B510" s="27">
        <f t="shared" si="42"/>
        <v>2467.0249145090379</v>
      </c>
      <c r="C510" s="27">
        <f t="shared" si="43"/>
        <v>9956.9125549584751</v>
      </c>
      <c r="D510" s="28">
        <v>9.94</v>
      </c>
      <c r="E510" s="28">
        <v>9.9499999999999993</v>
      </c>
      <c r="F510" s="9" t="str">
        <f t="shared" si="44"/>
        <v>Within 10 mV (calibration line)</v>
      </c>
      <c r="G510" s="27">
        <f t="shared" si="45"/>
        <v>2467.0249145090379</v>
      </c>
      <c r="H510" s="29">
        <v>2.77</v>
      </c>
      <c r="I510" s="29">
        <v>2.77</v>
      </c>
      <c r="J510" s="9" t="str">
        <f t="shared" si="46"/>
        <v>Identical</v>
      </c>
      <c r="K510" s="9" t="s">
        <v>539</v>
      </c>
      <c r="L510" s="9" t="s">
        <v>539</v>
      </c>
      <c r="M510" s="9" t="str">
        <f t="shared" si="47"/>
        <v>Same</v>
      </c>
      <c r="N510" s="30" t="s">
        <v>1163</v>
      </c>
      <c r="O510" s="30" t="s">
        <v>1164</v>
      </c>
    </row>
    <row r="511" spans="1:15" ht="15" customHeight="1" x14ac:dyDescent="0.2">
      <c r="A511" s="9">
        <v>506</v>
      </c>
      <c r="B511" s="27">
        <f t="shared" si="42"/>
        <v>2471.910112359551</v>
      </c>
      <c r="C511" s="27">
        <f t="shared" si="43"/>
        <v>9976.6292134831474</v>
      </c>
      <c r="D511" s="28">
        <v>9.9600000000000009</v>
      </c>
      <c r="E511" s="28">
        <v>9.9700000000000006</v>
      </c>
      <c r="F511" s="9" t="str">
        <f t="shared" si="44"/>
        <v>Within 10 mV (calibration line)</v>
      </c>
      <c r="G511" s="27">
        <f t="shared" si="45"/>
        <v>2471.910112359551</v>
      </c>
      <c r="H511" s="29">
        <v>2.77</v>
      </c>
      <c r="I511" s="29">
        <v>2.77</v>
      </c>
      <c r="J511" s="9" t="str">
        <f t="shared" si="46"/>
        <v>Identical</v>
      </c>
      <c r="K511" s="9" t="s">
        <v>539</v>
      </c>
      <c r="L511" s="9" t="s">
        <v>539</v>
      </c>
      <c r="M511" s="9" t="str">
        <f t="shared" si="47"/>
        <v>Same</v>
      </c>
      <c r="N511" s="30" t="s">
        <v>1163</v>
      </c>
      <c r="O511" s="30" t="s">
        <v>1164</v>
      </c>
    </row>
    <row r="512" spans="1:15" ht="15" customHeight="1" x14ac:dyDescent="0.2">
      <c r="A512" s="9">
        <v>507</v>
      </c>
      <c r="B512" s="27">
        <f t="shared" si="42"/>
        <v>2476.7953102100637</v>
      </c>
      <c r="C512" s="27">
        <f t="shared" si="43"/>
        <v>9996.3458720078161</v>
      </c>
      <c r="D512" s="28">
        <v>9.98</v>
      </c>
      <c r="E512" s="28">
        <v>9.99</v>
      </c>
      <c r="F512" s="9" t="str">
        <f t="shared" si="44"/>
        <v>Within 10 mV (calibration line)</v>
      </c>
      <c r="G512" s="27">
        <f t="shared" si="45"/>
        <v>2476.7953102100637</v>
      </c>
      <c r="H512" s="29">
        <v>2.78</v>
      </c>
      <c r="I512" s="29">
        <v>2.78</v>
      </c>
      <c r="J512" s="9" t="str">
        <f t="shared" si="46"/>
        <v>Identical</v>
      </c>
      <c r="K512" s="9" t="s">
        <v>539</v>
      </c>
      <c r="L512" s="9" t="s">
        <v>539</v>
      </c>
      <c r="M512" s="9" t="str">
        <f t="shared" si="47"/>
        <v>Same</v>
      </c>
      <c r="N512" s="30" t="s">
        <v>1165</v>
      </c>
      <c r="O512" s="30" t="s">
        <v>1166</v>
      </c>
    </row>
    <row r="513" spans="1:15" ht="15" customHeight="1" x14ac:dyDescent="0.2">
      <c r="A513" s="9">
        <v>508</v>
      </c>
      <c r="B513" s="27">
        <f t="shared" si="42"/>
        <v>2481.6805080605768</v>
      </c>
      <c r="C513" s="27">
        <f t="shared" si="43"/>
        <v>10016.062530532487</v>
      </c>
      <c r="D513" s="28">
        <v>10</v>
      </c>
      <c r="E513" s="28">
        <v>10</v>
      </c>
      <c r="F513" s="9" t="str">
        <f t="shared" si="44"/>
        <v>Identical</v>
      </c>
      <c r="G513" s="27">
        <f t="shared" si="45"/>
        <v>2481.6805080605768</v>
      </c>
      <c r="H513" s="29">
        <v>2.78</v>
      </c>
      <c r="I513" s="29">
        <v>2.78</v>
      </c>
      <c r="J513" s="9" t="str">
        <f t="shared" si="46"/>
        <v>Identical</v>
      </c>
      <c r="K513" s="9" t="s">
        <v>539</v>
      </c>
      <c r="L513" s="9" t="s">
        <v>539</v>
      </c>
      <c r="M513" s="9" t="str">
        <f t="shared" si="47"/>
        <v>Same</v>
      </c>
      <c r="N513" s="30" t="s">
        <v>1165</v>
      </c>
      <c r="O513" s="30" t="s">
        <v>1166</v>
      </c>
    </row>
    <row r="514" spans="1:15" ht="15" customHeight="1" x14ac:dyDescent="0.2">
      <c r="A514" s="9">
        <v>509</v>
      </c>
      <c r="B514" s="27">
        <f t="shared" si="42"/>
        <v>2486.5657059110899</v>
      </c>
      <c r="C514" s="27">
        <f t="shared" si="43"/>
        <v>10035.779189057157</v>
      </c>
      <c r="D514" s="28">
        <v>10.02</v>
      </c>
      <c r="E514" s="28">
        <v>10.02</v>
      </c>
      <c r="F514" s="9" t="str">
        <f t="shared" si="44"/>
        <v>Identical</v>
      </c>
      <c r="G514" s="27">
        <f t="shared" si="45"/>
        <v>2486.5657059110899</v>
      </c>
      <c r="H514" s="29">
        <v>2.79</v>
      </c>
      <c r="I514" s="29">
        <v>2.79</v>
      </c>
      <c r="J514" s="9" t="str">
        <f t="shared" si="46"/>
        <v>Identical</v>
      </c>
      <c r="K514" s="9" t="s">
        <v>539</v>
      </c>
      <c r="L514" s="9" t="s">
        <v>539</v>
      </c>
      <c r="M514" s="9" t="str">
        <f t="shared" si="47"/>
        <v>Same</v>
      </c>
      <c r="N514" s="30" t="s">
        <v>1167</v>
      </c>
      <c r="O514" s="30" t="s">
        <v>1168</v>
      </c>
    </row>
    <row r="515" spans="1:15" ht="15" customHeight="1" x14ac:dyDescent="0.2">
      <c r="A515" s="9">
        <v>510</v>
      </c>
      <c r="B515" s="27">
        <f t="shared" si="42"/>
        <v>2491.4509037616026</v>
      </c>
      <c r="C515" s="27">
        <f t="shared" si="43"/>
        <v>10055.495847581828</v>
      </c>
      <c r="D515" s="28">
        <v>10.039999999999999</v>
      </c>
      <c r="E515" s="28">
        <v>10.039999999999999</v>
      </c>
      <c r="F515" s="9" t="str">
        <f t="shared" si="44"/>
        <v>Identical</v>
      </c>
      <c r="G515" s="27">
        <f t="shared" si="45"/>
        <v>2491.4509037616026</v>
      </c>
      <c r="H515" s="29">
        <v>2.79</v>
      </c>
      <c r="I515" s="29">
        <v>2.79</v>
      </c>
      <c r="J515" s="9" t="str">
        <f t="shared" si="46"/>
        <v>Identical</v>
      </c>
      <c r="K515" s="9" t="s">
        <v>539</v>
      </c>
      <c r="L515" s="9" t="s">
        <v>539</v>
      </c>
      <c r="M515" s="9" t="str">
        <f t="shared" si="47"/>
        <v>Same</v>
      </c>
      <c r="N515" s="30" t="s">
        <v>1167</v>
      </c>
      <c r="O515" s="30" t="s">
        <v>1168</v>
      </c>
    </row>
    <row r="516" spans="1:15" ht="15" customHeight="1" x14ac:dyDescent="0.2">
      <c r="A516" s="9">
        <v>511</v>
      </c>
      <c r="B516" s="27">
        <f t="shared" si="42"/>
        <v>2496.3361016121153</v>
      </c>
      <c r="C516" s="27">
        <f t="shared" si="43"/>
        <v>10075.212506106496</v>
      </c>
      <c r="D516" s="28">
        <v>10.06</v>
      </c>
      <c r="E516" s="28">
        <v>10.06</v>
      </c>
      <c r="F516" s="9" t="str">
        <f t="shared" si="44"/>
        <v>Identical</v>
      </c>
      <c r="G516" s="27">
        <f t="shared" si="45"/>
        <v>2496.3361016121153</v>
      </c>
      <c r="H516" s="29">
        <v>2.8</v>
      </c>
      <c r="I516" s="29">
        <v>2.8</v>
      </c>
      <c r="J516" s="9" t="str">
        <f t="shared" si="46"/>
        <v>Identical</v>
      </c>
      <c r="K516" s="9" t="s">
        <v>539</v>
      </c>
      <c r="L516" s="9" t="s">
        <v>539</v>
      </c>
      <c r="M516" s="9" t="str">
        <f t="shared" si="47"/>
        <v>Same</v>
      </c>
      <c r="N516" s="30" t="s">
        <v>1169</v>
      </c>
      <c r="O516" s="30" t="s">
        <v>1170</v>
      </c>
    </row>
    <row r="517" spans="1:15" ht="15" customHeight="1" x14ac:dyDescent="0.2">
      <c r="A517" s="9">
        <v>512</v>
      </c>
      <c r="B517" s="27">
        <f t="shared" ref="B517:B580" si="48">A517/$C$3*1000</f>
        <v>2501.2212994626279</v>
      </c>
      <c r="C517" s="27">
        <f t="shared" ref="C517:C580" si="49">B517*$F$3</f>
        <v>10094.929164631165</v>
      </c>
      <c r="D517" s="28">
        <v>10.08</v>
      </c>
      <c r="E517" s="28">
        <v>10.08</v>
      </c>
      <c r="F517" s="9" t="str">
        <f t="shared" ref="F517:F580" si="50">IF(D517=E517,"Identical",IF(E517="OL","ADC full scale: now OL",IF(ABS(E517-D517)&lt;0.0105,"Within 10 mV (calibration line)",IF(AND(C517&lt;4200,ABS(E517-D517)&lt;0.0205),"-20 mV (end of old +30 mV band)",IF(C517&lt;830,"Low range fixed (F-02)","Different")))))</f>
        <v>Identical</v>
      </c>
      <c r="G517" s="27">
        <f t="shared" ref="G517:G580" si="51">B517</f>
        <v>2501.2212994626279</v>
      </c>
      <c r="H517" s="29">
        <v>2.81</v>
      </c>
      <c r="I517" s="29">
        <v>2.81</v>
      </c>
      <c r="J517" s="9" t="str">
        <f t="shared" ref="J517:J580" si="52">IF(H517=I517,"Identical",IF(I517="OL","Above 5.00 A: now OL",IF(H517="ERR (999.23)","Gap bug fixed",IF(ABS(I517-H517-0.01)&lt;0.0001,"+0.01 A (nearest step)","Different"))))</f>
        <v>Identical</v>
      </c>
      <c r="K517" s="9" t="s">
        <v>539</v>
      </c>
      <c r="L517" s="9" t="s">
        <v>539</v>
      </c>
      <c r="M517" s="9" t="str">
        <f t="shared" ref="M517:M580" si="53">IF(K517=L517,"Same","Different")</f>
        <v>Same</v>
      </c>
      <c r="N517" s="30" t="s">
        <v>1171</v>
      </c>
      <c r="O517" s="30" t="s">
        <v>1172</v>
      </c>
    </row>
    <row r="518" spans="1:15" ht="15" customHeight="1" x14ac:dyDescent="0.2">
      <c r="A518" s="9">
        <v>513</v>
      </c>
      <c r="B518" s="27">
        <f t="shared" si="48"/>
        <v>2506.1064973131411</v>
      </c>
      <c r="C518" s="27">
        <f t="shared" si="49"/>
        <v>10114.645823155835</v>
      </c>
      <c r="D518" s="28">
        <v>10.1</v>
      </c>
      <c r="E518" s="28">
        <v>10.1</v>
      </c>
      <c r="F518" s="9" t="str">
        <f t="shared" si="50"/>
        <v>Identical</v>
      </c>
      <c r="G518" s="27">
        <f t="shared" si="51"/>
        <v>2506.1064973131411</v>
      </c>
      <c r="H518" s="29">
        <v>2.81</v>
      </c>
      <c r="I518" s="29">
        <v>2.81</v>
      </c>
      <c r="J518" s="9" t="str">
        <f t="shared" si="52"/>
        <v>Identical</v>
      </c>
      <c r="K518" s="9" t="s">
        <v>539</v>
      </c>
      <c r="L518" s="9" t="s">
        <v>539</v>
      </c>
      <c r="M518" s="9" t="str">
        <f t="shared" si="53"/>
        <v>Same</v>
      </c>
      <c r="N518" s="30" t="s">
        <v>1171</v>
      </c>
      <c r="O518" s="30" t="s">
        <v>1172</v>
      </c>
    </row>
    <row r="519" spans="1:15" ht="15" customHeight="1" x14ac:dyDescent="0.2">
      <c r="A519" s="9">
        <v>514</v>
      </c>
      <c r="B519" s="27">
        <f t="shared" si="48"/>
        <v>2510.9916951636542</v>
      </c>
      <c r="C519" s="27">
        <f t="shared" si="49"/>
        <v>10134.362481680508</v>
      </c>
      <c r="D519" s="28">
        <v>10.119999999999999</v>
      </c>
      <c r="E519" s="28">
        <v>10.119999999999999</v>
      </c>
      <c r="F519" s="9" t="str">
        <f t="shared" si="50"/>
        <v>Identical</v>
      </c>
      <c r="G519" s="27">
        <f t="shared" si="51"/>
        <v>2510.9916951636542</v>
      </c>
      <c r="H519" s="29">
        <v>2.82</v>
      </c>
      <c r="I519" s="29">
        <v>2.82</v>
      </c>
      <c r="J519" s="9" t="str">
        <f t="shared" si="52"/>
        <v>Identical</v>
      </c>
      <c r="K519" s="9" t="s">
        <v>539</v>
      </c>
      <c r="L519" s="9" t="s">
        <v>539</v>
      </c>
      <c r="M519" s="9" t="str">
        <f t="shared" si="53"/>
        <v>Same</v>
      </c>
      <c r="N519" s="30" t="s">
        <v>1173</v>
      </c>
      <c r="O519" s="30" t="s">
        <v>1174</v>
      </c>
    </row>
    <row r="520" spans="1:15" ht="15" customHeight="1" x14ac:dyDescent="0.2">
      <c r="A520" s="9">
        <v>515</v>
      </c>
      <c r="B520" s="27">
        <f t="shared" si="48"/>
        <v>2515.8768930141669</v>
      </c>
      <c r="C520" s="27">
        <f t="shared" si="49"/>
        <v>10154.079140205176</v>
      </c>
      <c r="D520" s="28">
        <v>10.14</v>
      </c>
      <c r="E520" s="28">
        <v>10.14</v>
      </c>
      <c r="F520" s="9" t="str">
        <f t="shared" si="50"/>
        <v>Identical</v>
      </c>
      <c r="G520" s="27">
        <f t="shared" si="51"/>
        <v>2515.8768930141669</v>
      </c>
      <c r="H520" s="29">
        <v>2.82</v>
      </c>
      <c r="I520" s="29">
        <v>2.82</v>
      </c>
      <c r="J520" s="9" t="str">
        <f t="shared" si="52"/>
        <v>Identical</v>
      </c>
      <c r="K520" s="9" t="s">
        <v>539</v>
      </c>
      <c r="L520" s="9" t="s">
        <v>539</v>
      </c>
      <c r="M520" s="9" t="str">
        <f t="shared" si="53"/>
        <v>Same</v>
      </c>
      <c r="N520" s="30" t="s">
        <v>1173</v>
      </c>
      <c r="O520" s="30" t="s">
        <v>1174</v>
      </c>
    </row>
    <row r="521" spans="1:15" ht="15" customHeight="1" x14ac:dyDescent="0.2">
      <c r="A521" s="9">
        <v>516</v>
      </c>
      <c r="B521" s="27">
        <f t="shared" si="48"/>
        <v>2520.76209086468</v>
      </c>
      <c r="C521" s="27">
        <f t="shared" si="49"/>
        <v>10173.795798729847</v>
      </c>
      <c r="D521" s="28">
        <v>10.16</v>
      </c>
      <c r="E521" s="28">
        <v>10.16</v>
      </c>
      <c r="F521" s="9" t="str">
        <f t="shared" si="50"/>
        <v>Identical</v>
      </c>
      <c r="G521" s="27">
        <f t="shared" si="51"/>
        <v>2520.76209086468</v>
      </c>
      <c r="H521" s="29">
        <v>2.83</v>
      </c>
      <c r="I521" s="29">
        <v>2.83</v>
      </c>
      <c r="J521" s="9" t="str">
        <f t="shared" si="52"/>
        <v>Identical</v>
      </c>
      <c r="K521" s="9" t="s">
        <v>539</v>
      </c>
      <c r="L521" s="9" t="s">
        <v>539</v>
      </c>
      <c r="M521" s="9" t="str">
        <f t="shared" si="53"/>
        <v>Same</v>
      </c>
      <c r="N521" s="30" t="s">
        <v>1175</v>
      </c>
      <c r="O521" s="30" t="s">
        <v>1176</v>
      </c>
    </row>
    <row r="522" spans="1:15" ht="15" customHeight="1" x14ac:dyDescent="0.2">
      <c r="A522" s="9">
        <v>517</v>
      </c>
      <c r="B522" s="27">
        <f t="shared" si="48"/>
        <v>2525.6472887151931</v>
      </c>
      <c r="C522" s="27">
        <f t="shared" si="49"/>
        <v>10193.512457254519</v>
      </c>
      <c r="D522" s="28">
        <v>10.18</v>
      </c>
      <c r="E522" s="28">
        <v>10.18</v>
      </c>
      <c r="F522" s="9" t="str">
        <f t="shared" si="50"/>
        <v>Identical</v>
      </c>
      <c r="G522" s="27">
        <f t="shared" si="51"/>
        <v>2525.6472887151931</v>
      </c>
      <c r="H522" s="29">
        <v>2.83</v>
      </c>
      <c r="I522" s="29">
        <v>2.83</v>
      </c>
      <c r="J522" s="9" t="str">
        <f t="shared" si="52"/>
        <v>Identical</v>
      </c>
      <c r="K522" s="9" t="s">
        <v>539</v>
      </c>
      <c r="L522" s="9" t="s">
        <v>539</v>
      </c>
      <c r="M522" s="9" t="str">
        <f t="shared" si="53"/>
        <v>Same</v>
      </c>
      <c r="N522" s="30" t="s">
        <v>1175</v>
      </c>
      <c r="O522" s="30" t="s">
        <v>1176</v>
      </c>
    </row>
    <row r="523" spans="1:15" ht="15" customHeight="1" x14ac:dyDescent="0.2">
      <c r="A523" s="9">
        <v>518</v>
      </c>
      <c r="B523" s="27">
        <f t="shared" si="48"/>
        <v>2530.5324865657058</v>
      </c>
      <c r="C523" s="27">
        <f t="shared" si="49"/>
        <v>10213.229115779188</v>
      </c>
      <c r="D523" s="28">
        <v>10.199999999999999</v>
      </c>
      <c r="E523" s="28">
        <v>10.199999999999999</v>
      </c>
      <c r="F523" s="9" t="str">
        <f t="shared" si="50"/>
        <v>Identical</v>
      </c>
      <c r="G523" s="27">
        <f t="shared" si="51"/>
        <v>2530.5324865657058</v>
      </c>
      <c r="H523" s="29">
        <v>2.84</v>
      </c>
      <c r="I523" s="29">
        <v>2.84</v>
      </c>
      <c r="J523" s="9" t="str">
        <f t="shared" si="52"/>
        <v>Identical</v>
      </c>
      <c r="K523" s="9" t="s">
        <v>539</v>
      </c>
      <c r="L523" s="9" t="s">
        <v>539</v>
      </c>
      <c r="M523" s="9" t="str">
        <f t="shared" si="53"/>
        <v>Same</v>
      </c>
      <c r="N523" s="30" t="s">
        <v>1177</v>
      </c>
      <c r="O523" s="30" t="s">
        <v>1178</v>
      </c>
    </row>
    <row r="524" spans="1:15" ht="15" customHeight="1" x14ac:dyDescent="0.2">
      <c r="A524" s="9">
        <v>519</v>
      </c>
      <c r="B524" s="27">
        <f t="shared" si="48"/>
        <v>2535.4176844162189</v>
      </c>
      <c r="C524" s="27">
        <f t="shared" si="49"/>
        <v>10232.945774303858</v>
      </c>
      <c r="D524" s="28">
        <v>10.220000000000001</v>
      </c>
      <c r="E524" s="28">
        <v>10.220000000000001</v>
      </c>
      <c r="F524" s="9" t="str">
        <f t="shared" si="50"/>
        <v>Identical</v>
      </c>
      <c r="G524" s="27">
        <f t="shared" si="51"/>
        <v>2535.4176844162189</v>
      </c>
      <c r="H524" s="29">
        <v>2.84</v>
      </c>
      <c r="I524" s="29">
        <v>2.85</v>
      </c>
      <c r="J524" s="9" t="str">
        <f t="shared" si="52"/>
        <v>+0.01 A (nearest step)</v>
      </c>
      <c r="K524" s="9" t="s">
        <v>539</v>
      </c>
      <c r="L524" s="9" t="s">
        <v>539</v>
      </c>
      <c r="M524" s="9" t="str">
        <f t="shared" si="53"/>
        <v>Same</v>
      </c>
      <c r="N524" s="30" t="s">
        <v>1177</v>
      </c>
      <c r="O524" s="30" t="s">
        <v>1179</v>
      </c>
    </row>
    <row r="525" spans="1:15" ht="15" customHeight="1" x14ac:dyDescent="0.2">
      <c r="A525" s="9">
        <v>520</v>
      </c>
      <c r="B525" s="27">
        <f t="shared" si="48"/>
        <v>2540.3028822667316</v>
      </c>
      <c r="C525" s="27">
        <f t="shared" si="49"/>
        <v>10252.662432828527</v>
      </c>
      <c r="D525" s="28">
        <v>10.24</v>
      </c>
      <c r="E525" s="28">
        <v>10.24</v>
      </c>
      <c r="F525" s="9" t="str">
        <f t="shared" si="50"/>
        <v>Identical</v>
      </c>
      <c r="G525" s="27">
        <f t="shared" si="51"/>
        <v>2540.3028822667316</v>
      </c>
      <c r="H525" s="29">
        <v>2.85</v>
      </c>
      <c r="I525" s="29">
        <v>2.85</v>
      </c>
      <c r="J525" s="9" t="str">
        <f t="shared" si="52"/>
        <v>Identical</v>
      </c>
      <c r="K525" s="9" t="s">
        <v>539</v>
      </c>
      <c r="L525" s="9" t="s">
        <v>539</v>
      </c>
      <c r="M525" s="9" t="str">
        <f t="shared" si="53"/>
        <v>Same</v>
      </c>
      <c r="N525" s="30" t="s">
        <v>1180</v>
      </c>
      <c r="O525" s="30" t="s">
        <v>1179</v>
      </c>
    </row>
    <row r="526" spans="1:15" ht="15" customHeight="1" x14ac:dyDescent="0.2">
      <c r="A526" s="9">
        <v>521</v>
      </c>
      <c r="B526" s="27">
        <f t="shared" si="48"/>
        <v>2545.1880801172447</v>
      </c>
      <c r="C526" s="27">
        <f t="shared" si="49"/>
        <v>10272.379091353199</v>
      </c>
      <c r="D526" s="28">
        <v>10.26</v>
      </c>
      <c r="E526" s="28">
        <v>10.26</v>
      </c>
      <c r="F526" s="9" t="str">
        <f t="shared" si="50"/>
        <v>Identical</v>
      </c>
      <c r="G526" s="27">
        <f t="shared" si="51"/>
        <v>2545.1880801172447</v>
      </c>
      <c r="H526" s="29">
        <v>2.86</v>
      </c>
      <c r="I526" s="29">
        <v>2.86</v>
      </c>
      <c r="J526" s="9" t="str">
        <f t="shared" si="52"/>
        <v>Identical</v>
      </c>
      <c r="K526" s="9" t="s">
        <v>539</v>
      </c>
      <c r="L526" s="9" t="s">
        <v>539</v>
      </c>
      <c r="M526" s="9" t="str">
        <f t="shared" si="53"/>
        <v>Same</v>
      </c>
      <c r="N526" s="30" t="s">
        <v>1181</v>
      </c>
      <c r="O526" s="30" t="s">
        <v>1182</v>
      </c>
    </row>
    <row r="527" spans="1:15" ht="15" customHeight="1" x14ac:dyDescent="0.2">
      <c r="A527" s="9">
        <v>522</v>
      </c>
      <c r="B527" s="27">
        <f t="shared" si="48"/>
        <v>2550.0732779677578</v>
      </c>
      <c r="C527" s="27">
        <f t="shared" si="49"/>
        <v>10292.09574987787</v>
      </c>
      <c r="D527" s="28">
        <v>10.28</v>
      </c>
      <c r="E527" s="28">
        <v>10.28</v>
      </c>
      <c r="F527" s="9" t="str">
        <f t="shared" si="50"/>
        <v>Identical</v>
      </c>
      <c r="G527" s="27">
        <f t="shared" si="51"/>
        <v>2550.0732779677578</v>
      </c>
      <c r="H527" s="29">
        <v>2.86</v>
      </c>
      <c r="I527" s="29">
        <v>2.86</v>
      </c>
      <c r="J527" s="9" t="str">
        <f t="shared" si="52"/>
        <v>Identical</v>
      </c>
      <c r="K527" s="9" t="s">
        <v>539</v>
      </c>
      <c r="L527" s="9" t="s">
        <v>539</v>
      </c>
      <c r="M527" s="9" t="str">
        <f t="shared" si="53"/>
        <v>Same</v>
      </c>
      <c r="N527" s="30" t="s">
        <v>1181</v>
      </c>
      <c r="O527" s="30" t="s">
        <v>1182</v>
      </c>
    </row>
    <row r="528" spans="1:15" ht="15" customHeight="1" x14ac:dyDescent="0.2">
      <c r="A528" s="9">
        <v>523</v>
      </c>
      <c r="B528" s="27">
        <f t="shared" si="48"/>
        <v>2554.9584758182705</v>
      </c>
      <c r="C528" s="27">
        <f t="shared" si="49"/>
        <v>10311.812408402538</v>
      </c>
      <c r="D528" s="28">
        <v>10.3</v>
      </c>
      <c r="E528" s="28">
        <v>10.3</v>
      </c>
      <c r="F528" s="9" t="str">
        <f t="shared" si="50"/>
        <v>Identical</v>
      </c>
      <c r="G528" s="27">
        <f t="shared" si="51"/>
        <v>2554.9584758182705</v>
      </c>
      <c r="H528" s="29">
        <v>2.87</v>
      </c>
      <c r="I528" s="29">
        <v>2.87</v>
      </c>
      <c r="J528" s="9" t="str">
        <f t="shared" si="52"/>
        <v>Identical</v>
      </c>
      <c r="K528" s="9" t="s">
        <v>539</v>
      </c>
      <c r="L528" s="9" t="s">
        <v>539</v>
      </c>
      <c r="M528" s="9" t="str">
        <f t="shared" si="53"/>
        <v>Same</v>
      </c>
      <c r="N528" s="30" t="s">
        <v>1183</v>
      </c>
      <c r="O528" s="30" t="s">
        <v>1184</v>
      </c>
    </row>
    <row r="529" spans="1:15" ht="15" customHeight="1" x14ac:dyDescent="0.2">
      <c r="A529" s="9">
        <v>524</v>
      </c>
      <c r="B529" s="27">
        <f t="shared" si="48"/>
        <v>2559.8436736687836</v>
      </c>
      <c r="C529" s="27">
        <f t="shared" si="49"/>
        <v>10331.529066927209</v>
      </c>
      <c r="D529" s="28">
        <v>10.32</v>
      </c>
      <c r="E529" s="28">
        <v>10.32</v>
      </c>
      <c r="F529" s="9" t="str">
        <f t="shared" si="50"/>
        <v>Identical</v>
      </c>
      <c r="G529" s="27">
        <f t="shared" si="51"/>
        <v>2559.8436736687836</v>
      </c>
      <c r="H529" s="29">
        <v>2.87</v>
      </c>
      <c r="I529" s="29">
        <v>2.87</v>
      </c>
      <c r="J529" s="9" t="str">
        <f t="shared" si="52"/>
        <v>Identical</v>
      </c>
      <c r="K529" s="9" t="s">
        <v>539</v>
      </c>
      <c r="L529" s="9" t="s">
        <v>539</v>
      </c>
      <c r="M529" s="9" t="str">
        <f t="shared" si="53"/>
        <v>Same</v>
      </c>
      <c r="N529" s="30" t="s">
        <v>1183</v>
      </c>
      <c r="O529" s="30" t="s">
        <v>1184</v>
      </c>
    </row>
    <row r="530" spans="1:15" ht="15" customHeight="1" x14ac:dyDescent="0.2">
      <c r="A530" s="9">
        <v>525</v>
      </c>
      <c r="B530" s="27">
        <f t="shared" si="48"/>
        <v>2564.7288715192967</v>
      </c>
      <c r="C530" s="27">
        <f t="shared" si="49"/>
        <v>10351.245725451881</v>
      </c>
      <c r="D530" s="28">
        <v>10.34</v>
      </c>
      <c r="E530" s="28">
        <v>10.34</v>
      </c>
      <c r="F530" s="9" t="str">
        <f t="shared" si="50"/>
        <v>Identical</v>
      </c>
      <c r="G530" s="27">
        <f t="shared" si="51"/>
        <v>2564.7288715192967</v>
      </c>
      <c r="H530" s="29">
        <v>2.88</v>
      </c>
      <c r="I530" s="29">
        <v>2.88</v>
      </c>
      <c r="J530" s="9" t="str">
        <f t="shared" si="52"/>
        <v>Identical</v>
      </c>
      <c r="K530" s="9" t="s">
        <v>539</v>
      </c>
      <c r="L530" s="9" t="s">
        <v>539</v>
      </c>
      <c r="M530" s="9" t="str">
        <f t="shared" si="53"/>
        <v>Same</v>
      </c>
      <c r="N530" s="30" t="s">
        <v>1185</v>
      </c>
      <c r="O530" s="30" t="s">
        <v>1186</v>
      </c>
    </row>
    <row r="531" spans="1:15" ht="15" customHeight="1" x14ac:dyDescent="0.2">
      <c r="A531" s="9">
        <v>526</v>
      </c>
      <c r="B531" s="27">
        <f t="shared" si="48"/>
        <v>2569.6140693698094</v>
      </c>
      <c r="C531" s="27">
        <f t="shared" si="49"/>
        <v>10370.96238397655</v>
      </c>
      <c r="D531" s="28">
        <v>10.36</v>
      </c>
      <c r="E531" s="28">
        <v>10.36</v>
      </c>
      <c r="F531" s="9" t="str">
        <f t="shared" si="50"/>
        <v>Identical</v>
      </c>
      <c r="G531" s="27">
        <f t="shared" si="51"/>
        <v>2569.6140693698094</v>
      </c>
      <c r="H531" s="29">
        <v>2.88</v>
      </c>
      <c r="I531" s="29">
        <v>2.89</v>
      </c>
      <c r="J531" s="9" t="str">
        <f t="shared" si="52"/>
        <v>+0.01 A (nearest step)</v>
      </c>
      <c r="K531" s="9" t="s">
        <v>539</v>
      </c>
      <c r="L531" s="9" t="s">
        <v>539</v>
      </c>
      <c r="M531" s="9" t="str">
        <f t="shared" si="53"/>
        <v>Same</v>
      </c>
      <c r="N531" s="30" t="s">
        <v>1185</v>
      </c>
      <c r="O531" s="30" t="s">
        <v>1187</v>
      </c>
    </row>
    <row r="532" spans="1:15" ht="15" customHeight="1" x14ac:dyDescent="0.2">
      <c r="A532" s="9">
        <v>527</v>
      </c>
      <c r="B532" s="27">
        <f t="shared" si="48"/>
        <v>2574.4992672203225</v>
      </c>
      <c r="C532" s="27">
        <f t="shared" si="49"/>
        <v>10390.67904250122</v>
      </c>
      <c r="D532" s="28">
        <v>10.38</v>
      </c>
      <c r="E532" s="28">
        <v>10.38</v>
      </c>
      <c r="F532" s="9" t="str">
        <f t="shared" si="50"/>
        <v>Identical</v>
      </c>
      <c r="G532" s="27">
        <f t="shared" si="51"/>
        <v>2574.4992672203225</v>
      </c>
      <c r="H532" s="29">
        <v>2.89</v>
      </c>
      <c r="I532" s="29">
        <v>2.89</v>
      </c>
      <c r="J532" s="9" t="str">
        <f t="shared" si="52"/>
        <v>Identical</v>
      </c>
      <c r="K532" s="9" t="s">
        <v>539</v>
      </c>
      <c r="L532" s="9" t="s">
        <v>539</v>
      </c>
      <c r="M532" s="9" t="str">
        <f t="shared" si="53"/>
        <v>Same</v>
      </c>
      <c r="N532" s="30" t="s">
        <v>1188</v>
      </c>
      <c r="O532" s="30" t="s">
        <v>1187</v>
      </c>
    </row>
    <row r="533" spans="1:15" ht="15" customHeight="1" x14ac:dyDescent="0.2">
      <c r="A533" s="9">
        <v>528</v>
      </c>
      <c r="B533" s="27">
        <f t="shared" si="48"/>
        <v>2579.3844650708352</v>
      </c>
      <c r="C533" s="27">
        <f t="shared" si="49"/>
        <v>10410.395701025889</v>
      </c>
      <c r="D533" s="28">
        <v>10.4</v>
      </c>
      <c r="E533" s="28">
        <v>10.4</v>
      </c>
      <c r="F533" s="9" t="str">
        <f t="shared" si="50"/>
        <v>Identical</v>
      </c>
      <c r="G533" s="27">
        <f t="shared" si="51"/>
        <v>2579.3844650708352</v>
      </c>
      <c r="H533" s="29">
        <v>2.9</v>
      </c>
      <c r="I533" s="29">
        <v>2.9</v>
      </c>
      <c r="J533" s="9" t="str">
        <f t="shared" si="52"/>
        <v>Identical</v>
      </c>
      <c r="K533" s="9" t="s">
        <v>539</v>
      </c>
      <c r="L533" s="9" t="s">
        <v>539</v>
      </c>
      <c r="M533" s="9" t="str">
        <f t="shared" si="53"/>
        <v>Same</v>
      </c>
      <c r="N533" s="30" t="s">
        <v>1189</v>
      </c>
      <c r="O533" s="30" t="s">
        <v>1190</v>
      </c>
    </row>
    <row r="534" spans="1:15" ht="15" customHeight="1" x14ac:dyDescent="0.2">
      <c r="A534" s="9">
        <v>529</v>
      </c>
      <c r="B534" s="27">
        <f t="shared" si="48"/>
        <v>2584.2696629213483</v>
      </c>
      <c r="C534" s="27">
        <f t="shared" si="49"/>
        <v>10430.112359550561</v>
      </c>
      <c r="D534" s="28">
        <v>10.42</v>
      </c>
      <c r="E534" s="28">
        <v>10.42</v>
      </c>
      <c r="F534" s="9" t="str">
        <f t="shared" si="50"/>
        <v>Identical</v>
      </c>
      <c r="G534" s="27">
        <f t="shared" si="51"/>
        <v>2584.2696629213483</v>
      </c>
      <c r="H534" s="29">
        <v>2.9</v>
      </c>
      <c r="I534" s="29">
        <v>2.9</v>
      </c>
      <c r="J534" s="9" t="str">
        <f t="shared" si="52"/>
        <v>Identical</v>
      </c>
      <c r="K534" s="9" t="s">
        <v>539</v>
      </c>
      <c r="L534" s="9" t="s">
        <v>539</v>
      </c>
      <c r="M534" s="9" t="str">
        <f t="shared" si="53"/>
        <v>Same</v>
      </c>
      <c r="N534" s="30" t="s">
        <v>1189</v>
      </c>
      <c r="O534" s="30" t="s">
        <v>1190</v>
      </c>
    </row>
    <row r="535" spans="1:15" ht="15" customHeight="1" x14ac:dyDescent="0.2">
      <c r="A535" s="9">
        <v>530</v>
      </c>
      <c r="B535" s="27">
        <f t="shared" si="48"/>
        <v>2589.1548607718614</v>
      </c>
      <c r="C535" s="27">
        <f t="shared" si="49"/>
        <v>10449.829018075232</v>
      </c>
      <c r="D535" s="28">
        <v>10.43</v>
      </c>
      <c r="E535" s="28">
        <v>10.44</v>
      </c>
      <c r="F535" s="9" t="str">
        <f t="shared" si="50"/>
        <v>Within 10 mV (calibration line)</v>
      </c>
      <c r="G535" s="27">
        <f t="shared" si="51"/>
        <v>2589.1548607718614</v>
      </c>
      <c r="H535" s="29">
        <v>2.91</v>
      </c>
      <c r="I535" s="29">
        <v>2.91</v>
      </c>
      <c r="J535" s="9" t="str">
        <f t="shared" si="52"/>
        <v>Identical</v>
      </c>
      <c r="K535" s="9" t="s">
        <v>539</v>
      </c>
      <c r="L535" s="9" t="s">
        <v>539</v>
      </c>
      <c r="M535" s="9" t="str">
        <f t="shared" si="53"/>
        <v>Same</v>
      </c>
      <c r="N535" s="30" t="s">
        <v>1191</v>
      </c>
      <c r="O535" s="30" t="s">
        <v>1192</v>
      </c>
    </row>
    <row r="536" spans="1:15" ht="15" customHeight="1" x14ac:dyDescent="0.2">
      <c r="A536" s="9">
        <v>531</v>
      </c>
      <c r="B536" s="27">
        <f t="shared" si="48"/>
        <v>2594.0400586223741</v>
      </c>
      <c r="C536" s="27">
        <f t="shared" si="49"/>
        <v>10469.545676599901</v>
      </c>
      <c r="D536" s="28">
        <v>10.45</v>
      </c>
      <c r="E536" s="28">
        <v>10.46</v>
      </c>
      <c r="F536" s="9" t="str">
        <f t="shared" si="50"/>
        <v>Within 10 mV (calibration line)</v>
      </c>
      <c r="G536" s="27">
        <f t="shared" si="51"/>
        <v>2594.0400586223741</v>
      </c>
      <c r="H536" s="29">
        <v>2.91</v>
      </c>
      <c r="I536" s="29">
        <v>2.91</v>
      </c>
      <c r="J536" s="9" t="str">
        <f t="shared" si="52"/>
        <v>Identical</v>
      </c>
      <c r="K536" s="9" t="s">
        <v>539</v>
      </c>
      <c r="L536" s="9" t="s">
        <v>539</v>
      </c>
      <c r="M536" s="9" t="str">
        <f t="shared" si="53"/>
        <v>Same</v>
      </c>
      <c r="N536" s="30" t="s">
        <v>1191</v>
      </c>
      <c r="O536" s="30" t="s">
        <v>1192</v>
      </c>
    </row>
    <row r="537" spans="1:15" ht="15" customHeight="1" x14ac:dyDescent="0.2">
      <c r="A537" s="9">
        <v>532</v>
      </c>
      <c r="B537" s="27">
        <f t="shared" si="48"/>
        <v>2598.9252564728872</v>
      </c>
      <c r="C537" s="27">
        <f t="shared" si="49"/>
        <v>10489.262335124571</v>
      </c>
      <c r="D537" s="28">
        <v>10.47</v>
      </c>
      <c r="E537" s="28">
        <v>10.48</v>
      </c>
      <c r="F537" s="9" t="str">
        <f t="shared" si="50"/>
        <v>Within 10 mV (calibration line)</v>
      </c>
      <c r="G537" s="27">
        <f t="shared" si="51"/>
        <v>2598.9252564728872</v>
      </c>
      <c r="H537" s="29">
        <v>2.92</v>
      </c>
      <c r="I537" s="29">
        <v>2.92</v>
      </c>
      <c r="J537" s="9" t="str">
        <f t="shared" si="52"/>
        <v>Identical</v>
      </c>
      <c r="K537" s="9" t="s">
        <v>539</v>
      </c>
      <c r="L537" s="9" t="s">
        <v>539</v>
      </c>
      <c r="M537" s="9" t="str">
        <f t="shared" si="53"/>
        <v>Same</v>
      </c>
      <c r="N537" s="30" t="s">
        <v>1193</v>
      </c>
      <c r="O537" s="30" t="s">
        <v>1194</v>
      </c>
    </row>
    <row r="538" spans="1:15" ht="15" customHeight="1" x14ac:dyDescent="0.2">
      <c r="A538" s="9">
        <v>533</v>
      </c>
      <c r="B538" s="27">
        <f t="shared" si="48"/>
        <v>2603.8104543234003</v>
      </c>
      <c r="C538" s="27">
        <f t="shared" si="49"/>
        <v>10508.978993649243</v>
      </c>
      <c r="D538" s="28">
        <v>10.49</v>
      </c>
      <c r="E538" s="28">
        <v>10.5</v>
      </c>
      <c r="F538" s="9" t="str">
        <f t="shared" si="50"/>
        <v>Within 10 mV (calibration line)</v>
      </c>
      <c r="G538" s="27">
        <f t="shared" si="51"/>
        <v>2603.8104543234003</v>
      </c>
      <c r="H538" s="29">
        <v>2.92</v>
      </c>
      <c r="I538" s="29">
        <v>2.92</v>
      </c>
      <c r="J538" s="9" t="str">
        <f t="shared" si="52"/>
        <v>Identical</v>
      </c>
      <c r="K538" s="9" t="s">
        <v>539</v>
      </c>
      <c r="L538" s="9" t="s">
        <v>539</v>
      </c>
      <c r="M538" s="9" t="str">
        <f t="shared" si="53"/>
        <v>Same</v>
      </c>
      <c r="N538" s="30" t="s">
        <v>1193</v>
      </c>
      <c r="O538" s="30" t="s">
        <v>1194</v>
      </c>
    </row>
    <row r="539" spans="1:15" ht="15" customHeight="1" x14ac:dyDescent="0.2">
      <c r="A539" s="9">
        <v>534</v>
      </c>
      <c r="B539" s="27">
        <f t="shared" si="48"/>
        <v>2608.695652173913</v>
      </c>
      <c r="C539" s="27">
        <f t="shared" si="49"/>
        <v>10528.695652173912</v>
      </c>
      <c r="D539" s="28">
        <v>10.51</v>
      </c>
      <c r="E539" s="28">
        <v>10.52</v>
      </c>
      <c r="F539" s="9" t="str">
        <f t="shared" si="50"/>
        <v>Within 10 mV (calibration line)</v>
      </c>
      <c r="G539" s="27">
        <f t="shared" si="51"/>
        <v>2608.695652173913</v>
      </c>
      <c r="H539" s="29">
        <v>2.93</v>
      </c>
      <c r="I539" s="29">
        <v>2.93</v>
      </c>
      <c r="J539" s="9" t="str">
        <f t="shared" si="52"/>
        <v>Identical</v>
      </c>
      <c r="K539" s="9" t="s">
        <v>539</v>
      </c>
      <c r="L539" s="9" t="s">
        <v>539</v>
      </c>
      <c r="M539" s="9" t="str">
        <f t="shared" si="53"/>
        <v>Same</v>
      </c>
      <c r="N539" s="30" t="s">
        <v>1195</v>
      </c>
      <c r="O539" s="30" t="s">
        <v>1196</v>
      </c>
    </row>
    <row r="540" spans="1:15" ht="15" customHeight="1" x14ac:dyDescent="0.2">
      <c r="A540" s="9">
        <v>535</v>
      </c>
      <c r="B540" s="27">
        <f t="shared" si="48"/>
        <v>2613.5808500244261</v>
      </c>
      <c r="C540" s="27">
        <f t="shared" si="49"/>
        <v>10548.412310698583</v>
      </c>
      <c r="D540" s="28">
        <v>10.53</v>
      </c>
      <c r="E540" s="28">
        <v>10.53</v>
      </c>
      <c r="F540" s="9" t="str">
        <f t="shared" si="50"/>
        <v>Identical</v>
      </c>
      <c r="G540" s="27">
        <f t="shared" si="51"/>
        <v>2613.5808500244261</v>
      </c>
      <c r="H540" s="29">
        <v>2.93</v>
      </c>
      <c r="I540" s="29">
        <v>2.94</v>
      </c>
      <c r="J540" s="9" t="str">
        <f t="shared" si="52"/>
        <v>+0.01 A (nearest step)</v>
      </c>
      <c r="K540" s="9" t="s">
        <v>539</v>
      </c>
      <c r="L540" s="9" t="s">
        <v>539</v>
      </c>
      <c r="M540" s="9" t="str">
        <f t="shared" si="53"/>
        <v>Same</v>
      </c>
      <c r="N540" s="30" t="s">
        <v>1195</v>
      </c>
      <c r="O540" s="30" t="s">
        <v>1197</v>
      </c>
    </row>
    <row r="541" spans="1:15" ht="15" customHeight="1" x14ac:dyDescent="0.2">
      <c r="A541" s="9">
        <v>536</v>
      </c>
      <c r="B541" s="27">
        <f t="shared" si="48"/>
        <v>2618.4660478749388</v>
      </c>
      <c r="C541" s="27">
        <f t="shared" si="49"/>
        <v>10568.128969223251</v>
      </c>
      <c r="D541" s="28">
        <v>10.55</v>
      </c>
      <c r="E541" s="28">
        <v>10.55</v>
      </c>
      <c r="F541" s="9" t="str">
        <f t="shared" si="50"/>
        <v>Identical</v>
      </c>
      <c r="G541" s="27">
        <f t="shared" si="51"/>
        <v>2618.4660478749388</v>
      </c>
      <c r="H541" s="29">
        <v>2.94</v>
      </c>
      <c r="I541" s="29">
        <v>2.94</v>
      </c>
      <c r="J541" s="9" t="str">
        <f t="shared" si="52"/>
        <v>Identical</v>
      </c>
      <c r="K541" s="9" t="s">
        <v>539</v>
      </c>
      <c r="L541" s="9" t="s">
        <v>539</v>
      </c>
      <c r="M541" s="9" t="str">
        <f t="shared" si="53"/>
        <v>Same</v>
      </c>
      <c r="N541" s="30" t="s">
        <v>1198</v>
      </c>
      <c r="O541" s="30" t="s">
        <v>1197</v>
      </c>
    </row>
    <row r="542" spans="1:15" ht="15" customHeight="1" x14ac:dyDescent="0.2">
      <c r="A542" s="9">
        <v>537</v>
      </c>
      <c r="B542" s="27">
        <f t="shared" si="48"/>
        <v>2623.3512457254519</v>
      </c>
      <c r="C542" s="27">
        <f t="shared" si="49"/>
        <v>10587.845627747924</v>
      </c>
      <c r="D542" s="28">
        <v>10.57</v>
      </c>
      <c r="E542" s="28">
        <v>10.57</v>
      </c>
      <c r="F542" s="9" t="str">
        <f t="shared" si="50"/>
        <v>Identical</v>
      </c>
      <c r="G542" s="27">
        <f t="shared" si="51"/>
        <v>2623.3512457254519</v>
      </c>
      <c r="H542" s="29">
        <v>2.95</v>
      </c>
      <c r="I542" s="29">
        <v>2.95</v>
      </c>
      <c r="J542" s="9" t="str">
        <f t="shared" si="52"/>
        <v>Identical</v>
      </c>
      <c r="K542" s="9" t="s">
        <v>539</v>
      </c>
      <c r="L542" s="9" t="s">
        <v>539</v>
      </c>
      <c r="M542" s="9" t="str">
        <f t="shared" si="53"/>
        <v>Same</v>
      </c>
      <c r="N542" s="30" t="s">
        <v>1199</v>
      </c>
      <c r="O542" s="30" t="s">
        <v>1200</v>
      </c>
    </row>
    <row r="543" spans="1:15" ht="15" customHeight="1" x14ac:dyDescent="0.2">
      <c r="A543" s="9">
        <v>538</v>
      </c>
      <c r="B543" s="27">
        <f t="shared" si="48"/>
        <v>2628.236443575965</v>
      </c>
      <c r="C543" s="27">
        <f t="shared" si="49"/>
        <v>10607.562286272594</v>
      </c>
      <c r="D543" s="28">
        <v>10.59</v>
      </c>
      <c r="E543" s="28">
        <v>10.59</v>
      </c>
      <c r="F543" s="9" t="str">
        <f t="shared" si="50"/>
        <v>Identical</v>
      </c>
      <c r="G543" s="27">
        <f t="shared" si="51"/>
        <v>2628.236443575965</v>
      </c>
      <c r="H543" s="29">
        <v>2.95</v>
      </c>
      <c r="I543" s="29">
        <v>2.95</v>
      </c>
      <c r="J543" s="9" t="str">
        <f t="shared" si="52"/>
        <v>Identical</v>
      </c>
      <c r="K543" s="9" t="s">
        <v>539</v>
      </c>
      <c r="L543" s="9" t="s">
        <v>539</v>
      </c>
      <c r="M543" s="9" t="str">
        <f t="shared" si="53"/>
        <v>Same</v>
      </c>
      <c r="N543" s="30" t="s">
        <v>1199</v>
      </c>
      <c r="O543" s="30" t="s">
        <v>1200</v>
      </c>
    </row>
    <row r="544" spans="1:15" ht="15" customHeight="1" x14ac:dyDescent="0.2">
      <c r="A544" s="9">
        <v>539</v>
      </c>
      <c r="B544" s="27">
        <f t="shared" si="48"/>
        <v>2633.1216414264777</v>
      </c>
      <c r="C544" s="27">
        <f t="shared" si="49"/>
        <v>10627.278944797263</v>
      </c>
      <c r="D544" s="28">
        <v>10.61</v>
      </c>
      <c r="E544" s="28">
        <v>10.61</v>
      </c>
      <c r="F544" s="9" t="str">
        <f t="shared" si="50"/>
        <v>Identical</v>
      </c>
      <c r="G544" s="27">
        <f t="shared" si="51"/>
        <v>2633.1216414264777</v>
      </c>
      <c r="H544" s="29">
        <v>2.96</v>
      </c>
      <c r="I544" s="29">
        <v>2.96</v>
      </c>
      <c r="J544" s="9" t="str">
        <f t="shared" si="52"/>
        <v>Identical</v>
      </c>
      <c r="K544" s="9" t="s">
        <v>539</v>
      </c>
      <c r="L544" s="9" t="s">
        <v>539</v>
      </c>
      <c r="M544" s="9" t="str">
        <f t="shared" si="53"/>
        <v>Same</v>
      </c>
      <c r="N544" s="30" t="s">
        <v>1201</v>
      </c>
      <c r="O544" s="30" t="s">
        <v>1202</v>
      </c>
    </row>
    <row r="545" spans="1:15" ht="15" customHeight="1" x14ac:dyDescent="0.2">
      <c r="A545" s="9">
        <v>540</v>
      </c>
      <c r="B545" s="27">
        <f t="shared" si="48"/>
        <v>2638.0068392769908</v>
      </c>
      <c r="C545" s="27">
        <f t="shared" si="49"/>
        <v>10646.995603321933</v>
      </c>
      <c r="D545" s="28">
        <v>10.63</v>
      </c>
      <c r="E545" s="28">
        <v>10.63</v>
      </c>
      <c r="F545" s="9" t="str">
        <f t="shared" si="50"/>
        <v>Identical</v>
      </c>
      <c r="G545" s="27">
        <f t="shared" si="51"/>
        <v>2638.0068392769908</v>
      </c>
      <c r="H545" s="29">
        <v>2.96</v>
      </c>
      <c r="I545" s="29">
        <v>2.96</v>
      </c>
      <c r="J545" s="9" t="str">
        <f t="shared" si="52"/>
        <v>Identical</v>
      </c>
      <c r="K545" s="9" t="s">
        <v>539</v>
      </c>
      <c r="L545" s="9" t="s">
        <v>539</v>
      </c>
      <c r="M545" s="9" t="str">
        <f t="shared" si="53"/>
        <v>Same</v>
      </c>
      <c r="N545" s="30" t="s">
        <v>1201</v>
      </c>
      <c r="O545" s="30" t="s">
        <v>1202</v>
      </c>
    </row>
    <row r="546" spans="1:15" ht="15" customHeight="1" x14ac:dyDescent="0.2">
      <c r="A546" s="9">
        <v>541</v>
      </c>
      <c r="B546" s="27">
        <f t="shared" si="48"/>
        <v>2642.892037127504</v>
      </c>
      <c r="C546" s="27">
        <f t="shared" si="49"/>
        <v>10666.712261846606</v>
      </c>
      <c r="D546" s="28">
        <v>10.65</v>
      </c>
      <c r="E546" s="28">
        <v>10.65</v>
      </c>
      <c r="F546" s="9" t="str">
        <f t="shared" si="50"/>
        <v>Identical</v>
      </c>
      <c r="G546" s="27">
        <f t="shared" si="51"/>
        <v>2642.892037127504</v>
      </c>
      <c r="H546" s="29">
        <v>2.97</v>
      </c>
      <c r="I546" s="29">
        <v>2.97</v>
      </c>
      <c r="J546" s="9" t="str">
        <f t="shared" si="52"/>
        <v>Identical</v>
      </c>
      <c r="K546" s="9" t="s">
        <v>539</v>
      </c>
      <c r="L546" s="9" t="s">
        <v>539</v>
      </c>
      <c r="M546" s="9" t="str">
        <f t="shared" si="53"/>
        <v>Same</v>
      </c>
      <c r="N546" s="30" t="s">
        <v>1203</v>
      </c>
      <c r="O546" s="30" t="s">
        <v>1204</v>
      </c>
    </row>
    <row r="547" spans="1:15" ht="15" customHeight="1" x14ac:dyDescent="0.2">
      <c r="A547" s="9">
        <v>542</v>
      </c>
      <c r="B547" s="27">
        <f t="shared" si="48"/>
        <v>2647.7772349780166</v>
      </c>
      <c r="C547" s="27">
        <f t="shared" si="49"/>
        <v>10686.428920371274</v>
      </c>
      <c r="D547" s="28">
        <v>10.67</v>
      </c>
      <c r="E547" s="28">
        <v>10.67</v>
      </c>
      <c r="F547" s="9" t="str">
        <f t="shared" si="50"/>
        <v>Identical</v>
      </c>
      <c r="G547" s="27">
        <f t="shared" si="51"/>
        <v>2647.7772349780166</v>
      </c>
      <c r="H547" s="29">
        <v>2.97</v>
      </c>
      <c r="I547" s="29">
        <v>2.97</v>
      </c>
      <c r="J547" s="9" t="str">
        <f t="shared" si="52"/>
        <v>Identical</v>
      </c>
      <c r="K547" s="9" t="s">
        <v>539</v>
      </c>
      <c r="L547" s="9" t="s">
        <v>539</v>
      </c>
      <c r="M547" s="9" t="str">
        <f t="shared" si="53"/>
        <v>Same</v>
      </c>
      <c r="N547" s="30" t="s">
        <v>1203</v>
      </c>
      <c r="O547" s="30" t="s">
        <v>1204</v>
      </c>
    </row>
    <row r="548" spans="1:15" ht="15" customHeight="1" x14ac:dyDescent="0.2">
      <c r="A548" s="9">
        <v>543</v>
      </c>
      <c r="B548" s="27">
        <f t="shared" si="48"/>
        <v>2652.6624328285297</v>
      </c>
      <c r="C548" s="27">
        <f t="shared" si="49"/>
        <v>10706.145578895945</v>
      </c>
      <c r="D548" s="28">
        <v>10.69</v>
      </c>
      <c r="E548" s="28">
        <v>10.69</v>
      </c>
      <c r="F548" s="9" t="str">
        <f t="shared" si="50"/>
        <v>Identical</v>
      </c>
      <c r="G548" s="27">
        <f t="shared" si="51"/>
        <v>2652.6624328285297</v>
      </c>
      <c r="H548" s="29">
        <v>2.98</v>
      </c>
      <c r="I548" s="29">
        <v>2.98</v>
      </c>
      <c r="J548" s="9" t="str">
        <f t="shared" si="52"/>
        <v>Identical</v>
      </c>
      <c r="K548" s="9" t="s">
        <v>539</v>
      </c>
      <c r="L548" s="9" t="s">
        <v>539</v>
      </c>
      <c r="M548" s="9" t="str">
        <f t="shared" si="53"/>
        <v>Same</v>
      </c>
      <c r="N548" s="30" t="s">
        <v>1205</v>
      </c>
      <c r="O548" s="30" t="s">
        <v>1206</v>
      </c>
    </row>
    <row r="549" spans="1:15" ht="15" customHeight="1" x14ac:dyDescent="0.2">
      <c r="A549" s="9">
        <v>544</v>
      </c>
      <c r="B549" s="27">
        <f t="shared" si="48"/>
        <v>2657.5476306790424</v>
      </c>
      <c r="C549" s="27">
        <f t="shared" si="49"/>
        <v>10725.862237420613</v>
      </c>
      <c r="D549" s="28">
        <v>10.71</v>
      </c>
      <c r="E549" s="28">
        <v>10.71</v>
      </c>
      <c r="F549" s="9" t="str">
        <f t="shared" si="50"/>
        <v>Identical</v>
      </c>
      <c r="G549" s="27">
        <f t="shared" si="51"/>
        <v>2657.5476306790424</v>
      </c>
      <c r="H549" s="29">
        <v>2.98</v>
      </c>
      <c r="I549" s="29">
        <v>2.98</v>
      </c>
      <c r="J549" s="9" t="str">
        <f t="shared" si="52"/>
        <v>Identical</v>
      </c>
      <c r="K549" s="9" t="s">
        <v>539</v>
      </c>
      <c r="L549" s="9" t="s">
        <v>539</v>
      </c>
      <c r="M549" s="9" t="str">
        <f t="shared" si="53"/>
        <v>Same</v>
      </c>
      <c r="N549" s="30" t="s">
        <v>1205</v>
      </c>
      <c r="O549" s="30" t="s">
        <v>1206</v>
      </c>
    </row>
    <row r="550" spans="1:15" ht="15" customHeight="1" x14ac:dyDescent="0.2">
      <c r="A550" s="9">
        <v>545</v>
      </c>
      <c r="B550" s="27">
        <f t="shared" si="48"/>
        <v>2662.4328285295555</v>
      </c>
      <c r="C550" s="27">
        <f t="shared" si="49"/>
        <v>10745.578895945286</v>
      </c>
      <c r="D550" s="28">
        <v>10.73</v>
      </c>
      <c r="E550" s="28">
        <v>10.73</v>
      </c>
      <c r="F550" s="9" t="str">
        <f t="shared" si="50"/>
        <v>Identical</v>
      </c>
      <c r="G550" s="27">
        <f t="shared" si="51"/>
        <v>2662.4328285295555</v>
      </c>
      <c r="H550" s="29">
        <v>2.99</v>
      </c>
      <c r="I550" s="29">
        <v>2.99</v>
      </c>
      <c r="J550" s="9" t="str">
        <f t="shared" si="52"/>
        <v>Identical</v>
      </c>
      <c r="K550" s="9" t="s">
        <v>539</v>
      </c>
      <c r="L550" s="9" t="s">
        <v>539</v>
      </c>
      <c r="M550" s="9" t="str">
        <f t="shared" si="53"/>
        <v>Same</v>
      </c>
      <c r="N550" s="30" t="s">
        <v>1207</v>
      </c>
      <c r="O550" s="30" t="s">
        <v>1208</v>
      </c>
    </row>
    <row r="551" spans="1:15" ht="15" customHeight="1" x14ac:dyDescent="0.2">
      <c r="A551" s="9">
        <v>546</v>
      </c>
      <c r="B551" s="27">
        <f t="shared" si="48"/>
        <v>2667.3180263800687</v>
      </c>
      <c r="C551" s="27">
        <f t="shared" si="49"/>
        <v>10765.295554469956</v>
      </c>
      <c r="D551" s="28">
        <v>10.75</v>
      </c>
      <c r="E551" s="28">
        <v>10.75</v>
      </c>
      <c r="F551" s="9" t="str">
        <f t="shared" si="50"/>
        <v>Identical</v>
      </c>
      <c r="G551" s="27">
        <f t="shared" si="51"/>
        <v>2667.3180263800687</v>
      </c>
      <c r="H551" s="29">
        <v>2.99</v>
      </c>
      <c r="I551" s="29">
        <v>2.99</v>
      </c>
      <c r="J551" s="9" t="str">
        <f t="shared" si="52"/>
        <v>Identical</v>
      </c>
      <c r="K551" s="9" t="s">
        <v>539</v>
      </c>
      <c r="L551" s="9" t="s">
        <v>539</v>
      </c>
      <c r="M551" s="9" t="str">
        <f t="shared" si="53"/>
        <v>Same</v>
      </c>
      <c r="N551" s="30" t="s">
        <v>1207</v>
      </c>
      <c r="O551" s="30" t="s">
        <v>1208</v>
      </c>
    </row>
    <row r="552" spans="1:15" ht="15" customHeight="1" x14ac:dyDescent="0.2">
      <c r="A552" s="9">
        <v>547</v>
      </c>
      <c r="B552" s="27">
        <f t="shared" si="48"/>
        <v>2672.2032242305813</v>
      </c>
      <c r="C552" s="27">
        <f t="shared" si="49"/>
        <v>10785.012212994625</v>
      </c>
      <c r="D552" s="28">
        <v>10.77</v>
      </c>
      <c r="E552" s="28">
        <v>10.77</v>
      </c>
      <c r="F552" s="9" t="str">
        <f t="shared" si="50"/>
        <v>Identical</v>
      </c>
      <c r="G552" s="27">
        <f t="shared" si="51"/>
        <v>2672.2032242305813</v>
      </c>
      <c r="H552" s="29">
        <v>3</v>
      </c>
      <c r="I552" s="29">
        <v>3</v>
      </c>
      <c r="J552" s="9" t="str">
        <f t="shared" si="52"/>
        <v>Identical</v>
      </c>
      <c r="K552" s="9" t="s">
        <v>539</v>
      </c>
      <c r="L552" s="9" t="s">
        <v>539</v>
      </c>
      <c r="M552" s="9" t="str">
        <f t="shared" si="53"/>
        <v>Same</v>
      </c>
      <c r="N552" s="30" t="s">
        <v>1209</v>
      </c>
      <c r="O552" s="30" t="s">
        <v>1210</v>
      </c>
    </row>
    <row r="553" spans="1:15" ht="15" customHeight="1" x14ac:dyDescent="0.2">
      <c r="A553" s="9">
        <v>548</v>
      </c>
      <c r="B553" s="27">
        <f t="shared" si="48"/>
        <v>2677.0884220810944</v>
      </c>
      <c r="C553" s="27">
        <f t="shared" si="49"/>
        <v>10804.728871519295</v>
      </c>
      <c r="D553" s="28">
        <v>10.79</v>
      </c>
      <c r="E553" s="28">
        <v>10.79</v>
      </c>
      <c r="F553" s="9" t="str">
        <f t="shared" si="50"/>
        <v>Identical</v>
      </c>
      <c r="G553" s="27">
        <f t="shared" si="51"/>
        <v>2677.0884220810944</v>
      </c>
      <c r="H553" s="29">
        <v>3.01</v>
      </c>
      <c r="I553" s="29">
        <v>3.01</v>
      </c>
      <c r="J553" s="9" t="str">
        <f t="shared" si="52"/>
        <v>Identical</v>
      </c>
      <c r="K553" s="9" t="s">
        <v>539</v>
      </c>
      <c r="L553" s="9" t="s">
        <v>539</v>
      </c>
      <c r="M553" s="9" t="str">
        <f t="shared" si="53"/>
        <v>Same</v>
      </c>
      <c r="N553" s="30" t="s">
        <v>1211</v>
      </c>
      <c r="O553" s="30" t="s">
        <v>1212</v>
      </c>
    </row>
    <row r="554" spans="1:15" ht="15" customHeight="1" x14ac:dyDescent="0.2">
      <c r="A554" s="9">
        <v>549</v>
      </c>
      <c r="B554" s="27">
        <f t="shared" si="48"/>
        <v>2681.9736199316076</v>
      </c>
      <c r="C554" s="27">
        <f t="shared" si="49"/>
        <v>10824.445530043968</v>
      </c>
      <c r="D554" s="28">
        <v>10.81</v>
      </c>
      <c r="E554" s="28">
        <v>10.81</v>
      </c>
      <c r="F554" s="9" t="str">
        <f t="shared" si="50"/>
        <v>Identical</v>
      </c>
      <c r="G554" s="27">
        <f t="shared" si="51"/>
        <v>2681.9736199316076</v>
      </c>
      <c r="H554" s="29">
        <v>3.01</v>
      </c>
      <c r="I554" s="29">
        <v>3.01</v>
      </c>
      <c r="J554" s="9" t="str">
        <f t="shared" si="52"/>
        <v>Identical</v>
      </c>
      <c r="K554" s="9" t="s">
        <v>539</v>
      </c>
      <c r="L554" s="9" t="s">
        <v>539</v>
      </c>
      <c r="M554" s="9" t="str">
        <f t="shared" si="53"/>
        <v>Same</v>
      </c>
      <c r="N554" s="30" t="s">
        <v>1211</v>
      </c>
      <c r="O554" s="30" t="s">
        <v>1212</v>
      </c>
    </row>
    <row r="555" spans="1:15" ht="15" customHeight="1" x14ac:dyDescent="0.2">
      <c r="A555" s="9">
        <v>550</v>
      </c>
      <c r="B555" s="27">
        <f t="shared" si="48"/>
        <v>2686.8588177821202</v>
      </c>
      <c r="C555" s="27">
        <f t="shared" si="49"/>
        <v>10844.162188568636</v>
      </c>
      <c r="D555" s="28">
        <v>10.83</v>
      </c>
      <c r="E555" s="28">
        <v>10.83</v>
      </c>
      <c r="F555" s="9" t="str">
        <f t="shared" si="50"/>
        <v>Identical</v>
      </c>
      <c r="G555" s="27">
        <f t="shared" si="51"/>
        <v>2686.8588177821202</v>
      </c>
      <c r="H555" s="29">
        <v>3.02</v>
      </c>
      <c r="I555" s="29">
        <v>3.02</v>
      </c>
      <c r="J555" s="9" t="str">
        <f t="shared" si="52"/>
        <v>Identical</v>
      </c>
      <c r="K555" s="9" t="s">
        <v>539</v>
      </c>
      <c r="L555" s="9" t="s">
        <v>539</v>
      </c>
      <c r="M555" s="9" t="str">
        <f t="shared" si="53"/>
        <v>Same</v>
      </c>
      <c r="N555" s="30" t="s">
        <v>1213</v>
      </c>
      <c r="O555" s="30" t="s">
        <v>1214</v>
      </c>
    </row>
    <row r="556" spans="1:15" ht="15" customHeight="1" x14ac:dyDescent="0.2">
      <c r="A556" s="9">
        <v>551</v>
      </c>
      <c r="B556" s="27">
        <f t="shared" si="48"/>
        <v>2691.7440156326334</v>
      </c>
      <c r="C556" s="27">
        <f t="shared" si="49"/>
        <v>10863.878847093307</v>
      </c>
      <c r="D556" s="28">
        <v>10.85</v>
      </c>
      <c r="E556" s="28">
        <v>10.85</v>
      </c>
      <c r="F556" s="9" t="str">
        <f t="shared" si="50"/>
        <v>Identical</v>
      </c>
      <c r="G556" s="27">
        <f t="shared" si="51"/>
        <v>2691.7440156326334</v>
      </c>
      <c r="H556" s="29">
        <v>3.02</v>
      </c>
      <c r="I556" s="29">
        <v>3.02</v>
      </c>
      <c r="J556" s="9" t="str">
        <f t="shared" si="52"/>
        <v>Identical</v>
      </c>
      <c r="K556" s="9" t="s">
        <v>539</v>
      </c>
      <c r="L556" s="9" t="s">
        <v>539</v>
      </c>
      <c r="M556" s="9" t="str">
        <f t="shared" si="53"/>
        <v>Same</v>
      </c>
      <c r="N556" s="30" t="s">
        <v>1213</v>
      </c>
      <c r="O556" s="30" t="s">
        <v>1214</v>
      </c>
    </row>
    <row r="557" spans="1:15" ht="15" customHeight="1" x14ac:dyDescent="0.2">
      <c r="A557" s="9">
        <v>552</v>
      </c>
      <c r="B557" s="27">
        <f t="shared" si="48"/>
        <v>2696.6292134831465</v>
      </c>
      <c r="C557" s="27">
        <f t="shared" si="49"/>
        <v>10883.595505617977</v>
      </c>
      <c r="D557" s="28">
        <v>10.87</v>
      </c>
      <c r="E557" s="28">
        <v>10.87</v>
      </c>
      <c r="F557" s="9" t="str">
        <f t="shared" si="50"/>
        <v>Identical</v>
      </c>
      <c r="G557" s="27">
        <f t="shared" si="51"/>
        <v>2696.6292134831465</v>
      </c>
      <c r="H557" s="29">
        <v>3.03</v>
      </c>
      <c r="I557" s="29">
        <v>3.03</v>
      </c>
      <c r="J557" s="9" t="str">
        <f t="shared" si="52"/>
        <v>Identical</v>
      </c>
      <c r="K557" s="9" t="s">
        <v>539</v>
      </c>
      <c r="L557" s="9" t="s">
        <v>539</v>
      </c>
      <c r="M557" s="9" t="str">
        <f t="shared" si="53"/>
        <v>Same</v>
      </c>
      <c r="N557" s="30" t="s">
        <v>1215</v>
      </c>
      <c r="O557" s="30" t="s">
        <v>1216</v>
      </c>
    </row>
    <row r="558" spans="1:15" ht="15" customHeight="1" x14ac:dyDescent="0.2">
      <c r="A558" s="9">
        <v>553</v>
      </c>
      <c r="B558" s="27">
        <f t="shared" si="48"/>
        <v>2701.5144113336592</v>
      </c>
      <c r="C558" s="27">
        <f t="shared" si="49"/>
        <v>10903.312164142648</v>
      </c>
      <c r="D558" s="28">
        <v>10.89</v>
      </c>
      <c r="E558" s="28">
        <v>10.89</v>
      </c>
      <c r="F558" s="9" t="str">
        <f t="shared" si="50"/>
        <v>Identical</v>
      </c>
      <c r="G558" s="27">
        <f t="shared" si="51"/>
        <v>2701.5144113336592</v>
      </c>
      <c r="H558" s="29">
        <v>3.03</v>
      </c>
      <c r="I558" s="29">
        <v>3.03</v>
      </c>
      <c r="J558" s="9" t="str">
        <f t="shared" si="52"/>
        <v>Identical</v>
      </c>
      <c r="K558" s="9" t="s">
        <v>539</v>
      </c>
      <c r="L558" s="9" t="s">
        <v>539</v>
      </c>
      <c r="M558" s="9" t="str">
        <f t="shared" si="53"/>
        <v>Same</v>
      </c>
      <c r="N558" s="30" t="s">
        <v>1215</v>
      </c>
      <c r="O558" s="30" t="s">
        <v>1216</v>
      </c>
    </row>
    <row r="559" spans="1:15" ht="15" customHeight="1" x14ac:dyDescent="0.2">
      <c r="A559" s="9">
        <v>554</v>
      </c>
      <c r="B559" s="27">
        <f t="shared" si="48"/>
        <v>2706.3996091841723</v>
      </c>
      <c r="C559" s="27">
        <f t="shared" si="49"/>
        <v>10923.028822667318</v>
      </c>
      <c r="D559" s="28">
        <v>10.91</v>
      </c>
      <c r="E559" s="28">
        <v>10.91</v>
      </c>
      <c r="F559" s="9" t="str">
        <f t="shared" si="50"/>
        <v>Identical</v>
      </c>
      <c r="G559" s="27">
        <f t="shared" si="51"/>
        <v>2706.3996091841723</v>
      </c>
      <c r="H559" s="29">
        <v>3.04</v>
      </c>
      <c r="I559" s="29">
        <v>3.04</v>
      </c>
      <c r="J559" s="9" t="str">
        <f t="shared" si="52"/>
        <v>Identical</v>
      </c>
      <c r="K559" s="9" t="s">
        <v>539</v>
      </c>
      <c r="L559" s="9" t="s">
        <v>539</v>
      </c>
      <c r="M559" s="9" t="str">
        <f t="shared" si="53"/>
        <v>Same</v>
      </c>
      <c r="N559" s="30" t="s">
        <v>1217</v>
      </c>
      <c r="O559" s="30" t="s">
        <v>1218</v>
      </c>
    </row>
    <row r="560" spans="1:15" ht="15" customHeight="1" x14ac:dyDescent="0.2">
      <c r="A560" s="9">
        <v>555</v>
      </c>
      <c r="B560" s="27">
        <f t="shared" si="48"/>
        <v>2711.2848070346849</v>
      </c>
      <c r="C560" s="27">
        <f t="shared" si="49"/>
        <v>10942.745481191987</v>
      </c>
      <c r="D560" s="28">
        <v>10.93</v>
      </c>
      <c r="E560" s="28">
        <v>10.93</v>
      </c>
      <c r="F560" s="9" t="str">
        <f t="shared" si="50"/>
        <v>Identical</v>
      </c>
      <c r="G560" s="27">
        <f t="shared" si="51"/>
        <v>2711.2848070346849</v>
      </c>
      <c r="H560" s="29">
        <v>3.04</v>
      </c>
      <c r="I560" s="29">
        <v>3.04</v>
      </c>
      <c r="J560" s="9" t="str">
        <f t="shared" si="52"/>
        <v>Identical</v>
      </c>
      <c r="K560" s="9" t="s">
        <v>539</v>
      </c>
      <c r="L560" s="9" t="s">
        <v>539</v>
      </c>
      <c r="M560" s="9" t="str">
        <f t="shared" si="53"/>
        <v>Same</v>
      </c>
      <c r="N560" s="30" t="s">
        <v>1217</v>
      </c>
      <c r="O560" s="30" t="s">
        <v>1218</v>
      </c>
    </row>
    <row r="561" spans="1:15" ht="15" customHeight="1" x14ac:dyDescent="0.2">
      <c r="A561" s="9">
        <v>556</v>
      </c>
      <c r="B561" s="27">
        <f t="shared" si="48"/>
        <v>2716.1700048851981</v>
      </c>
      <c r="C561" s="27">
        <f t="shared" si="49"/>
        <v>10962.462139716657</v>
      </c>
      <c r="D561" s="28">
        <v>10.95</v>
      </c>
      <c r="E561" s="28">
        <v>10.95</v>
      </c>
      <c r="F561" s="9" t="str">
        <f t="shared" si="50"/>
        <v>Identical</v>
      </c>
      <c r="G561" s="27">
        <f t="shared" si="51"/>
        <v>2716.1700048851981</v>
      </c>
      <c r="H561" s="29">
        <v>3.05</v>
      </c>
      <c r="I561" s="29">
        <v>3.05</v>
      </c>
      <c r="J561" s="9" t="str">
        <f t="shared" si="52"/>
        <v>Identical</v>
      </c>
      <c r="K561" s="9" t="s">
        <v>539</v>
      </c>
      <c r="L561" s="9" t="s">
        <v>539</v>
      </c>
      <c r="M561" s="9" t="str">
        <f t="shared" si="53"/>
        <v>Same</v>
      </c>
      <c r="N561" s="30" t="s">
        <v>1219</v>
      </c>
      <c r="O561" s="30" t="s">
        <v>1220</v>
      </c>
    </row>
    <row r="562" spans="1:15" ht="15" customHeight="1" x14ac:dyDescent="0.2">
      <c r="A562" s="9">
        <v>557</v>
      </c>
      <c r="B562" s="27">
        <f t="shared" si="48"/>
        <v>2721.0552027357112</v>
      </c>
      <c r="C562" s="27">
        <f t="shared" si="49"/>
        <v>10982.17879824133</v>
      </c>
      <c r="D562" s="28">
        <v>10.97</v>
      </c>
      <c r="E562" s="28">
        <v>10.97</v>
      </c>
      <c r="F562" s="9" t="str">
        <f t="shared" si="50"/>
        <v>Identical</v>
      </c>
      <c r="G562" s="27">
        <f t="shared" si="51"/>
        <v>2721.0552027357112</v>
      </c>
      <c r="H562" s="29">
        <v>3.05</v>
      </c>
      <c r="I562" s="29">
        <v>3.05</v>
      </c>
      <c r="J562" s="9" t="str">
        <f t="shared" si="52"/>
        <v>Identical</v>
      </c>
      <c r="K562" s="9" t="s">
        <v>539</v>
      </c>
      <c r="L562" s="9" t="s">
        <v>539</v>
      </c>
      <c r="M562" s="9" t="str">
        <f t="shared" si="53"/>
        <v>Same</v>
      </c>
      <c r="N562" s="30" t="s">
        <v>1219</v>
      </c>
      <c r="O562" s="30" t="s">
        <v>1220</v>
      </c>
    </row>
    <row r="563" spans="1:15" ht="15" customHeight="1" x14ac:dyDescent="0.2">
      <c r="A563" s="9">
        <v>558</v>
      </c>
      <c r="B563" s="27">
        <f t="shared" si="48"/>
        <v>2725.9404005862239</v>
      </c>
      <c r="C563" s="27">
        <f t="shared" si="49"/>
        <v>11001.895456765998</v>
      </c>
      <c r="D563" s="28">
        <v>10.99</v>
      </c>
      <c r="E563" s="28">
        <v>10.99</v>
      </c>
      <c r="F563" s="9" t="str">
        <f t="shared" si="50"/>
        <v>Identical</v>
      </c>
      <c r="G563" s="27">
        <f t="shared" si="51"/>
        <v>2725.9404005862239</v>
      </c>
      <c r="H563" s="29">
        <v>3.06</v>
      </c>
      <c r="I563" s="29">
        <v>3.06</v>
      </c>
      <c r="J563" s="9" t="str">
        <f t="shared" si="52"/>
        <v>Identical</v>
      </c>
      <c r="K563" s="9" t="s">
        <v>539</v>
      </c>
      <c r="L563" s="9" t="s">
        <v>539</v>
      </c>
      <c r="M563" s="9" t="str">
        <f t="shared" si="53"/>
        <v>Same</v>
      </c>
      <c r="N563" s="30" t="s">
        <v>1221</v>
      </c>
      <c r="O563" s="30" t="s">
        <v>1222</v>
      </c>
    </row>
    <row r="564" spans="1:15" ht="15" customHeight="1" x14ac:dyDescent="0.2">
      <c r="A564" s="9">
        <v>559</v>
      </c>
      <c r="B564" s="27">
        <f t="shared" si="48"/>
        <v>2730.825598436737</v>
      </c>
      <c r="C564" s="27">
        <f t="shared" si="49"/>
        <v>11021.612115290669</v>
      </c>
      <c r="D564" s="28">
        <v>11.01</v>
      </c>
      <c r="E564" s="28">
        <v>11.01</v>
      </c>
      <c r="F564" s="9" t="str">
        <f t="shared" si="50"/>
        <v>Identical</v>
      </c>
      <c r="G564" s="27">
        <f t="shared" si="51"/>
        <v>2730.825598436737</v>
      </c>
      <c r="H564" s="29">
        <v>3.06</v>
      </c>
      <c r="I564" s="29">
        <v>3.07</v>
      </c>
      <c r="J564" s="9" t="str">
        <f t="shared" si="52"/>
        <v>+0.01 A (nearest step)</v>
      </c>
      <c r="K564" s="9" t="s">
        <v>539</v>
      </c>
      <c r="L564" s="9" t="s">
        <v>539</v>
      </c>
      <c r="M564" s="9" t="str">
        <f t="shared" si="53"/>
        <v>Same</v>
      </c>
      <c r="N564" s="30" t="s">
        <v>1221</v>
      </c>
      <c r="O564" s="30" t="s">
        <v>1223</v>
      </c>
    </row>
    <row r="565" spans="1:15" ht="15" customHeight="1" x14ac:dyDescent="0.2">
      <c r="A565" s="9">
        <v>560</v>
      </c>
      <c r="B565" s="27">
        <f t="shared" si="48"/>
        <v>2735.7107962872501</v>
      </c>
      <c r="C565" s="27">
        <f t="shared" si="49"/>
        <v>11041.328773815339</v>
      </c>
      <c r="D565" s="28">
        <v>11.03</v>
      </c>
      <c r="E565" s="28">
        <v>11.03</v>
      </c>
      <c r="F565" s="9" t="str">
        <f t="shared" si="50"/>
        <v>Identical</v>
      </c>
      <c r="G565" s="27">
        <f t="shared" si="51"/>
        <v>2735.7107962872501</v>
      </c>
      <c r="H565" s="29">
        <v>3.07</v>
      </c>
      <c r="I565" s="29">
        <v>3.07</v>
      </c>
      <c r="J565" s="9" t="str">
        <f t="shared" si="52"/>
        <v>Identical</v>
      </c>
      <c r="K565" s="9" t="s">
        <v>539</v>
      </c>
      <c r="L565" s="9" t="s">
        <v>539</v>
      </c>
      <c r="M565" s="9" t="str">
        <f t="shared" si="53"/>
        <v>Same</v>
      </c>
      <c r="N565" s="30" t="s">
        <v>1224</v>
      </c>
      <c r="O565" s="30" t="s">
        <v>1223</v>
      </c>
    </row>
    <row r="566" spans="1:15" ht="15" customHeight="1" x14ac:dyDescent="0.2">
      <c r="A566" s="9">
        <v>561</v>
      </c>
      <c r="B566" s="27">
        <f t="shared" si="48"/>
        <v>2740.5959941377628</v>
      </c>
      <c r="C566" s="27">
        <f t="shared" si="49"/>
        <v>11061.04543234001</v>
      </c>
      <c r="D566" s="28">
        <v>11.05</v>
      </c>
      <c r="E566" s="28">
        <v>11.05</v>
      </c>
      <c r="F566" s="9" t="str">
        <f t="shared" si="50"/>
        <v>Identical</v>
      </c>
      <c r="G566" s="27">
        <f t="shared" si="51"/>
        <v>2740.5959941377628</v>
      </c>
      <c r="H566" s="29">
        <v>3.08</v>
      </c>
      <c r="I566" s="29">
        <v>3.08</v>
      </c>
      <c r="J566" s="9" t="str">
        <f t="shared" si="52"/>
        <v>Identical</v>
      </c>
      <c r="K566" s="9" t="s">
        <v>539</v>
      </c>
      <c r="L566" s="9" t="s">
        <v>539</v>
      </c>
      <c r="M566" s="9" t="str">
        <f t="shared" si="53"/>
        <v>Same</v>
      </c>
      <c r="N566" s="30" t="s">
        <v>1225</v>
      </c>
      <c r="O566" s="30" t="s">
        <v>1226</v>
      </c>
    </row>
    <row r="567" spans="1:15" ht="15" customHeight="1" x14ac:dyDescent="0.2">
      <c r="A567" s="9">
        <v>562</v>
      </c>
      <c r="B567" s="27">
        <f t="shared" si="48"/>
        <v>2745.4811919882759</v>
      </c>
      <c r="C567" s="27">
        <f t="shared" si="49"/>
        <v>11080.76209086468</v>
      </c>
      <c r="D567" s="28">
        <v>11.07</v>
      </c>
      <c r="E567" s="28">
        <v>11.07</v>
      </c>
      <c r="F567" s="9" t="str">
        <f t="shared" si="50"/>
        <v>Identical</v>
      </c>
      <c r="G567" s="27">
        <f t="shared" si="51"/>
        <v>2745.4811919882759</v>
      </c>
      <c r="H567" s="29">
        <v>3.08</v>
      </c>
      <c r="I567" s="29">
        <v>3.08</v>
      </c>
      <c r="J567" s="9" t="str">
        <f t="shared" si="52"/>
        <v>Identical</v>
      </c>
      <c r="K567" s="9" t="s">
        <v>539</v>
      </c>
      <c r="L567" s="9" t="s">
        <v>539</v>
      </c>
      <c r="M567" s="9" t="str">
        <f t="shared" si="53"/>
        <v>Same</v>
      </c>
      <c r="N567" s="30" t="s">
        <v>1225</v>
      </c>
      <c r="O567" s="30" t="s">
        <v>1226</v>
      </c>
    </row>
    <row r="568" spans="1:15" ht="15" customHeight="1" x14ac:dyDescent="0.2">
      <c r="A568" s="9">
        <v>563</v>
      </c>
      <c r="B568" s="27">
        <f t="shared" si="48"/>
        <v>2750.3663898387886</v>
      </c>
      <c r="C568" s="27">
        <f t="shared" si="49"/>
        <v>11100.478749389349</v>
      </c>
      <c r="D568" s="28">
        <v>11.09</v>
      </c>
      <c r="E568" s="28">
        <v>11.08</v>
      </c>
      <c r="F568" s="9" t="str">
        <f t="shared" si="50"/>
        <v>Within 10 mV (calibration line)</v>
      </c>
      <c r="G568" s="27">
        <f t="shared" si="51"/>
        <v>2750.3663898387886</v>
      </c>
      <c r="H568" s="29">
        <v>3.09</v>
      </c>
      <c r="I568" s="29">
        <v>3.09</v>
      </c>
      <c r="J568" s="9" t="str">
        <f t="shared" si="52"/>
        <v>Identical</v>
      </c>
      <c r="K568" s="9" t="s">
        <v>539</v>
      </c>
      <c r="L568" s="9" t="s">
        <v>539</v>
      </c>
      <c r="M568" s="9" t="str">
        <f t="shared" si="53"/>
        <v>Same</v>
      </c>
      <c r="N568" s="30" t="s">
        <v>1227</v>
      </c>
      <c r="O568" s="30" t="s">
        <v>1228</v>
      </c>
    </row>
    <row r="569" spans="1:15" ht="15" customHeight="1" x14ac:dyDescent="0.2">
      <c r="A569" s="9">
        <v>564</v>
      </c>
      <c r="B569" s="27">
        <f t="shared" si="48"/>
        <v>2755.2515876893017</v>
      </c>
      <c r="C569" s="27">
        <f t="shared" si="49"/>
        <v>11120.19540791402</v>
      </c>
      <c r="D569" s="28">
        <v>11.11</v>
      </c>
      <c r="E569" s="28">
        <v>11.1</v>
      </c>
      <c r="F569" s="9" t="str">
        <f t="shared" si="50"/>
        <v>Within 10 mV (calibration line)</v>
      </c>
      <c r="G569" s="27">
        <f t="shared" si="51"/>
        <v>2755.2515876893017</v>
      </c>
      <c r="H569" s="29">
        <v>3.09</v>
      </c>
      <c r="I569" s="29">
        <v>3.09</v>
      </c>
      <c r="J569" s="9" t="str">
        <f t="shared" si="52"/>
        <v>Identical</v>
      </c>
      <c r="K569" s="9" t="s">
        <v>539</v>
      </c>
      <c r="L569" s="9" t="s">
        <v>539</v>
      </c>
      <c r="M569" s="9" t="str">
        <f t="shared" si="53"/>
        <v>Same</v>
      </c>
      <c r="N569" s="30" t="s">
        <v>1227</v>
      </c>
      <c r="O569" s="30" t="s">
        <v>1228</v>
      </c>
    </row>
    <row r="570" spans="1:15" ht="15" customHeight="1" x14ac:dyDescent="0.2">
      <c r="A570" s="9">
        <v>565</v>
      </c>
      <c r="B570" s="27">
        <f t="shared" si="48"/>
        <v>2760.1367855398148</v>
      </c>
      <c r="C570" s="27">
        <f t="shared" si="49"/>
        <v>11139.912066438692</v>
      </c>
      <c r="D570" s="28">
        <v>11.12</v>
      </c>
      <c r="E570" s="28">
        <v>11.12</v>
      </c>
      <c r="F570" s="9" t="str">
        <f t="shared" si="50"/>
        <v>Identical</v>
      </c>
      <c r="G570" s="27">
        <f t="shared" si="51"/>
        <v>2760.1367855398148</v>
      </c>
      <c r="H570" s="29">
        <v>3.1</v>
      </c>
      <c r="I570" s="29">
        <v>3.1</v>
      </c>
      <c r="J570" s="9" t="str">
        <f t="shared" si="52"/>
        <v>Identical</v>
      </c>
      <c r="K570" s="9" t="s">
        <v>539</v>
      </c>
      <c r="L570" s="9" t="s">
        <v>539</v>
      </c>
      <c r="M570" s="9" t="str">
        <f t="shared" si="53"/>
        <v>Same</v>
      </c>
      <c r="N570" s="30" t="s">
        <v>1229</v>
      </c>
      <c r="O570" s="30" t="s">
        <v>1230</v>
      </c>
    </row>
    <row r="571" spans="1:15" ht="15" customHeight="1" x14ac:dyDescent="0.2">
      <c r="A571" s="9">
        <v>566</v>
      </c>
      <c r="B571" s="27">
        <f t="shared" si="48"/>
        <v>2765.0219833903275</v>
      </c>
      <c r="C571" s="27">
        <f t="shared" si="49"/>
        <v>11159.628724963361</v>
      </c>
      <c r="D571" s="28">
        <v>11.14</v>
      </c>
      <c r="E571" s="28">
        <v>11.14</v>
      </c>
      <c r="F571" s="9" t="str">
        <f t="shared" si="50"/>
        <v>Identical</v>
      </c>
      <c r="G571" s="27">
        <f t="shared" si="51"/>
        <v>2765.0219833903275</v>
      </c>
      <c r="H571" s="29">
        <v>3.1</v>
      </c>
      <c r="I571" s="29">
        <v>3.1</v>
      </c>
      <c r="J571" s="9" t="str">
        <f t="shared" si="52"/>
        <v>Identical</v>
      </c>
      <c r="K571" s="9" t="s">
        <v>539</v>
      </c>
      <c r="L571" s="9" t="s">
        <v>539</v>
      </c>
      <c r="M571" s="9" t="str">
        <f t="shared" si="53"/>
        <v>Same</v>
      </c>
      <c r="N571" s="30" t="s">
        <v>1229</v>
      </c>
      <c r="O571" s="30" t="s">
        <v>1230</v>
      </c>
    </row>
    <row r="572" spans="1:15" ht="15" customHeight="1" x14ac:dyDescent="0.2">
      <c r="A572" s="9">
        <v>567</v>
      </c>
      <c r="B572" s="27">
        <f t="shared" si="48"/>
        <v>2769.9071812408406</v>
      </c>
      <c r="C572" s="27">
        <f t="shared" si="49"/>
        <v>11179.345383488031</v>
      </c>
      <c r="D572" s="28">
        <v>11.16</v>
      </c>
      <c r="E572" s="28">
        <v>11.16</v>
      </c>
      <c r="F572" s="9" t="str">
        <f t="shared" si="50"/>
        <v>Identical</v>
      </c>
      <c r="G572" s="27">
        <f t="shared" si="51"/>
        <v>2769.9071812408406</v>
      </c>
      <c r="H572" s="29">
        <v>3.11</v>
      </c>
      <c r="I572" s="29">
        <v>3.11</v>
      </c>
      <c r="J572" s="9" t="str">
        <f t="shared" si="52"/>
        <v>Identical</v>
      </c>
      <c r="K572" s="9" t="s">
        <v>539</v>
      </c>
      <c r="L572" s="9" t="s">
        <v>539</v>
      </c>
      <c r="M572" s="9" t="str">
        <f t="shared" si="53"/>
        <v>Same</v>
      </c>
      <c r="N572" s="30" t="s">
        <v>1231</v>
      </c>
      <c r="O572" s="30" t="s">
        <v>1232</v>
      </c>
    </row>
    <row r="573" spans="1:15" ht="15" customHeight="1" x14ac:dyDescent="0.2">
      <c r="A573" s="9">
        <v>568</v>
      </c>
      <c r="B573" s="27">
        <f t="shared" si="48"/>
        <v>2774.7923790913537</v>
      </c>
      <c r="C573" s="27">
        <f t="shared" si="49"/>
        <v>11199.062042012703</v>
      </c>
      <c r="D573" s="28">
        <v>11.18</v>
      </c>
      <c r="E573" s="28">
        <v>11.18</v>
      </c>
      <c r="F573" s="9" t="str">
        <f t="shared" si="50"/>
        <v>Identical</v>
      </c>
      <c r="G573" s="27">
        <f t="shared" si="51"/>
        <v>2774.7923790913537</v>
      </c>
      <c r="H573" s="29">
        <v>3.11</v>
      </c>
      <c r="I573" s="29">
        <v>3.12</v>
      </c>
      <c r="J573" s="9" t="str">
        <f t="shared" si="52"/>
        <v>+0.01 A (nearest step)</v>
      </c>
      <c r="K573" s="9" t="s">
        <v>539</v>
      </c>
      <c r="L573" s="9" t="s">
        <v>539</v>
      </c>
      <c r="M573" s="9" t="str">
        <f t="shared" si="53"/>
        <v>Same</v>
      </c>
      <c r="N573" s="30" t="s">
        <v>1231</v>
      </c>
      <c r="O573" s="30" t="s">
        <v>1233</v>
      </c>
    </row>
    <row r="574" spans="1:15" ht="15" customHeight="1" x14ac:dyDescent="0.2">
      <c r="A574" s="9">
        <v>569</v>
      </c>
      <c r="B574" s="27">
        <f t="shared" si="48"/>
        <v>2779.6775769418664</v>
      </c>
      <c r="C574" s="27">
        <f t="shared" si="49"/>
        <v>11218.778700537372</v>
      </c>
      <c r="D574" s="28">
        <v>11.2</v>
      </c>
      <c r="E574" s="28">
        <v>11.2</v>
      </c>
      <c r="F574" s="9" t="str">
        <f t="shared" si="50"/>
        <v>Identical</v>
      </c>
      <c r="G574" s="27">
        <f t="shared" si="51"/>
        <v>2779.6775769418664</v>
      </c>
      <c r="H574" s="29">
        <v>3.12</v>
      </c>
      <c r="I574" s="29">
        <v>3.12</v>
      </c>
      <c r="J574" s="9" t="str">
        <f t="shared" si="52"/>
        <v>Identical</v>
      </c>
      <c r="K574" s="9" t="s">
        <v>539</v>
      </c>
      <c r="L574" s="9" t="s">
        <v>539</v>
      </c>
      <c r="M574" s="9" t="str">
        <f t="shared" si="53"/>
        <v>Same</v>
      </c>
      <c r="N574" s="30" t="s">
        <v>1234</v>
      </c>
      <c r="O574" s="30" t="s">
        <v>1233</v>
      </c>
    </row>
    <row r="575" spans="1:15" ht="15" customHeight="1" x14ac:dyDescent="0.2">
      <c r="A575" s="9">
        <v>570</v>
      </c>
      <c r="B575" s="27">
        <f t="shared" si="48"/>
        <v>2784.5627747923795</v>
      </c>
      <c r="C575" s="27">
        <f t="shared" si="49"/>
        <v>11238.495359062043</v>
      </c>
      <c r="D575" s="28">
        <v>11.22</v>
      </c>
      <c r="E575" s="28">
        <v>11.22</v>
      </c>
      <c r="F575" s="9" t="str">
        <f t="shared" si="50"/>
        <v>Identical</v>
      </c>
      <c r="G575" s="27">
        <f t="shared" si="51"/>
        <v>2784.5627747923795</v>
      </c>
      <c r="H575" s="29">
        <v>3.13</v>
      </c>
      <c r="I575" s="29">
        <v>3.13</v>
      </c>
      <c r="J575" s="9" t="str">
        <f t="shared" si="52"/>
        <v>Identical</v>
      </c>
      <c r="K575" s="9" t="s">
        <v>539</v>
      </c>
      <c r="L575" s="9" t="s">
        <v>539</v>
      </c>
      <c r="M575" s="9" t="str">
        <f t="shared" si="53"/>
        <v>Same</v>
      </c>
      <c r="N575" s="30" t="s">
        <v>1235</v>
      </c>
      <c r="O575" s="30" t="s">
        <v>1236</v>
      </c>
    </row>
    <row r="576" spans="1:15" ht="15" customHeight="1" x14ac:dyDescent="0.2">
      <c r="A576" s="9">
        <v>571</v>
      </c>
      <c r="B576" s="27">
        <f t="shared" si="48"/>
        <v>2789.4479726428922</v>
      </c>
      <c r="C576" s="27">
        <f t="shared" si="49"/>
        <v>11258.212017586711</v>
      </c>
      <c r="D576" s="28">
        <v>11.24</v>
      </c>
      <c r="E576" s="28">
        <v>11.24</v>
      </c>
      <c r="F576" s="9" t="str">
        <f t="shared" si="50"/>
        <v>Identical</v>
      </c>
      <c r="G576" s="27">
        <f t="shared" si="51"/>
        <v>2789.4479726428922</v>
      </c>
      <c r="H576" s="29">
        <v>3.13</v>
      </c>
      <c r="I576" s="29">
        <v>3.13</v>
      </c>
      <c r="J576" s="9" t="str">
        <f t="shared" si="52"/>
        <v>Identical</v>
      </c>
      <c r="K576" s="9" t="s">
        <v>539</v>
      </c>
      <c r="L576" s="9" t="s">
        <v>539</v>
      </c>
      <c r="M576" s="9" t="str">
        <f t="shared" si="53"/>
        <v>Same</v>
      </c>
      <c r="N576" s="30" t="s">
        <v>1235</v>
      </c>
      <c r="O576" s="30" t="s">
        <v>1236</v>
      </c>
    </row>
    <row r="577" spans="1:15" ht="15" customHeight="1" x14ac:dyDescent="0.2">
      <c r="A577" s="9">
        <v>572</v>
      </c>
      <c r="B577" s="27">
        <f t="shared" si="48"/>
        <v>2794.3331704934053</v>
      </c>
      <c r="C577" s="27">
        <f t="shared" si="49"/>
        <v>11277.928676111384</v>
      </c>
      <c r="D577" s="28">
        <v>11.26</v>
      </c>
      <c r="E577" s="28">
        <v>11.26</v>
      </c>
      <c r="F577" s="9" t="str">
        <f t="shared" si="50"/>
        <v>Identical</v>
      </c>
      <c r="G577" s="27">
        <f t="shared" si="51"/>
        <v>2794.3331704934053</v>
      </c>
      <c r="H577" s="29">
        <v>3.14</v>
      </c>
      <c r="I577" s="29">
        <v>3.14</v>
      </c>
      <c r="J577" s="9" t="str">
        <f t="shared" si="52"/>
        <v>Identical</v>
      </c>
      <c r="K577" s="9" t="s">
        <v>539</v>
      </c>
      <c r="L577" s="9" t="s">
        <v>539</v>
      </c>
      <c r="M577" s="9" t="str">
        <f t="shared" si="53"/>
        <v>Same</v>
      </c>
      <c r="N577" s="30" t="s">
        <v>1237</v>
      </c>
      <c r="O577" s="30" t="s">
        <v>1238</v>
      </c>
    </row>
    <row r="578" spans="1:15" ht="15" customHeight="1" x14ac:dyDescent="0.2">
      <c r="A578" s="9">
        <v>573</v>
      </c>
      <c r="B578" s="27">
        <f t="shared" si="48"/>
        <v>2799.2183683439184</v>
      </c>
      <c r="C578" s="27">
        <f t="shared" si="49"/>
        <v>11297.645334636054</v>
      </c>
      <c r="D578" s="28">
        <v>11.28</v>
      </c>
      <c r="E578" s="28">
        <v>11.28</v>
      </c>
      <c r="F578" s="9" t="str">
        <f t="shared" si="50"/>
        <v>Identical</v>
      </c>
      <c r="G578" s="27">
        <f t="shared" si="51"/>
        <v>2799.2183683439184</v>
      </c>
      <c r="H578" s="29">
        <v>3.14</v>
      </c>
      <c r="I578" s="29">
        <v>3.14</v>
      </c>
      <c r="J578" s="9" t="str">
        <f t="shared" si="52"/>
        <v>Identical</v>
      </c>
      <c r="K578" s="9" t="s">
        <v>539</v>
      </c>
      <c r="L578" s="9" t="s">
        <v>539</v>
      </c>
      <c r="M578" s="9" t="str">
        <f t="shared" si="53"/>
        <v>Same</v>
      </c>
      <c r="N578" s="30" t="s">
        <v>1237</v>
      </c>
      <c r="O578" s="30" t="s">
        <v>1238</v>
      </c>
    </row>
    <row r="579" spans="1:15" ht="15" customHeight="1" x14ac:dyDescent="0.2">
      <c r="A579" s="9">
        <v>574</v>
      </c>
      <c r="B579" s="27">
        <f t="shared" si="48"/>
        <v>2804.1035661944311</v>
      </c>
      <c r="C579" s="27">
        <f t="shared" si="49"/>
        <v>11317.361993160723</v>
      </c>
      <c r="D579" s="28">
        <v>11.3</v>
      </c>
      <c r="E579" s="28">
        <v>11.3</v>
      </c>
      <c r="F579" s="9" t="str">
        <f t="shared" si="50"/>
        <v>Identical</v>
      </c>
      <c r="G579" s="27">
        <f t="shared" si="51"/>
        <v>2804.1035661944311</v>
      </c>
      <c r="H579" s="29">
        <v>3.15</v>
      </c>
      <c r="I579" s="29">
        <v>3.15</v>
      </c>
      <c r="J579" s="9" t="str">
        <f t="shared" si="52"/>
        <v>Identical</v>
      </c>
      <c r="K579" s="9" t="s">
        <v>539</v>
      </c>
      <c r="L579" s="9" t="s">
        <v>539</v>
      </c>
      <c r="M579" s="9" t="str">
        <f t="shared" si="53"/>
        <v>Same</v>
      </c>
      <c r="N579" s="30" t="s">
        <v>1239</v>
      </c>
      <c r="O579" s="30" t="s">
        <v>1240</v>
      </c>
    </row>
    <row r="580" spans="1:15" ht="15" customHeight="1" x14ac:dyDescent="0.2">
      <c r="A580" s="9">
        <v>575</v>
      </c>
      <c r="B580" s="27">
        <f t="shared" si="48"/>
        <v>2808.9887640449442</v>
      </c>
      <c r="C580" s="27">
        <f t="shared" si="49"/>
        <v>11337.078651685393</v>
      </c>
      <c r="D580" s="28">
        <v>11.32</v>
      </c>
      <c r="E580" s="28">
        <v>11.32</v>
      </c>
      <c r="F580" s="9" t="str">
        <f t="shared" si="50"/>
        <v>Identical</v>
      </c>
      <c r="G580" s="27">
        <f t="shared" si="51"/>
        <v>2808.9887640449442</v>
      </c>
      <c r="H580" s="29">
        <v>3.15</v>
      </c>
      <c r="I580" s="29">
        <v>3.15</v>
      </c>
      <c r="J580" s="9" t="str">
        <f t="shared" si="52"/>
        <v>Identical</v>
      </c>
      <c r="K580" s="9" t="s">
        <v>539</v>
      </c>
      <c r="L580" s="9" t="s">
        <v>539</v>
      </c>
      <c r="M580" s="9" t="str">
        <f t="shared" si="53"/>
        <v>Same</v>
      </c>
      <c r="N580" s="30" t="s">
        <v>1239</v>
      </c>
      <c r="O580" s="30" t="s">
        <v>1240</v>
      </c>
    </row>
    <row r="581" spans="1:15" ht="15" customHeight="1" x14ac:dyDescent="0.2">
      <c r="A581" s="9">
        <v>576</v>
      </c>
      <c r="B581" s="27">
        <f t="shared" ref="B581:B644" si="54">A581/$C$3*1000</f>
        <v>2813.8739618954573</v>
      </c>
      <c r="C581" s="27">
        <f t="shared" ref="C581:C644" si="55">B581*$F$3</f>
        <v>11356.795310210066</v>
      </c>
      <c r="D581" s="28">
        <v>11.34</v>
      </c>
      <c r="E581" s="28">
        <v>11.34</v>
      </c>
      <c r="F581" s="9" t="str">
        <f t="shared" ref="F581:F644" si="56">IF(D581=E581,"Identical",IF(E581="OL","ADC full scale: now OL",IF(ABS(E581-D581)&lt;0.0105,"Within 10 mV (calibration line)",IF(AND(C581&lt;4200,ABS(E581-D581)&lt;0.0205),"-20 mV (end of old +30 mV band)",IF(C581&lt;830,"Low range fixed (F-02)","Different")))))</f>
        <v>Identical</v>
      </c>
      <c r="G581" s="27">
        <f t="shared" ref="G581:G644" si="57">B581</f>
        <v>2813.8739618954573</v>
      </c>
      <c r="H581" s="29">
        <v>3.16</v>
      </c>
      <c r="I581" s="29">
        <v>3.16</v>
      </c>
      <c r="J581" s="9" t="str">
        <f t="shared" ref="J581:J644" si="58">IF(H581=I581,"Identical",IF(I581="OL","Above 5.00 A: now OL",IF(H581="ERR (999.23)","Gap bug fixed",IF(ABS(I581-H581-0.01)&lt;0.0001,"+0.01 A (nearest step)","Different"))))</f>
        <v>Identical</v>
      </c>
      <c r="K581" s="9" t="s">
        <v>539</v>
      </c>
      <c r="L581" s="9" t="s">
        <v>539</v>
      </c>
      <c r="M581" s="9" t="str">
        <f t="shared" ref="M581:M644" si="59">IF(K581=L581,"Same","Different")</f>
        <v>Same</v>
      </c>
      <c r="N581" s="30" t="s">
        <v>1241</v>
      </c>
      <c r="O581" s="30" t="s">
        <v>1242</v>
      </c>
    </row>
    <row r="582" spans="1:15" ht="15" customHeight="1" x14ac:dyDescent="0.2">
      <c r="A582" s="9">
        <v>577</v>
      </c>
      <c r="B582" s="27">
        <f t="shared" si="54"/>
        <v>2818.75915974597</v>
      </c>
      <c r="C582" s="27">
        <f t="shared" si="55"/>
        <v>11376.511968734734</v>
      </c>
      <c r="D582" s="28">
        <v>11.36</v>
      </c>
      <c r="E582" s="28">
        <v>11.36</v>
      </c>
      <c r="F582" s="9" t="str">
        <f t="shared" si="56"/>
        <v>Identical</v>
      </c>
      <c r="G582" s="27">
        <f t="shared" si="57"/>
        <v>2818.75915974597</v>
      </c>
      <c r="H582" s="29">
        <v>3.16</v>
      </c>
      <c r="I582" s="29">
        <v>3.16</v>
      </c>
      <c r="J582" s="9" t="str">
        <f t="shared" si="58"/>
        <v>Identical</v>
      </c>
      <c r="K582" s="9" t="s">
        <v>539</v>
      </c>
      <c r="L582" s="9" t="s">
        <v>539</v>
      </c>
      <c r="M582" s="9" t="str">
        <f t="shared" si="59"/>
        <v>Same</v>
      </c>
      <c r="N582" s="30" t="s">
        <v>1241</v>
      </c>
      <c r="O582" s="30" t="s">
        <v>1242</v>
      </c>
    </row>
    <row r="583" spans="1:15" ht="15" customHeight="1" x14ac:dyDescent="0.2">
      <c r="A583" s="9">
        <v>578</v>
      </c>
      <c r="B583" s="27">
        <f t="shared" si="54"/>
        <v>2823.6443575964831</v>
      </c>
      <c r="C583" s="27">
        <f t="shared" si="55"/>
        <v>11396.228627259405</v>
      </c>
      <c r="D583" s="28">
        <v>11.38</v>
      </c>
      <c r="E583" s="28">
        <v>11.38</v>
      </c>
      <c r="F583" s="9" t="str">
        <f t="shared" si="56"/>
        <v>Identical</v>
      </c>
      <c r="G583" s="27">
        <f t="shared" si="57"/>
        <v>2823.6443575964831</v>
      </c>
      <c r="H583" s="29">
        <v>3.17</v>
      </c>
      <c r="I583" s="29">
        <v>3.17</v>
      </c>
      <c r="J583" s="9" t="str">
        <f t="shared" si="58"/>
        <v>Identical</v>
      </c>
      <c r="K583" s="9" t="s">
        <v>539</v>
      </c>
      <c r="L583" s="9" t="s">
        <v>539</v>
      </c>
      <c r="M583" s="9" t="str">
        <f t="shared" si="59"/>
        <v>Same</v>
      </c>
      <c r="N583" s="30" t="s">
        <v>1243</v>
      </c>
      <c r="O583" s="30" t="s">
        <v>1244</v>
      </c>
    </row>
    <row r="584" spans="1:15" ht="15" customHeight="1" x14ac:dyDescent="0.2">
      <c r="A584" s="9">
        <v>579</v>
      </c>
      <c r="B584" s="27">
        <f t="shared" si="54"/>
        <v>2828.5295554469958</v>
      </c>
      <c r="C584" s="27">
        <f t="shared" si="55"/>
        <v>11415.945285784073</v>
      </c>
      <c r="D584" s="28">
        <v>11.4</v>
      </c>
      <c r="E584" s="28">
        <v>11.4</v>
      </c>
      <c r="F584" s="9" t="str">
        <f t="shared" si="56"/>
        <v>Identical</v>
      </c>
      <c r="G584" s="27">
        <f t="shared" si="57"/>
        <v>2828.5295554469958</v>
      </c>
      <c r="H584" s="29">
        <v>3.17</v>
      </c>
      <c r="I584" s="29">
        <v>3.18</v>
      </c>
      <c r="J584" s="9" t="str">
        <f t="shared" si="58"/>
        <v>+0.01 A (nearest step)</v>
      </c>
      <c r="K584" s="9" t="s">
        <v>539</v>
      </c>
      <c r="L584" s="9" t="s">
        <v>539</v>
      </c>
      <c r="M584" s="9" t="str">
        <f t="shared" si="59"/>
        <v>Same</v>
      </c>
      <c r="N584" s="30" t="s">
        <v>1243</v>
      </c>
      <c r="O584" s="30" t="s">
        <v>1245</v>
      </c>
    </row>
    <row r="585" spans="1:15" ht="15" customHeight="1" x14ac:dyDescent="0.2">
      <c r="A585" s="9">
        <v>580</v>
      </c>
      <c r="B585" s="27">
        <f t="shared" si="54"/>
        <v>2833.4147532975085</v>
      </c>
      <c r="C585" s="27">
        <f t="shared" si="55"/>
        <v>11435.661944308744</v>
      </c>
      <c r="D585" s="28">
        <v>11.42</v>
      </c>
      <c r="E585" s="28">
        <v>11.42</v>
      </c>
      <c r="F585" s="9" t="str">
        <f t="shared" si="56"/>
        <v>Identical</v>
      </c>
      <c r="G585" s="27">
        <f t="shared" si="57"/>
        <v>2833.4147532975085</v>
      </c>
      <c r="H585" s="29">
        <v>3.18</v>
      </c>
      <c r="I585" s="29">
        <v>3.18</v>
      </c>
      <c r="J585" s="9" t="str">
        <f t="shared" si="58"/>
        <v>Identical</v>
      </c>
      <c r="K585" s="9" t="s">
        <v>539</v>
      </c>
      <c r="L585" s="9" t="s">
        <v>539</v>
      </c>
      <c r="M585" s="9" t="str">
        <f t="shared" si="59"/>
        <v>Same</v>
      </c>
      <c r="N585" s="30" t="s">
        <v>1246</v>
      </c>
      <c r="O585" s="30" t="s">
        <v>1245</v>
      </c>
    </row>
    <row r="586" spans="1:15" ht="15" customHeight="1" x14ac:dyDescent="0.2">
      <c r="A586" s="9">
        <v>581</v>
      </c>
      <c r="B586" s="27">
        <f t="shared" si="54"/>
        <v>2838.2999511480216</v>
      </c>
      <c r="C586" s="27">
        <f t="shared" si="55"/>
        <v>11455.378602833414</v>
      </c>
      <c r="D586" s="28">
        <v>11.44</v>
      </c>
      <c r="E586" s="28">
        <v>11.44</v>
      </c>
      <c r="F586" s="9" t="str">
        <f t="shared" si="56"/>
        <v>Identical</v>
      </c>
      <c r="G586" s="27">
        <f t="shared" si="57"/>
        <v>2838.2999511480216</v>
      </c>
      <c r="H586" s="29">
        <v>3.19</v>
      </c>
      <c r="I586" s="29">
        <v>3.19</v>
      </c>
      <c r="J586" s="9" t="str">
        <f t="shared" si="58"/>
        <v>Identical</v>
      </c>
      <c r="K586" s="9" t="s">
        <v>539</v>
      </c>
      <c r="L586" s="9" t="s">
        <v>539</v>
      </c>
      <c r="M586" s="9" t="str">
        <f t="shared" si="59"/>
        <v>Same</v>
      </c>
      <c r="N586" s="30" t="s">
        <v>1247</v>
      </c>
      <c r="O586" s="30" t="s">
        <v>1248</v>
      </c>
    </row>
    <row r="587" spans="1:15" ht="15" customHeight="1" x14ac:dyDescent="0.2">
      <c r="A587" s="9">
        <v>582</v>
      </c>
      <c r="B587" s="27">
        <f t="shared" si="54"/>
        <v>2843.1851489985343</v>
      </c>
      <c r="C587" s="27">
        <f t="shared" si="55"/>
        <v>11475.095261358083</v>
      </c>
      <c r="D587" s="28">
        <v>11.46</v>
      </c>
      <c r="E587" s="28">
        <v>11.46</v>
      </c>
      <c r="F587" s="9" t="str">
        <f t="shared" si="56"/>
        <v>Identical</v>
      </c>
      <c r="G587" s="27">
        <f t="shared" si="57"/>
        <v>2843.1851489985343</v>
      </c>
      <c r="H587" s="29">
        <v>3.19</v>
      </c>
      <c r="I587" s="29">
        <v>3.19</v>
      </c>
      <c r="J587" s="9" t="str">
        <f t="shared" si="58"/>
        <v>Identical</v>
      </c>
      <c r="K587" s="9" t="s">
        <v>539</v>
      </c>
      <c r="L587" s="9" t="s">
        <v>539</v>
      </c>
      <c r="M587" s="9" t="str">
        <f t="shared" si="59"/>
        <v>Same</v>
      </c>
      <c r="N587" s="30" t="s">
        <v>1247</v>
      </c>
      <c r="O587" s="30" t="s">
        <v>1248</v>
      </c>
    </row>
    <row r="588" spans="1:15" ht="15" customHeight="1" x14ac:dyDescent="0.2">
      <c r="A588" s="9">
        <v>583</v>
      </c>
      <c r="B588" s="27">
        <f t="shared" si="54"/>
        <v>2848.0703468490474</v>
      </c>
      <c r="C588" s="27">
        <f t="shared" si="55"/>
        <v>11494.811919882754</v>
      </c>
      <c r="D588" s="28">
        <v>11.48</v>
      </c>
      <c r="E588" s="28">
        <v>11.48</v>
      </c>
      <c r="F588" s="9" t="str">
        <f t="shared" si="56"/>
        <v>Identical</v>
      </c>
      <c r="G588" s="27">
        <f t="shared" si="57"/>
        <v>2848.0703468490474</v>
      </c>
      <c r="H588" s="29">
        <v>3.2</v>
      </c>
      <c r="I588" s="29">
        <v>3.2</v>
      </c>
      <c r="J588" s="9" t="str">
        <f t="shared" si="58"/>
        <v>Identical</v>
      </c>
      <c r="K588" s="9" t="s">
        <v>539</v>
      </c>
      <c r="L588" s="9" t="s">
        <v>539</v>
      </c>
      <c r="M588" s="9" t="str">
        <f t="shared" si="59"/>
        <v>Same</v>
      </c>
      <c r="N588" s="30" t="s">
        <v>1249</v>
      </c>
      <c r="O588" s="30" t="s">
        <v>1250</v>
      </c>
    </row>
    <row r="589" spans="1:15" ht="15" customHeight="1" x14ac:dyDescent="0.2">
      <c r="A589" s="9">
        <v>584</v>
      </c>
      <c r="B589" s="27">
        <f t="shared" si="54"/>
        <v>2852.9555446995605</v>
      </c>
      <c r="C589" s="27">
        <f t="shared" si="55"/>
        <v>11514.528578407426</v>
      </c>
      <c r="D589" s="28">
        <v>11.5</v>
      </c>
      <c r="E589" s="28">
        <v>11.5</v>
      </c>
      <c r="F589" s="9" t="str">
        <f t="shared" si="56"/>
        <v>Identical</v>
      </c>
      <c r="G589" s="27">
        <f t="shared" si="57"/>
        <v>2852.9555446995605</v>
      </c>
      <c r="H589" s="29">
        <v>3.2</v>
      </c>
      <c r="I589" s="29">
        <v>3.2</v>
      </c>
      <c r="J589" s="9" t="str">
        <f t="shared" si="58"/>
        <v>Identical</v>
      </c>
      <c r="K589" s="9" t="s">
        <v>539</v>
      </c>
      <c r="L589" s="9" t="s">
        <v>539</v>
      </c>
      <c r="M589" s="9" t="str">
        <f t="shared" si="59"/>
        <v>Same</v>
      </c>
      <c r="N589" s="30" t="s">
        <v>1249</v>
      </c>
      <c r="O589" s="30" t="s">
        <v>1250</v>
      </c>
    </row>
    <row r="590" spans="1:15" ht="15" customHeight="1" x14ac:dyDescent="0.2">
      <c r="A590" s="9">
        <v>585</v>
      </c>
      <c r="B590" s="27">
        <f t="shared" si="54"/>
        <v>2857.8407425500732</v>
      </c>
      <c r="C590" s="27">
        <f t="shared" si="55"/>
        <v>11534.245236932094</v>
      </c>
      <c r="D590" s="28">
        <v>11.52</v>
      </c>
      <c r="E590" s="28">
        <v>11.52</v>
      </c>
      <c r="F590" s="9" t="str">
        <f t="shared" si="56"/>
        <v>Identical</v>
      </c>
      <c r="G590" s="27">
        <f t="shared" si="57"/>
        <v>2857.8407425500732</v>
      </c>
      <c r="H590" s="29">
        <v>3.21</v>
      </c>
      <c r="I590" s="29">
        <v>3.21</v>
      </c>
      <c r="J590" s="9" t="str">
        <f t="shared" si="58"/>
        <v>Identical</v>
      </c>
      <c r="K590" s="9" t="s">
        <v>539</v>
      </c>
      <c r="L590" s="9" t="s">
        <v>539</v>
      </c>
      <c r="M590" s="9" t="str">
        <f t="shared" si="59"/>
        <v>Same</v>
      </c>
      <c r="N590" s="30" t="s">
        <v>1251</v>
      </c>
      <c r="O590" s="30" t="s">
        <v>1252</v>
      </c>
    </row>
    <row r="591" spans="1:15" ht="15" customHeight="1" x14ac:dyDescent="0.2">
      <c r="A591" s="9">
        <v>586</v>
      </c>
      <c r="B591" s="27">
        <f t="shared" si="54"/>
        <v>2862.7259404005863</v>
      </c>
      <c r="C591" s="27">
        <f t="shared" si="55"/>
        <v>11553.961895456765</v>
      </c>
      <c r="D591" s="28">
        <v>11.54</v>
      </c>
      <c r="E591" s="28">
        <v>11.54</v>
      </c>
      <c r="F591" s="9" t="str">
        <f t="shared" si="56"/>
        <v>Identical</v>
      </c>
      <c r="G591" s="27">
        <f t="shared" si="57"/>
        <v>2862.7259404005863</v>
      </c>
      <c r="H591" s="29">
        <v>3.21</v>
      </c>
      <c r="I591" s="29">
        <v>3.21</v>
      </c>
      <c r="J591" s="9" t="str">
        <f t="shared" si="58"/>
        <v>Identical</v>
      </c>
      <c r="K591" s="9" t="s">
        <v>539</v>
      </c>
      <c r="L591" s="9" t="s">
        <v>539</v>
      </c>
      <c r="M591" s="9" t="str">
        <f t="shared" si="59"/>
        <v>Same</v>
      </c>
      <c r="N591" s="30" t="s">
        <v>1251</v>
      </c>
      <c r="O591" s="30" t="s">
        <v>1252</v>
      </c>
    </row>
    <row r="592" spans="1:15" ht="15" customHeight="1" x14ac:dyDescent="0.2">
      <c r="A592" s="9">
        <v>587</v>
      </c>
      <c r="B592" s="27">
        <f t="shared" si="54"/>
        <v>2867.611138251099</v>
      </c>
      <c r="C592" s="27">
        <f t="shared" si="55"/>
        <v>11573.678553981434</v>
      </c>
      <c r="D592" s="28">
        <v>11.56</v>
      </c>
      <c r="E592" s="28">
        <v>11.56</v>
      </c>
      <c r="F592" s="9" t="str">
        <f t="shared" si="56"/>
        <v>Identical</v>
      </c>
      <c r="G592" s="27">
        <f t="shared" si="57"/>
        <v>2867.611138251099</v>
      </c>
      <c r="H592" s="29">
        <v>3.22</v>
      </c>
      <c r="I592" s="29">
        <v>3.22</v>
      </c>
      <c r="J592" s="9" t="str">
        <f t="shared" si="58"/>
        <v>Identical</v>
      </c>
      <c r="K592" s="9" t="s">
        <v>539</v>
      </c>
      <c r="L592" s="9" t="s">
        <v>539</v>
      </c>
      <c r="M592" s="9" t="str">
        <f t="shared" si="59"/>
        <v>Same</v>
      </c>
      <c r="N592" s="30" t="s">
        <v>1253</v>
      </c>
      <c r="O592" s="30" t="s">
        <v>1254</v>
      </c>
    </row>
    <row r="593" spans="1:15" ht="15" customHeight="1" x14ac:dyDescent="0.2">
      <c r="A593" s="9">
        <v>588</v>
      </c>
      <c r="B593" s="27">
        <f t="shared" si="54"/>
        <v>2872.4963361016121</v>
      </c>
      <c r="C593" s="27">
        <f t="shared" si="55"/>
        <v>11593.395212506106</v>
      </c>
      <c r="D593" s="28">
        <v>11.58</v>
      </c>
      <c r="E593" s="28">
        <v>11.58</v>
      </c>
      <c r="F593" s="9" t="str">
        <f t="shared" si="56"/>
        <v>Identical</v>
      </c>
      <c r="G593" s="27">
        <f t="shared" si="57"/>
        <v>2872.4963361016121</v>
      </c>
      <c r="H593" s="29">
        <v>3.22</v>
      </c>
      <c r="I593" s="29">
        <v>3.22</v>
      </c>
      <c r="J593" s="9" t="str">
        <f t="shared" si="58"/>
        <v>Identical</v>
      </c>
      <c r="K593" s="9" t="s">
        <v>539</v>
      </c>
      <c r="L593" s="9" t="s">
        <v>539</v>
      </c>
      <c r="M593" s="9" t="str">
        <f t="shared" si="59"/>
        <v>Same</v>
      </c>
      <c r="N593" s="30" t="s">
        <v>1253</v>
      </c>
      <c r="O593" s="30" t="s">
        <v>1254</v>
      </c>
    </row>
    <row r="594" spans="1:15" ht="15" customHeight="1" x14ac:dyDescent="0.2">
      <c r="A594" s="9">
        <v>589</v>
      </c>
      <c r="B594" s="27">
        <f t="shared" si="54"/>
        <v>2877.3815339521252</v>
      </c>
      <c r="C594" s="27">
        <f t="shared" si="55"/>
        <v>11613.111871030776</v>
      </c>
      <c r="D594" s="28">
        <v>11.6</v>
      </c>
      <c r="E594" s="28">
        <v>11.6</v>
      </c>
      <c r="F594" s="9" t="str">
        <f t="shared" si="56"/>
        <v>Identical</v>
      </c>
      <c r="G594" s="27">
        <f t="shared" si="57"/>
        <v>2877.3815339521252</v>
      </c>
      <c r="H594" s="29">
        <v>3.23</v>
      </c>
      <c r="I594" s="29">
        <v>3.23</v>
      </c>
      <c r="J594" s="9" t="str">
        <f t="shared" si="58"/>
        <v>Identical</v>
      </c>
      <c r="K594" s="9" t="s">
        <v>539</v>
      </c>
      <c r="L594" s="9" t="s">
        <v>539</v>
      </c>
      <c r="M594" s="9" t="str">
        <f t="shared" si="59"/>
        <v>Same</v>
      </c>
      <c r="N594" s="30" t="s">
        <v>1255</v>
      </c>
      <c r="O594" s="30" t="s">
        <v>1256</v>
      </c>
    </row>
    <row r="595" spans="1:15" ht="15" customHeight="1" x14ac:dyDescent="0.2">
      <c r="A595" s="9">
        <v>590</v>
      </c>
      <c r="B595" s="27">
        <f t="shared" si="54"/>
        <v>2882.2667318026379</v>
      </c>
      <c r="C595" s="27">
        <f t="shared" si="55"/>
        <v>11632.828529555445</v>
      </c>
      <c r="D595" s="28">
        <v>11.62</v>
      </c>
      <c r="E595" s="28">
        <v>11.61</v>
      </c>
      <c r="F595" s="9" t="str">
        <f t="shared" si="56"/>
        <v>Within 10 mV (calibration line)</v>
      </c>
      <c r="G595" s="27">
        <f t="shared" si="57"/>
        <v>2882.2667318026379</v>
      </c>
      <c r="H595" s="29">
        <v>3.23</v>
      </c>
      <c r="I595" s="29">
        <v>3.23</v>
      </c>
      <c r="J595" s="9" t="str">
        <f t="shared" si="58"/>
        <v>Identical</v>
      </c>
      <c r="K595" s="9" t="s">
        <v>539</v>
      </c>
      <c r="L595" s="9" t="s">
        <v>539</v>
      </c>
      <c r="M595" s="9" t="str">
        <f t="shared" si="59"/>
        <v>Same</v>
      </c>
      <c r="N595" s="30" t="s">
        <v>1255</v>
      </c>
      <c r="O595" s="30" t="s">
        <v>1256</v>
      </c>
    </row>
    <row r="596" spans="1:15" ht="15" customHeight="1" x14ac:dyDescent="0.2">
      <c r="A596" s="9">
        <v>591</v>
      </c>
      <c r="B596" s="27">
        <f t="shared" si="54"/>
        <v>2887.151929653151</v>
      </c>
      <c r="C596" s="27">
        <f t="shared" si="55"/>
        <v>11652.545188080116</v>
      </c>
      <c r="D596" s="28">
        <v>11.64</v>
      </c>
      <c r="E596" s="28">
        <v>11.63</v>
      </c>
      <c r="F596" s="9" t="str">
        <f t="shared" si="56"/>
        <v>Within 10 mV (calibration line)</v>
      </c>
      <c r="G596" s="27">
        <f t="shared" si="57"/>
        <v>2887.151929653151</v>
      </c>
      <c r="H596" s="29">
        <v>3.24</v>
      </c>
      <c r="I596" s="29">
        <v>3.24</v>
      </c>
      <c r="J596" s="9" t="str">
        <f t="shared" si="58"/>
        <v>Identical</v>
      </c>
      <c r="K596" s="9" t="s">
        <v>539</v>
      </c>
      <c r="L596" s="9" t="s">
        <v>539</v>
      </c>
      <c r="M596" s="9" t="str">
        <f t="shared" si="59"/>
        <v>Same</v>
      </c>
      <c r="N596" s="30" t="s">
        <v>1257</v>
      </c>
      <c r="O596" s="30" t="s">
        <v>1258</v>
      </c>
    </row>
    <row r="597" spans="1:15" ht="15" customHeight="1" x14ac:dyDescent="0.2">
      <c r="A597" s="9">
        <v>592</v>
      </c>
      <c r="B597" s="27">
        <f t="shared" si="54"/>
        <v>2892.0371275036641</v>
      </c>
      <c r="C597" s="27">
        <f t="shared" si="55"/>
        <v>11672.261846604788</v>
      </c>
      <c r="D597" s="28">
        <v>11.66</v>
      </c>
      <c r="E597" s="28">
        <v>11.65</v>
      </c>
      <c r="F597" s="9" t="str">
        <f t="shared" si="56"/>
        <v>Within 10 mV (calibration line)</v>
      </c>
      <c r="G597" s="27">
        <f t="shared" si="57"/>
        <v>2892.0371275036641</v>
      </c>
      <c r="H597" s="29">
        <v>3.25</v>
      </c>
      <c r="I597" s="29">
        <v>3.25</v>
      </c>
      <c r="J597" s="9" t="str">
        <f t="shared" si="58"/>
        <v>Identical</v>
      </c>
      <c r="K597" s="9" t="s">
        <v>539</v>
      </c>
      <c r="L597" s="9" t="s">
        <v>539</v>
      </c>
      <c r="M597" s="9" t="str">
        <f t="shared" si="59"/>
        <v>Same</v>
      </c>
      <c r="N597" s="30" t="s">
        <v>1259</v>
      </c>
      <c r="O597" s="30" t="s">
        <v>1260</v>
      </c>
    </row>
    <row r="598" spans="1:15" ht="15" customHeight="1" x14ac:dyDescent="0.2">
      <c r="A598" s="9">
        <v>593</v>
      </c>
      <c r="B598" s="27">
        <f t="shared" si="54"/>
        <v>2896.9223253541768</v>
      </c>
      <c r="C598" s="27">
        <f t="shared" si="55"/>
        <v>11691.978505129457</v>
      </c>
      <c r="D598" s="28">
        <v>11.68</v>
      </c>
      <c r="E598" s="28">
        <v>11.67</v>
      </c>
      <c r="F598" s="9" t="str">
        <f t="shared" si="56"/>
        <v>Within 10 mV (calibration line)</v>
      </c>
      <c r="G598" s="27">
        <f t="shared" si="57"/>
        <v>2896.9223253541768</v>
      </c>
      <c r="H598" s="29">
        <v>3.25</v>
      </c>
      <c r="I598" s="29">
        <v>3.25</v>
      </c>
      <c r="J598" s="9" t="str">
        <f t="shared" si="58"/>
        <v>Identical</v>
      </c>
      <c r="K598" s="9" t="s">
        <v>539</v>
      </c>
      <c r="L598" s="9" t="s">
        <v>539</v>
      </c>
      <c r="M598" s="9" t="str">
        <f t="shared" si="59"/>
        <v>Same</v>
      </c>
      <c r="N598" s="30" t="s">
        <v>1259</v>
      </c>
      <c r="O598" s="30" t="s">
        <v>1260</v>
      </c>
    </row>
    <row r="599" spans="1:15" ht="15" customHeight="1" x14ac:dyDescent="0.2">
      <c r="A599" s="9">
        <v>594</v>
      </c>
      <c r="B599" s="27">
        <f t="shared" si="54"/>
        <v>2901.8075232046899</v>
      </c>
      <c r="C599" s="27">
        <f t="shared" si="55"/>
        <v>11711.695163654127</v>
      </c>
      <c r="D599" s="28">
        <v>11.7</v>
      </c>
      <c r="E599" s="28">
        <v>11.69</v>
      </c>
      <c r="F599" s="9" t="str">
        <f t="shared" si="56"/>
        <v>Within 10 mV (calibration line)</v>
      </c>
      <c r="G599" s="27">
        <f t="shared" si="57"/>
        <v>2901.8075232046899</v>
      </c>
      <c r="H599" s="29">
        <v>3.26</v>
      </c>
      <c r="I599" s="29">
        <v>3.26</v>
      </c>
      <c r="J599" s="9" t="str">
        <f t="shared" si="58"/>
        <v>Identical</v>
      </c>
      <c r="K599" s="9" t="s">
        <v>539</v>
      </c>
      <c r="L599" s="9" t="s">
        <v>539</v>
      </c>
      <c r="M599" s="9" t="str">
        <f t="shared" si="59"/>
        <v>Same</v>
      </c>
      <c r="N599" s="30" t="s">
        <v>1261</v>
      </c>
      <c r="O599" s="30" t="s">
        <v>1262</v>
      </c>
    </row>
    <row r="600" spans="1:15" ht="15" customHeight="1" x14ac:dyDescent="0.2">
      <c r="A600" s="9">
        <v>595</v>
      </c>
      <c r="B600" s="27">
        <f t="shared" si="54"/>
        <v>2906.6927210552026</v>
      </c>
      <c r="C600" s="27">
        <f t="shared" si="55"/>
        <v>11731.411822178796</v>
      </c>
      <c r="D600" s="28">
        <v>11.72</v>
      </c>
      <c r="E600" s="28">
        <v>11.71</v>
      </c>
      <c r="F600" s="9" t="str">
        <f t="shared" si="56"/>
        <v>Within 10 mV (calibration line)</v>
      </c>
      <c r="G600" s="27">
        <f t="shared" si="57"/>
        <v>2906.6927210552026</v>
      </c>
      <c r="H600" s="29">
        <v>3.26</v>
      </c>
      <c r="I600" s="29">
        <v>3.26</v>
      </c>
      <c r="J600" s="9" t="str">
        <f t="shared" si="58"/>
        <v>Identical</v>
      </c>
      <c r="K600" s="9" t="s">
        <v>539</v>
      </c>
      <c r="L600" s="9" t="s">
        <v>539</v>
      </c>
      <c r="M600" s="9" t="str">
        <f t="shared" si="59"/>
        <v>Same</v>
      </c>
      <c r="N600" s="30" t="s">
        <v>1261</v>
      </c>
      <c r="O600" s="30" t="s">
        <v>1262</v>
      </c>
    </row>
    <row r="601" spans="1:15" ht="15" customHeight="1" x14ac:dyDescent="0.2">
      <c r="A601" s="9">
        <v>596</v>
      </c>
      <c r="B601" s="27">
        <f t="shared" si="54"/>
        <v>2911.5779189057157</v>
      </c>
      <c r="C601" s="27">
        <f t="shared" si="55"/>
        <v>11751.128480703468</v>
      </c>
      <c r="D601" s="28">
        <v>11.74</v>
      </c>
      <c r="E601" s="28">
        <v>11.73</v>
      </c>
      <c r="F601" s="9" t="str">
        <f t="shared" si="56"/>
        <v>Within 10 mV (calibration line)</v>
      </c>
      <c r="G601" s="27">
        <f t="shared" si="57"/>
        <v>2911.5779189057157</v>
      </c>
      <c r="H601" s="29">
        <v>3.27</v>
      </c>
      <c r="I601" s="29">
        <v>3.27</v>
      </c>
      <c r="J601" s="9" t="str">
        <f t="shared" si="58"/>
        <v>Identical</v>
      </c>
      <c r="K601" s="9" t="s">
        <v>539</v>
      </c>
      <c r="L601" s="9" t="s">
        <v>539</v>
      </c>
      <c r="M601" s="9" t="str">
        <f t="shared" si="59"/>
        <v>Same</v>
      </c>
      <c r="N601" s="30" t="s">
        <v>1263</v>
      </c>
      <c r="O601" s="30" t="s">
        <v>1264</v>
      </c>
    </row>
    <row r="602" spans="1:15" ht="15" customHeight="1" x14ac:dyDescent="0.2">
      <c r="A602" s="9">
        <v>597</v>
      </c>
      <c r="B602" s="27">
        <f t="shared" si="54"/>
        <v>2916.4631167562288</v>
      </c>
      <c r="C602" s="27">
        <f t="shared" si="55"/>
        <v>11770.845139228139</v>
      </c>
      <c r="D602" s="28">
        <v>11.76</v>
      </c>
      <c r="E602" s="28">
        <v>11.75</v>
      </c>
      <c r="F602" s="9" t="str">
        <f t="shared" si="56"/>
        <v>Within 10 mV (calibration line)</v>
      </c>
      <c r="G602" s="27">
        <f t="shared" si="57"/>
        <v>2916.4631167562288</v>
      </c>
      <c r="H602" s="29">
        <v>3.28</v>
      </c>
      <c r="I602" s="29">
        <v>3.28</v>
      </c>
      <c r="J602" s="9" t="str">
        <f t="shared" si="58"/>
        <v>Identical</v>
      </c>
      <c r="K602" s="9" t="s">
        <v>539</v>
      </c>
      <c r="L602" s="9" t="s">
        <v>539</v>
      </c>
      <c r="M602" s="9" t="str">
        <f t="shared" si="59"/>
        <v>Same</v>
      </c>
      <c r="N602" s="30" t="s">
        <v>1265</v>
      </c>
      <c r="O602" s="30" t="s">
        <v>1266</v>
      </c>
    </row>
    <row r="603" spans="1:15" ht="15" customHeight="1" x14ac:dyDescent="0.2">
      <c r="A603" s="9">
        <v>598</v>
      </c>
      <c r="B603" s="27">
        <f t="shared" si="54"/>
        <v>2921.3483146067415</v>
      </c>
      <c r="C603" s="27">
        <f t="shared" si="55"/>
        <v>11790.561797752807</v>
      </c>
      <c r="D603" s="28">
        <v>11.78</v>
      </c>
      <c r="E603" s="28">
        <v>11.77</v>
      </c>
      <c r="F603" s="9" t="str">
        <f t="shared" si="56"/>
        <v>Within 10 mV (calibration line)</v>
      </c>
      <c r="G603" s="27">
        <f t="shared" si="57"/>
        <v>2921.3483146067415</v>
      </c>
      <c r="H603" s="29">
        <v>3.28</v>
      </c>
      <c r="I603" s="29">
        <v>3.28</v>
      </c>
      <c r="J603" s="9" t="str">
        <f t="shared" si="58"/>
        <v>Identical</v>
      </c>
      <c r="K603" s="9" t="s">
        <v>539</v>
      </c>
      <c r="L603" s="9" t="s">
        <v>539</v>
      </c>
      <c r="M603" s="9" t="str">
        <f t="shared" si="59"/>
        <v>Same</v>
      </c>
      <c r="N603" s="30" t="s">
        <v>1265</v>
      </c>
      <c r="O603" s="30" t="s">
        <v>1266</v>
      </c>
    </row>
    <row r="604" spans="1:15" ht="15" customHeight="1" x14ac:dyDescent="0.2">
      <c r="A604" s="9">
        <v>599</v>
      </c>
      <c r="B604" s="27">
        <f t="shared" si="54"/>
        <v>2926.2335124572546</v>
      </c>
      <c r="C604" s="27">
        <f t="shared" si="55"/>
        <v>11810.278456277478</v>
      </c>
      <c r="D604" s="28">
        <v>11.8</v>
      </c>
      <c r="E604" s="28">
        <v>11.79</v>
      </c>
      <c r="F604" s="9" t="str">
        <f t="shared" si="56"/>
        <v>Within 10 mV (calibration line)</v>
      </c>
      <c r="G604" s="27">
        <f t="shared" si="57"/>
        <v>2926.2335124572546</v>
      </c>
      <c r="H604" s="29">
        <v>3.29</v>
      </c>
      <c r="I604" s="29">
        <v>3.29</v>
      </c>
      <c r="J604" s="9" t="str">
        <f t="shared" si="58"/>
        <v>Identical</v>
      </c>
      <c r="K604" s="9" t="s">
        <v>539</v>
      </c>
      <c r="L604" s="9" t="s">
        <v>539</v>
      </c>
      <c r="M604" s="9" t="str">
        <f t="shared" si="59"/>
        <v>Same</v>
      </c>
      <c r="N604" s="30" t="s">
        <v>1267</v>
      </c>
      <c r="O604" s="30" t="s">
        <v>1268</v>
      </c>
    </row>
    <row r="605" spans="1:15" ht="15" customHeight="1" x14ac:dyDescent="0.2">
      <c r="A605" s="9">
        <v>600</v>
      </c>
      <c r="B605" s="27">
        <f t="shared" si="54"/>
        <v>2931.1187103077677</v>
      </c>
      <c r="C605" s="27">
        <f t="shared" si="55"/>
        <v>11829.99511480215</v>
      </c>
      <c r="D605" s="28">
        <v>11.81</v>
      </c>
      <c r="E605" s="28">
        <v>11.81</v>
      </c>
      <c r="F605" s="9" t="str">
        <f t="shared" si="56"/>
        <v>Identical</v>
      </c>
      <c r="G605" s="27">
        <f t="shared" si="57"/>
        <v>2931.1187103077677</v>
      </c>
      <c r="H605" s="29">
        <v>3.29</v>
      </c>
      <c r="I605" s="29">
        <v>3.29</v>
      </c>
      <c r="J605" s="9" t="str">
        <f t="shared" si="58"/>
        <v>Identical</v>
      </c>
      <c r="K605" s="9" t="s">
        <v>539</v>
      </c>
      <c r="L605" s="9" t="s">
        <v>539</v>
      </c>
      <c r="M605" s="9" t="str">
        <f t="shared" si="59"/>
        <v>Same</v>
      </c>
      <c r="N605" s="30" t="s">
        <v>1267</v>
      </c>
      <c r="O605" s="30" t="s">
        <v>1268</v>
      </c>
    </row>
    <row r="606" spans="1:15" ht="15" customHeight="1" x14ac:dyDescent="0.2">
      <c r="A606" s="9">
        <v>601</v>
      </c>
      <c r="B606" s="27">
        <f t="shared" si="54"/>
        <v>2936.0039081582804</v>
      </c>
      <c r="C606" s="27">
        <f t="shared" si="55"/>
        <v>11849.711773326819</v>
      </c>
      <c r="D606" s="28">
        <v>11.83</v>
      </c>
      <c r="E606" s="28">
        <v>11.83</v>
      </c>
      <c r="F606" s="9" t="str">
        <f t="shared" si="56"/>
        <v>Identical</v>
      </c>
      <c r="G606" s="27">
        <f t="shared" si="57"/>
        <v>2936.0039081582804</v>
      </c>
      <c r="H606" s="29">
        <v>3.3</v>
      </c>
      <c r="I606" s="29">
        <v>3.3</v>
      </c>
      <c r="J606" s="9" t="str">
        <f t="shared" si="58"/>
        <v>Identical</v>
      </c>
      <c r="K606" s="9" t="s">
        <v>539</v>
      </c>
      <c r="L606" s="9" t="s">
        <v>539</v>
      </c>
      <c r="M606" s="9" t="str">
        <f t="shared" si="59"/>
        <v>Same</v>
      </c>
      <c r="N606" s="30" t="s">
        <v>1269</v>
      </c>
      <c r="O606" s="30" t="s">
        <v>1270</v>
      </c>
    </row>
    <row r="607" spans="1:15" ht="15" customHeight="1" x14ac:dyDescent="0.2">
      <c r="A607" s="9">
        <v>602</v>
      </c>
      <c r="B607" s="27">
        <f t="shared" si="54"/>
        <v>2940.8891060087935</v>
      </c>
      <c r="C607" s="27">
        <f t="shared" si="55"/>
        <v>11869.428431851489</v>
      </c>
      <c r="D607" s="28">
        <v>11.85</v>
      </c>
      <c r="E607" s="28">
        <v>11.85</v>
      </c>
      <c r="F607" s="9" t="str">
        <f t="shared" si="56"/>
        <v>Identical</v>
      </c>
      <c r="G607" s="27">
        <f t="shared" si="57"/>
        <v>2940.8891060087935</v>
      </c>
      <c r="H607" s="29">
        <v>3.3</v>
      </c>
      <c r="I607" s="29">
        <v>3.3</v>
      </c>
      <c r="J607" s="9" t="str">
        <f t="shared" si="58"/>
        <v>Identical</v>
      </c>
      <c r="K607" s="9" t="s">
        <v>539</v>
      </c>
      <c r="L607" s="9" t="s">
        <v>539</v>
      </c>
      <c r="M607" s="9" t="str">
        <f t="shared" si="59"/>
        <v>Same</v>
      </c>
      <c r="N607" s="30" t="s">
        <v>1269</v>
      </c>
      <c r="O607" s="30" t="s">
        <v>1270</v>
      </c>
    </row>
    <row r="608" spans="1:15" ht="15" customHeight="1" x14ac:dyDescent="0.2">
      <c r="A608" s="9">
        <v>603</v>
      </c>
      <c r="B608" s="27">
        <f t="shared" si="54"/>
        <v>2945.7743038593062</v>
      </c>
      <c r="C608" s="27">
        <f t="shared" si="55"/>
        <v>11889.145090376158</v>
      </c>
      <c r="D608" s="28">
        <v>11.87</v>
      </c>
      <c r="E608" s="28">
        <v>11.87</v>
      </c>
      <c r="F608" s="9" t="str">
        <f t="shared" si="56"/>
        <v>Identical</v>
      </c>
      <c r="G608" s="27">
        <f t="shared" si="57"/>
        <v>2945.7743038593062</v>
      </c>
      <c r="H608" s="29">
        <v>3.31</v>
      </c>
      <c r="I608" s="29">
        <v>3.31</v>
      </c>
      <c r="J608" s="9" t="str">
        <f t="shared" si="58"/>
        <v>Identical</v>
      </c>
      <c r="K608" s="9" t="s">
        <v>539</v>
      </c>
      <c r="L608" s="9" t="s">
        <v>539</v>
      </c>
      <c r="M608" s="9" t="str">
        <f t="shared" si="59"/>
        <v>Same</v>
      </c>
      <c r="N608" s="30" t="s">
        <v>1271</v>
      </c>
      <c r="O608" s="30" t="s">
        <v>1272</v>
      </c>
    </row>
    <row r="609" spans="1:15" ht="15" customHeight="1" x14ac:dyDescent="0.2">
      <c r="A609" s="9">
        <v>604</v>
      </c>
      <c r="B609" s="27">
        <f t="shared" si="54"/>
        <v>2950.6595017098193</v>
      </c>
      <c r="C609" s="27">
        <f t="shared" si="55"/>
        <v>11908.86174890083</v>
      </c>
      <c r="D609" s="28">
        <v>11.89</v>
      </c>
      <c r="E609" s="28">
        <v>11.89</v>
      </c>
      <c r="F609" s="9" t="str">
        <f t="shared" si="56"/>
        <v>Identical</v>
      </c>
      <c r="G609" s="27">
        <f t="shared" si="57"/>
        <v>2950.6595017098193</v>
      </c>
      <c r="H609" s="29">
        <v>3.31</v>
      </c>
      <c r="I609" s="29">
        <v>3.32</v>
      </c>
      <c r="J609" s="9" t="str">
        <f t="shared" si="58"/>
        <v>+0.01 A (nearest step)</v>
      </c>
      <c r="K609" s="9" t="s">
        <v>539</v>
      </c>
      <c r="L609" s="9" t="s">
        <v>539</v>
      </c>
      <c r="M609" s="9" t="str">
        <f t="shared" si="59"/>
        <v>Same</v>
      </c>
      <c r="N609" s="30" t="s">
        <v>1271</v>
      </c>
      <c r="O609" s="30" t="s">
        <v>1273</v>
      </c>
    </row>
    <row r="610" spans="1:15" ht="15" customHeight="1" x14ac:dyDescent="0.2">
      <c r="A610" s="9">
        <v>605</v>
      </c>
      <c r="B610" s="27">
        <f t="shared" si="54"/>
        <v>2955.5446995603324</v>
      </c>
      <c r="C610" s="27">
        <f t="shared" si="55"/>
        <v>11928.578407425501</v>
      </c>
      <c r="D610" s="28">
        <v>11.91</v>
      </c>
      <c r="E610" s="28">
        <v>11.91</v>
      </c>
      <c r="F610" s="9" t="str">
        <f t="shared" si="56"/>
        <v>Identical</v>
      </c>
      <c r="G610" s="27">
        <f t="shared" si="57"/>
        <v>2955.5446995603324</v>
      </c>
      <c r="H610" s="29">
        <v>3.32</v>
      </c>
      <c r="I610" s="29">
        <v>3.32</v>
      </c>
      <c r="J610" s="9" t="str">
        <f t="shared" si="58"/>
        <v>Identical</v>
      </c>
      <c r="K610" s="9" t="s">
        <v>539</v>
      </c>
      <c r="L610" s="9" t="s">
        <v>539</v>
      </c>
      <c r="M610" s="9" t="str">
        <f t="shared" si="59"/>
        <v>Same</v>
      </c>
      <c r="N610" s="30" t="s">
        <v>1274</v>
      </c>
      <c r="O610" s="30" t="s">
        <v>1273</v>
      </c>
    </row>
    <row r="611" spans="1:15" ht="15" customHeight="1" x14ac:dyDescent="0.2">
      <c r="A611" s="9">
        <v>606</v>
      </c>
      <c r="B611" s="27">
        <f t="shared" si="54"/>
        <v>2960.4298974108451</v>
      </c>
      <c r="C611" s="27">
        <f t="shared" si="55"/>
        <v>11948.295065950169</v>
      </c>
      <c r="D611" s="28">
        <v>11.93</v>
      </c>
      <c r="E611" s="28">
        <v>11.93</v>
      </c>
      <c r="F611" s="9" t="str">
        <f t="shared" si="56"/>
        <v>Identical</v>
      </c>
      <c r="G611" s="27">
        <f t="shared" si="57"/>
        <v>2960.4298974108451</v>
      </c>
      <c r="H611" s="29">
        <v>3.33</v>
      </c>
      <c r="I611" s="29">
        <v>3.33</v>
      </c>
      <c r="J611" s="9" t="str">
        <f t="shared" si="58"/>
        <v>Identical</v>
      </c>
      <c r="K611" s="9" t="s">
        <v>539</v>
      </c>
      <c r="L611" s="9" t="s">
        <v>539</v>
      </c>
      <c r="M611" s="9" t="str">
        <f t="shared" si="59"/>
        <v>Same</v>
      </c>
      <c r="N611" s="30" t="s">
        <v>1275</v>
      </c>
      <c r="O611" s="30" t="s">
        <v>1276</v>
      </c>
    </row>
    <row r="612" spans="1:15" ht="15" customHeight="1" x14ac:dyDescent="0.2">
      <c r="A612" s="9">
        <v>607</v>
      </c>
      <c r="B612" s="27">
        <f t="shared" si="54"/>
        <v>2965.3150952613582</v>
      </c>
      <c r="C612" s="27">
        <f t="shared" si="55"/>
        <v>11968.01172447484</v>
      </c>
      <c r="D612" s="28">
        <v>11.95</v>
      </c>
      <c r="E612" s="28">
        <v>11.95</v>
      </c>
      <c r="F612" s="9" t="str">
        <f t="shared" si="56"/>
        <v>Identical</v>
      </c>
      <c r="G612" s="27">
        <f t="shared" si="57"/>
        <v>2965.3150952613582</v>
      </c>
      <c r="H612" s="29">
        <v>3.33</v>
      </c>
      <c r="I612" s="29">
        <v>3.33</v>
      </c>
      <c r="J612" s="9" t="str">
        <f t="shared" si="58"/>
        <v>Identical</v>
      </c>
      <c r="K612" s="9" t="s">
        <v>539</v>
      </c>
      <c r="L612" s="9" t="s">
        <v>539</v>
      </c>
      <c r="M612" s="9" t="str">
        <f t="shared" si="59"/>
        <v>Same</v>
      </c>
      <c r="N612" s="30" t="s">
        <v>1275</v>
      </c>
      <c r="O612" s="30" t="s">
        <v>1276</v>
      </c>
    </row>
    <row r="613" spans="1:15" ht="15" customHeight="1" x14ac:dyDescent="0.2">
      <c r="A613" s="9">
        <v>608</v>
      </c>
      <c r="B613" s="27">
        <f t="shared" si="54"/>
        <v>2970.2002931118714</v>
      </c>
      <c r="C613" s="27">
        <f t="shared" si="55"/>
        <v>11987.728382999512</v>
      </c>
      <c r="D613" s="28">
        <v>11.97</v>
      </c>
      <c r="E613" s="28">
        <v>11.97</v>
      </c>
      <c r="F613" s="9" t="str">
        <f t="shared" si="56"/>
        <v>Identical</v>
      </c>
      <c r="G613" s="27">
        <f t="shared" si="57"/>
        <v>2970.2002931118714</v>
      </c>
      <c r="H613" s="29">
        <v>3.34</v>
      </c>
      <c r="I613" s="29">
        <v>3.34</v>
      </c>
      <c r="J613" s="9" t="str">
        <f t="shared" si="58"/>
        <v>Identical</v>
      </c>
      <c r="K613" s="9" t="s">
        <v>539</v>
      </c>
      <c r="L613" s="9" t="s">
        <v>539</v>
      </c>
      <c r="M613" s="9" t="str">
        <f t="shared" si="59"/>
        <v>Same</v>
      </c>
      <c r="N613" s="30" t="s">
        <v>1277</v>
      </c>
      <c r="O613" s="30" t="s">
        <v>1278</v>
      </c>
    </row>
    <row r="614" spans="1:15" ht="15" customHeight="1" x14ac:dyDescent="0.2">
      <c r="A614" s="9">
        <v>609</v>
      </c>
      <c r="B614" s="27">
        <f t="shared" si="54"/>
        <v>2975.085490962384</v>
      </c>
      <c r="C614" s="27">
        <f t="shared" si="55"/>
        <v>12007.445041524181</v>
      </c>
      <c r="D614" s="28">
        <v>11.99</v>
      </c>
      <c r="E614" s="28">
        <v>11.99</v>
      </c>
      <c r="F614" s="9" t="str">
        <f t="shared" si="56"/>
        <v>Identical</v>
      </c>
      <c r="G614" s="27">
        <f t="shared" si="57"/>
        <v>2975.085490962384</v>
      </c>
      <c r="H614" s="29">
        <v>3.34</v>
      </c>
      <c r="I614" s="29">
        <v>3.34</v>
      </c>
      <c r="J614" s="9" t="str">
        <f t="shared" si="58"/>
        <v>Identical</v>
      </c>
      <c r="K614" s="9" t="s">
        <v>539</v>
      </c>
      <c r="L614" s="9" t="s">
        <v>539</v>
      </c>
      <c r="M614" s="9" t="str">
        <f t="shared" si="59"/>
        <v>Same</v>
      </c>
      <c r="N614" s="30" t="s">
        <v>1277</v>
      </c>
      <c r="O614" s="30" t="s">
        <v>1278</v>
      </c>
    </row>
    <row r="615" spans="1:15" ht="15" customHeight="1" x14ac:dyDescent="0.2">
      <c r="A615" s="9">
        <v>610</v>
      </c>
      <c r="B615" s="27">
        <f t="shared" si="54"/>
        <v>2979.9706888128972</v>
      </c>
      <c r="C615" s="27">
        <f t="shared" si="55"/>
        <v>12027.161700048851</v>
      </c>
      <c r="D615" s="28">
        <v>12.01</v>
      </c>
      <c r="E615" s="28">
        <v>12.01</v>
      </c>
      <c r="F615" s="9" t="str">
        <f t="shared" si="56"/>
        <v>Identical</v>
      </c>
      <c r="G615" s="27">
        <f t="shared" si="57"/>
        <v>2979.9706888128972</v>
      </c>
      <c r="H615" s="29">
        <v>3.35</v>
      </c>
      <c r="I615" s="29">
        <v>3.35</v>
      </c>
      <c r="J615" s="9" t="str">
        <f t="shared" si="58"/>
        <v>Identical</v>
      </c>
      <c r="K615" s="9" t="s">
        <v>539</v>
      </c>
      <c r="L615" s="9" t="s">
        <v>539</v>
      </c>
      <c r="M615" s="9" t="str">
        <f t="shared" si="59"/>
        <v>Same</v>
      </c>
      <c r="N615" s="30" t="s">
        <v>1279</v>
      </c>
      <c r="O615" s="30" t="s">
        <v>1280</v>
      </c>
    </row>
    <row r="616" spans="1:15" ht="15" customHeight="1" x14ac:dyDescent="0.2">
      <c r="A616" s="9">
        <v>611</v>
      </c>
      <c r="B616" s="27">
        <f t="shared" si="54"/>
        <v>2984.8558866634098</v>
      </c>
      <c r="C616" s="27">
        <f t="shared" si="55"/>
        <v>12046.87835857352</v>
      </c>
      <c r="D616" s="28">
        <v>12.03</v>
      </c>
      <c r="E616" s="28">
        <v>12.03</v>
      </c>
      <c r="F616" s="9" t="str">
        <f t="shared" si="56"/>
        <v>Identical</v>
      </c>
      <c r="G616" s="27">
        <f t="shared" si="57"/>
        <v>2984.8558866634098</v>
      </c>
      <c r="H616" s="29">
        <v>3.35</v>
      </c>
      <c r="I616" s="29">
        <v>3.35</v>
      </c>
      <c r="J616" s="9" t="str">
        <f t="shared" si="58"/>
        <v>Identical</v>
      </c>
      <c r="K616" s="9" t="s">
        <v>539</v>
      </c>
      <c r="L616" s="9" t="s">
        <v>539</v>
      </c>
      <c r="M616" s="9" t="str">
        <f t="shared" si="59"/>
        <v>Same</v>
      </c>
      <c r="N616" s="30" t="s">
        <v>1279</v>
      </c>
      <c r="O616" s="30" t="s">
        <v>1280</v>
      </c>
    </row>
    <row r="617" spans="1:15" ht="15" customHeight="1" x14ac:dyDescent="0.2">
      <c r="A617" s="9">
        <v>612</v>
      </c>
      <c r="B617" s="27">
        <f t="shared" si="54"/>
        <v>2989.7410845139229</v>
      </c>
      <c r="C617" s="27">
        <f t="shared" si="55"/>
        <v>12066.595017098192</v>
      </c>
      <c r="D617" s="28">
        <v>12.05</v>
      </c>
      <c r="E617" s="28">
        <v>12.05</v>
      </c>
      <c r="F617" s="9" t="str">
        <f t="shared" si="56"/>
        <v>Identical</v>
      </c>
      <c r="G617" s="27">
        <f t="shared" si="57"/>
        <v>2989.7410845139229</v>
      </c>
      <c r="H617" s="29">
        <v>3.36</v>
      </c>
      <c r="I617" s="29">
        <v>3.36</v>
      </c>
      <c r="J617" s="9" t="str">
        <f t="shared" si="58"/>
        <v>Identical</v>
      </c>
      <c r="K617" s="9" t="s">
        <v>539</v>
      </c>
      <c r="L617" s="9" t="s">
        <v>539</v>
      </c>
      <c r="M617" s="9" t="str">
        <f t="shared" si="59"/>
        <v>Same</v>
      </c>
      <c r="N617" s="30" t="s">
        <v>1281</v>
      </c>
      <c r="O617" s="30" t="s">
        <v>1282</v>
      </c>
    </row>
    <row r="618" spans="1:15" ht="15" customHeight="1" x14ac:dyDescent="0.2">
      <c r="A618" s="9">
        <v>613</v>
      </c>
      <c r="B618" s="27">
        <f t="shared" si="54"/>
        <v>2994.6262823644361</v>
      </c>
      <c r="C618" s="27">
        <f t="shared" si="55"/>
        <v>12086.311675622863</v>
      </c>
      <c r="D618" s="28">
        <v>12.07</v>
      </c>
      <c r="E618" s="28">
        <v>12.07</v>
      </c>
      <c r="F618" s="9" t="str">
        <f t="shared" si="56"/>
        <v>Identical</v>
      </c>
      <c r="G618" s="27">
        <f t="shared" si="57"/>
        <v>2994.6262823644361</v>
      </c>
      <c r="H618" s="29">
        <v>3.36</v>
      </c>
      <c r="I618" s="29">
        <v>3.36</v>
      </c>
      <c r="J618" s="9" t="str">
        <f t="shared" si="58"/>
        <v>Identical</v>
      </c>
      <c r="K618" s="9" t="s">
        <v>539</v>
      </c>
      <c r="L618" s="9" t="s">
        <v>539</v>
      </c>
      <c r="M618" s="9" t="str">
        <f t="shared" si="59"/>
        <v>Same</v>
      </c>
      <c r="N618" s="30" t="s">
        <v>1281</v>
      </c>
      <c r="O618" s="30" t="s">
        <v>1282</v>
      </c>
    </row>
    <row r="619" spans="1:15" ht="15" customHeight="1" x14ac:dyDescent="0.2">
      <c r="A619" s="9">
        <v>614</v>
      </c>
      <c r="B619" s="27">
        <f t="shared" si="54"/>
        <v>2999.5114802149487</v>
      </c>
      <c r="C619" s="27">
        <f t="shared" si="55"/>
        <v>12106.028334147531</v>
      </c>
      <c r="D619" s="28">
        <v>12.09</v>
      </c>
      <c r="E619" s="28">
        <v>12.09</v>
      </c>
      <c r="F619" s="9" t="str">
        <f t="shared" si="56"/>
        <v>Identical</v>
      </c>
      <c r="G619" s="27">
        <f t="shared" si="57"/>
        <v>2999.5114802149487</v>
      </c>
      <c r="H619" s="29">
        <v>3.37</v>
      </c>
      <c r="I619" s="29">
        <v>3.37</v>
      </c>
      <c r="J619" s="9" t="str">
        <f t="shared" si="58"/>
        <v>Identical</v>
      </c>
      <c r="K619" s="9" t="s">
        <v>539</v>
      </c>
      <c r="L619" s="9" t="s">
        <v>539</v>
      </c>
      <c r="M619" s="9" t="str">
        <f t="shared" si="59"/>
        <v>Same</v>
      </c>
      <c r="N619" s="30" t="s">
        <v>1283</v>
      </c>
      <c r="O619" s="30" t="s">
        <v>1284</v>
      </c>
    </row>
    <row r="620" spans="1:15" ht="15" customHeight="1" x14ac:dyDescent="0.2">
      <c r="A620" s="9">
        <v>615</v>
      </c>
      <c r="B620" s="27">
        <f t="shared" si="54"/>
        <v>3004.3966780654619</v>
      </c>
      <c r="C620" s="27">
        <f t="shared" si="55"/>
        <v>12125.744992672202</v>
      </c>
      <c r="D620" s="28">
        <v>12.11</v>
      </c>
      <c r="E620" s="28">
        <v>12.11</v>
      </c>
      <c r="F620" s="9" t="str">
        <f t="shared" si="56"/>
        <v>Identical</v>
      </c>
      <c r="G620" s="27">
        <f t="shared" si="57"/>
        <v>3004.3966780654619</v>
      </c>
      <c r="H620" s="29">
        <v>3.37</v>
      </c>
      <c r="I620" s="29">
        <v>3.37</v>
      </c>
      <c r="J620" s="9" t="str">
        <f t="shared" si="58"/>
        <v>Identical</v>
      </c>
      <c r="K620" s="9" t="s">
        <v>539</v>
      </c>
      <c r="L620" s="9" t="s">
        <v>539</v>
      </c>
      <c r="M620" s="9" t="str">
        <f t="shared" si="59"/>
        <v>Same</v>
      </c>
      <c r="N620" s="30" t="s">
        <v>1283</v>
      </c>
      <c r="O620" s="30" t="s">
        <v>1284</v>
      </c>
    </row>
    <row r="621" spans="1:15" ht="15" customHeight="1" x14ac:dyDescent="0.2">
      <c r="A621" s="9">
        <v>616</v>
      </c>
      <c r="B621" s="27">
        <f t="shared" si="54"/>
        <v>3009.281875915975</v>
      </c>
      <c r="C621" s="27">
        <f t="shared" si="55"/>
        <v>12145.461651196874</v>
      </c>
      <c r="D621" s="28">
        <v>12.13</v>
      </c>
      <c r="E621" s="28">
        <v>12.13</v>
      </c>
      <c r="F621" s="9" t="str">
        <f t="shared" si="56"/>
        <v>Identical</v>
      </c>
      <c r="G621" s="27">
        <f t="shared" si="57"/>
        <v>3009.281875915975</v>
      </c>
      <c r="H621" s="29">
        <v>3.38</v>
      </c>
      <c r="I621" s="29">
        <v>3.38</v>
      </c>
      <c r="J621" s="9" t="str">
        <f t="shared" si="58"/>
        <v>Identical</v>
      </c>
      <c r="K621" s="9" t="s">
        <v>539</v>
      </c>
      <c r="L621" s="9" t="s">
        <v>539</v>
      </c>
      <c r="M621" s="9" t="str">
        <f t="shared" si="59"/>
        <v>Same</v>
      </c>
      <c r="N621" s="30" t="s">
        <v>1285</v>
      </c>
      <c r="O621" s="30" t="s">
        <v>1286</v>
      </c>
    </row>
    <row r="622" spans="1:15" ht="15" customHeight="1" x14ac:dyDescent="0.2">
      <c r="A622" s="9">
        <v>617</v>
      </c>
      <c r="B622" s="27">
        <f t="shared" si="54"/>
        <v>3014.1670737664876</v>
      </c>
      <c r="C622" s="27">
        <f t="shared" si="55"/>
        <v>12165.178309721543</v>
      </c>
      <c r="D622" s="28">
        <v>12.15</v>
      </c>
      <c r="E622" s="28">
        <v>12.14</v>
      </c>
      <c r="F622" s="9" t="str">
        <f t="shared" si="56"/>
        <v>Within 10 mV (calibration line)</v>
      </c>
      <c r="G622" s="27">
        <f t="shared" si="57"/>
        <v>3014.1670737664876</v>
      </c>
      <c r="H622" s="29">
        <v>3.39</v>
      </c>
      <c r="I622" s="29">
        <v>3.39</v>
      </c>
      <c r="J622" s="9" t="str">
        <f t="shared" si="58"/>
        <v>Identical</v>
      </c>
      <c r="K622" s="9" t="s">
        <v>539</v>
      </c>
      <c r="L622" s="9" t="s">
        <v>539</v>
      </c>
      <c r="M622" s="9" t="str">
        <f t="shared" si="59"/>
        <v>Same</v>
      </c>
      <c r="N622" s="30" t="s">
        <v>1287</v>
      </c>
      <c r="O622" s="30" t="s">
        <v>1288</v>
      </c>
    </row>
    <row r="623" spans="1:15" ht="15" customHeight="1" x14ac:dyDescent="0.2">
      <c r="A623" s="9">
        <v>618</v>
      </c>
      <c r="B623" s="27">
        <f t="shared" si="54"/>
        <v>3019.0522716170008</v>
      </c>
      <c r="C623" s="27">
        <f t="shared" si="55"/>
        <v>12184.894968246213</v>
      </c>
      <c r="D623" s="28">
        <v>12.17</v>
      </c>
      <c r="E623" s="28">
        <v>12.16</v>
      </c>
      <c r="F623" s="9" t="str">
        <f t="shared" si="56"/>
        <v>Within 10 mV (calibration line)</v>
      </c>
      <c r="G623" s="27">
        <f t="shared" si="57"/>
        <v>3019.0522716170008</v>
      </c>
      <c r="H623" s="29">
        <v>3.39</v>
      </c>
      <c r="I623" s="29">
        <v>3.39</v>
      </c>
      <c r="J623" s="9" t="str">
        <f t="shared" si="58"/>
        <v>Identical</v>
      </c>
      <c r="K623" s="9" t="s">
        <v>539</v>
      </c>
      <c r="L623" s="9" t="s">
        <v>539</v>
      </c>
      <c r="M623" s="9" t="str">
        <f t="shared" si="59"/>
        <v>Same</v>
      </c>
      <c r="N623" s="30" t="s">
        <v>1287</v>
      </c>
      <c r="O623" s="30" t="s">
        <v>1288</v>
      </c>
    </row>
    <row r="624" spans="1:15" ht="15" customHeight="1" x14ac:dyDescent="0.2">
      <c r="A624" s="9">
        <v>619</v>
      </c>
      <c r="B624" s="27">
        <f t="shared" si="54"/>
        <v>3023.9374694675134</v>
      </c>
      <c r="C624" s="27">
        <f t="shared" si="55"/>
        <v>12204.611626770882</v>
      </c>
      <c r="D624" s="28">
        <v>12.19</v>
      </c>
      <c r="E624" s="28">
        <v>12.18</v>
      </c>
      <c r="F624" s="9" t="str">
        <f t="shared" si="56"/>
        <v>Within 10 mV (calibration line)</v>
      </c>
      <c r="G624" s="27">
        <f t="shared" si="57"/>
        <v>3023.9374694675134</v>
      </c>
      <c r="H624" s="29">
        <v>3.4</v>
      </c>
      <c r="I624" s="29">
        <v>3.4</v>
      </c>
      <c r="J624" s="9" t="str">
        <f t="shared" si="58"/>
        <v>Identical</v>
      </c>
      <c r="K624" s="9" t="s">
        <v>539</v>
      </c>
      <c r="L624" s="9" t="s">
        <v>539</v>
      </c>
      <c r="M624" s="9" t="str">
        <f t="shared" si="59"/>
        <v>Same</v>
      </c>
      <c r="N624" s="30" t="s">
        <v>1289</v>
      </c>
      <c r="O624" s="30" t="s">
        <v>1290</v>
      </c>
    </row>
    <row r="625" spans="1:15" ht="15" customHeight="1" x14ac:dyDescent="0.2">
      <c r="A625" s="9">
        <v>620</v>
      </c>
      <c r="B625" s="27">
        <f t="shared" si="54"/>
        <v>3028.8226673180266</v>
      </c>
      <c r="C625" s="27">
        <f t="shared" si="55"/>
        <v>12224.328285295554</v>
      </c>
      <c r="D625" s="28">
        <v>12.21</v>
      </c>
      <c r="E625" s="28">
        <v>12.2</v>
      </c>
      <c r="F625" s="9" t="str">
        <f t="shared" si="56"/>
        <v>Within 10 mV (calibration line)</v>
      </c>
      <c r="G625" s="27">
        <f t="shared" si="57"/>
        <v>3028.8226673180266</v>
      </c>
      <c r="H625" s="29">
        <v>3.4</v>
      </c>
      <c r="I625" s="29">
        <v>3.4</v>
      </c>
      <c r="J625" s="9" t="str">
        <f t="shared" si="58"/>
        <v>Identical</v>
      </c>
      <c r="K625" s="9" t="s">
        <v>539</v>
      </c>
      <c r="L625" s="9" t="s">
        <v>539</v>
      </c>
      <c r="M625" s="9" t="str">
        <f t="shared" si="59"/>
        <v>Same</v>
      </c>
      <c r="N625" s="30" t="s">
        <v>1289</v>
      </c>
      <c r="O625" s="30" t="s">
        <v>1290</v>
      </c>
    </row>
    <row r="626" spans="1:15" ht="15" customHeight="1" x14ac:dyDescent="0.2">
      <c r="A626" s="9">
        <v>621</v>
      </c>
      <c r="B626" s="27">
        <f t="shared" si="54"/>
        <v>3033.7078651685397</v>
      </c>
      <c r="C626" s="27">
        <f t="shared" si="55"/>
        <v>12244.044943820225</v>
      </c>
      <c r="D626" s="28">
        <v>12.23</v>
      </c>
      <c r="E626" s="28">
        <v>12.22</v>
      </c>
      <c r="F626" s="9" t="str">
        <f t="shared" si="56"/>
        <v>Within 10 mV (calibration line)</v>
      </c>
      <c r="G626" s="27">
        <f t="shared" si="57"/>
        <v>3033.7078651685397</v>
      </c>
      <c r="H626" s="29">
        <v>3.41</v>
      </c>
      <c r="I626" s="29">
        <v>3.41</v>
      </c>
      <c r="J626" s="9" t="str">
        <f t="shared" si="58"/>
        <v>Identical</v>
      </c>
      <c r="K626" s="9" t="s">
        <v>539</v>
      </c>
      <c r="L626" s="9" t="s">
        <v>539</v>
      </c>
      <c r="M626" s="9" t="str">
        <f t="shared" si="59"/>
        <v>Same</v>
      </c>
      <c r="N626" s="30" t="s">
        <v>1291</v>
      </c>
      <c r="O626" s="30" t="s">
        <v>1292</v>
      </c>
    </row>
    <row r="627" spans="1:15" ht="15" customHeight="1" x14ac:dyDescent="0.2">
      <c r="A627" s="9">
        <v>622</v>
      </c>
      <c r="B627" s="27">
        <f t="shared" si="54"/>
        <v>3038.5930630190524</v>
      </c>
      <c r="C627" s="27">
        <f t="shared" si="55"/>
        <v>12263.761602344894</v>
      </c>
      <c r="D627" s="28">
        <v>12.25</v>
      </c>
      <c r="E627" s="28">
        <v>12.24</v>
      </c>
      <c r="F627" s="9" t="str">
        <f t="shared" si="56"/>
        <v>Within 10 mV (calibration line)</v>
      </c>
      <c r="G627" s="27">
        <f t="shared" si="57"/>
        <v>3038.5930630190524</v>
      </c>
      <c r="H627" s="29">
        <v>3.41</v>
      </c>
      <c r="I627" s="29">
        <v>3.41</v>
      </c>
      <c r="J627" s="9" t="str">
        <f t="shared" si="58"/>
        <v>Identical</v>
      </c>
      <c r="K627" s="9" t="s">
        <v>539</v>
      </c>
      <c r="L627" s="9" t="s">
        <v>539</v>
      </c>
      <c r="M627" s="9" t="str">
        <f t="shared" si="59"/>
        <v>Same</v>
      </c>
      <c r="N627" s="30" t="s">
        <v>1291</v>
      </c>
      <c r="O627" s="30" t="s">
        <v>1292</v>
      </c>
    </row>
    <row r="628" spans="1:15" ht="15" customHeight="1" x14ac:dyDescent="0.2">
      <c r="A628" s="9">
        <v>623</v>
      </c>
      <c r="B628" s="27">
        <f t="shared" si="54"/>
        <v>3043.4782608695655</v>
      </c>
      <c r="C628" s="27">
        <f t="shared" si="55"/>
        <v>12283.478260869564</v>
      </c>
      <c r="D628" s="28">
        <v>12.27</v>
      </c>
      <c r="E628" s="28">
        <v>12.26</v>
      </c>
      <c r="F628" s="9" t="str">
        <f t="shared" si="56"/>
        <v>Within 10 mV (calibration line)</v>
      </c>
      <c r="G628" s="27">
        <f t="shared" si="57"/>
        <v>3043.4782608695655</v>
      </c>
      <c r="H628" s="29">
        <v>3.42</v>
      </c>
      <c r="I628" s="29">
        <v>3.42</v>
      </c>
      <c r="J628" s="9" t="str">
        <f t="shared" si="58"/>
        <v>Identical</v>
      </c>
      <c r="K628" s="9" t="s">
        <v>539</v>
      </c>
      <c r="L628" s="9" t="s">
        <v>539</v>
      </c>
      <c r="M628" s="9" t="str">
        <f t="shared" si="59"/>
        <v>Same</v>
      </c>
      <c r="N628" s="30" t="s">
        <v>1293</v>
      </c>
      <c r="O628" s="30" t="s">
        <v>1294</v>
      </c>
    </row>
    <row r="629" spans="1:15" ht="15" customHeight="1" x14ac:dyDescent="0.2">
      <c r="A629" s="9">
        <v>624</v>
      </c>
      <c r="B629" s="27">
        <f t="shared" si="54"/>
        <v>3048.3634587200786</v>
      </c>
      <c r="C629" s="27">
        <f t="shared" si="55"/>
        <v>12303.194919394236</v>
      </c>
      <c r="D629" s="28">
        <v>12.29</v>
      </c>
      <c r="E629" s="28">
        <v>12.28</v>
      </c>
      <c r="F629" s="9" t="str">
        <f t="shared" si="56"/>
        <v>Within 10 mV (calibration line)</v>
      </c>
      <c r="G629" s="27">
        <f t="shared" si="57"/>
        <v>3048.3634587200786</v>
      </c>
      <c r="H629" s="29">
        <v>3.42</v>
      </c>
      <c r="I629" s="29">
        <v>3.42</v>
      </c>
      <c r="J629" s="9" t="str">
        <f t="shared" si="58"/>
        <v>Identical</v>
      </c>
      <c r="K629" s="9" t="s">
        <v>539</v>
      </c>
      <c r="L629" s="9" t="s">
        <v>539</v>
      </c>
      <c r="M629" s="9" t="str">
        <f t="shared" si="59"/>
        <v>Same</v>
      </c>
      <c r="N629" s="30" t="s">
        <v>1293</v>
      </c>
      <c r="O629" s="30" t="s">
        <v>1294</v>
      </c>
    </row>
    <row r="630" spans="1:15" ht="15" customHeight="1" x14ac:dyDescent="0.2">
      <c r="A630" s="9">
        <v>625</v>
      </c>
      <c r="B630" s="27">
        <f t="shared" si="54"/>
        <v>3053.2486565705913</v>
      </c>
      <c r="C630" s="27">
        <f t="shared" si="55"/>
        <v>12322.911577918905</v>
      </c>
      <c r="D630" s="28">
        <v>12.31</v>
      </c>
      <c r="E630" s="28">
        <v>12.3</v>
      </c>
      <c r="F630" s="9" t="str">
        <f t="shared" si="56"/>
        <v>Within 10 mV (calibration line)</v>
      </c>
      <c r="G630" s="27">
        <f t="shared" si="57"/>
        <v>3053.2486565705913</v>
      </c>
      <c r="H630" s="29">
        <v>3.43</v>
      </c>
      <c r="I630" s="29">
        <v>3.43</v>
      </c>
      <c r="J630" s="9" t="str">
        <f t="shared" si="58"/>
        <v>Identical</v>
      </c>
      <c r="K630" s="9" t="s">
        <v>539</v>
      </c>
      <c r="L630" s="9" t="s">
        <v>539</v>
      </c>
      <c r="M630" s="9" t="str">
        <f t="shared" si="59"/>
        <v>Same</v>
      </c>
      <c r="N630" s="30" t="s">
        <v>1295</v>
      </c>
      <c r="O630" s="30" t="s">
        <v>1296</v>
      </c>
    </row>
    <row r="631" spans="1:15" ht="15" customHeight="1" x14ac:dyDescent="0.2">
      <c r="A631" s="9">
        <v>626</v>
      </c>
      <c r="B631" s="27">
        <f t="shared" si="54"/>
        <v>3058.1338544211044</v>
      </c>
      <c r="C631" s="27">
        <f t="shared" si="55"/>
        <v>12342.628236443576</v>
      </c>
      <c r="D631" s="28">
        <v>12.33</v>
      </c>
      <c r="E631" s="28">
        <v>12.32</v>
      </c>
      <c r="F631" s="9" t="str">
        <f t="shared" si="56"/>
        <v>Within 10 mV (calibration line)</v>
      </c>
      <c r="G631" s="27">
        <f t="shared" si="57"/>
        <v>3058.1338544211044</v>
      </c>
      <c r="H631" s="29">
        <v>3.43</v>
      </c>
      <c r="I631" s="29">
        <v>3.43</v>
      </c>
      <c r="J631" s="9" t="str">
        <f t="shared" si="58"/>
        <v>Identical</v>
      </c>
      <c r="K631" s="9" t="s">
        <v>539</v>
      </c>
      <c r="L631" s="9" t="s">
        <v>539</v>
      </c>
      <c r="M631" s="9" t="str">
        <f t="shared" si="59"/>
        <v>Same</v>
      </c>
      <c r="N631" s="30" t="s">
        <v>1295</v>
      </c>
      <c r="O631" s="30" t="s">
        <v>1296</v>
      </c>
    </row>
    <row r="632" spans="1:15" ht="15" customHeight="1" x14ac:dyDescent="0.2">
      <c r="A632" s="9">
        <v>627</v>
      </c>
      <c r="B632" s="27">
        <f t="shared" si="54"/>
        <v>3063.0190522716171</v>
      </c>
      <c r="C632" s="27">
        <f t="shared" si="55"/>
        <v>12362.344894968246</v>
      </c>
      <c r="D632" s="28">
        <v>12.35</v>
      </c>
      <c r="E632" s="28">
        <v>12.34</v>
      </c>
      <c r="F632" s="9" t="str">
        <f t="shared" si="56"/>
        <v>Within 10 mV (calibration line)</v>
      </c>
      <c r="G632" s="27">
        <f t="shared" si="57"/>
        <v>3063.0190522716171</v>
      </c>
      <c r="H632" s="29">
        <v>3.44</v>
      </c>
      <c r="I632" s="29">
        <v>3.44</v>
      </c>
      <c r="J632" s="9" t="str">
        <f t="shared" si="58"/>
        <v>Identical</v>
      </c>
      <c r="K632" s="9" t="s">
        <v>539</v>
      </c>
      <c r="L632" s="9" t="s">
        <v>539</v>
      </c>
      <c r="M632" s="9" t="str">
        <f t="shared" si="59"/>
        <v>Same</v>
      </c>
      <c r="N632" s="30" t="s">
        <v>1297</v>
      </c>
      <c r="O632" s="30" t="s">
        <v>1298</v>
      </c>
    </row>
    <row r="633" spans="1:15" ht="15" customHeight="1" x14ac:dyDescent="0.2">
      <c r="A633" s="9">
        <v>628</v>
      </c>
      <c r="B633" s="27">
        <f t="shared" si="54"/>
        <v>3067.9042501221302</v>
      </c>
      <c r="C633" s="27">
        <f t="shared" si="55"/>
        <v>12382.061553492917</v>
      </c>
      <c r="D633" s="28">
        <v>12.37</v>
      </c>
      <c r="E633" s="28">
        <v>12.36</v>
      </c>
      <c r="F633" s="9" t="str">
        <f t="shared" si="56"/>
        <v>Within 10 mV (calibration line)</v>
      </c>
      <c r="G633" s="27">
        <f t="shared" si="57"/>
        <v>3067.9042501221302</v>
      </c>
      <c r="H633" s="29">
        <v>3.44</v>
      </c>
      <c r="I633" s="29">
        <v>3.45</v>
      </c>
      <c r="J633" s="9" t="str">
        <f t="shared" si="58"/>
        <v>+0.01 A (nearest step)</v>
      </c>
      <c r="K633" s="9" t="s">
        <v>539</v>
      </c>
      <c r="L633" s="9" t="s">
        <v>539</v>
      </c>
      <c r="M633" s="9" t="str">
        <f t="shared" si="59"/>
        <v>Same</v>
      </c>
      <c r="N633" s="30" t="s">
        <v>1297</v>
      </c>
      <c r="O633" s="30" t="s">
        <v>1299</v>
      </c>
    </row>
    <row r="634" spans="1:15" ht="15" customHeight="1" x14ac:dyDescent="0.2">
      <c r="A634" s="9">
        <v>629</v>
      </c>
      <c r="B634" s="27">
        <f t="shared" si="54"/>
        <v>3072.7894479726433</v>
      </c>
      <c r="C634" s="27">
        <f t="shared" si="55"/>
        <v>12401.778212017587</v>
      </c>
      <c r="D634" s="28">
        <v>12.39</v>
      </c>
      <c r="E634" s="28">
        <v>12.38</v>
      </c>
      <c r="F634" s="9" t="str">
        <f t="shared" si="56"/>
        <v>Within 10 mV (calibration line)</v>
      </c>
      <c r="G634" s="27">
        <f t="shared" si="57"/>
        <v>3072.7894479726433</v>
      </c>
      <c r="H634" s="29">
        <v>3.45</v>
      </c>
      <c r="I634" s="29">
        <v>3.45</v>
      </c>
      <c r="J634" s="9" t="str">
        <f t="shared" si="58"/>
        <v>Identical</v>
      </c>
      <c r="K634" s="9" t="s">
        <v>539</v>
      </c>
      <c r="L634" s="9" t="s">
        <v>539</v>
      </c>
      <c r="M634" s="9" t="str">
        <f t="shared" si="59"/>
        <v>Same</v>
      </c>
      <c r="N634" s="30" t="s">
        <v>1300</v>
      </c>
      <c r="O634" s="30" t="s">
        <v>1299</v>
      </c>
    </row>
    <row r="635" spans="1:15" ht="15" customHeight="1" x14ac:dyDescent="0.2">
      <c r="A635" s="9">
        <v>630</v>
      </c>
      <c r="B635" s="27">
        <f t="shared" si="54"/>
        <v>3077.674645823156</v>
      </c>
      <c r="C635" s="27">
        <f t="shared" si="55"/>
        <v>12421.494870542256</v>
      </c>
      <c r="D635" s="28">
        <v>12.41</v>
      </c>
      <c r="E635" s="28">
        <v>12.4</v>
      </c>
      <c r="F635" s="9" t="str">
        <f t="shared" si="56"/>
        <v>Within 10 mV (calibration line)</v>
      </c>
      <c r="G635" s="27">
        <f t="shared" si="57"/>
        <v>3077.674645823156</v>
      </c>
      <c r="H635" s="29">
        <v>3.46</v>
      </c>
      <c r="I635" s="29">
        <v>3.46</v>
      </c>
      <c r="J635" s="9" t="str">
        <f t="shared" si="58"/>
        <v>Identical</v>
      </c>
      <c r="K635" s="9" t="s">
        <v>539</v>
      </c>
      <c r="L635" s="9" t="s">
        <v>539</v>
      </c>
      <c r="M635" s="9" t="str">
        <f t="shared" si="59"/>
        <v>Same</v>
      </c>
      <c r="N635" s="30" t="s">
        <v>1301</v>
      </c>
      <c r="O635" s="30" t="s">
        <v>1302</v>
      </c>
    </row>
    <row r="636" spans="1:15" ht="15" customHeight="1" x14ac:dyDescent="0.2">
      <c r="A636" s="9">
        <v>631</v>
      </c>
      <c r="B636" s="27">
        <f t="shared" si="54"/>
        <v>3082.5598436736691</v>
      </c>
      <c r="C636" s="27">
        <f t="shared" si="55"/>
        <v>12441.211529066928</v>
      </c>
      <c r="D636" s="28">
        <v>12.43</v>
      </c>
      <c r="E636" s="28">
        <v>12.42</v>
      </c>
      <c r="F636" s="9" t="str">
        <f t="shared" si="56"/>
        <v>Within 10 mV (calibration line)</v>
      </c>
      <c r="G636" s="27">
        <f t="shared" si="57"/>
        <v>3082.5598436736691</v>
      </c>
      <c r="H636" s="29">
        <v>3.46</v>
      </c>
      <c r="I636" s="29">
        <v>3.46</v>
      </c>
      <c r="J636" s="9" t="str">
        <f t="shared" si="58"/>
        <v>Identical</v>
      </c>
      <c r="K636" s="9" t="s">
        <v>539</v>
      </c>
      <c r="L636" s="9" t="s">
        <v>539</v>
      </c>
      <c r="M636" s="9" t="str">
        <f t="shared" si="59"/>
        <v>Same</v>
      </c>
      <c r="N636" s="30" t="s">
        <v>1301</v>
      </c>
      <c r="O636" s="30" t="s">
        <v>1302</v>
      </c>
    </row>
    <row r="637" spans="1:15" ht="15" customHeight="1" x14ac:dyDescent="0.2">
      <c r="A637" s="9">
        <v>632</v>
      </c>
      <c r="B637" s="27">
        <f t="shared" si="54"/>
        <v>3087.4450415241822</v>
      </c>
      <c r="C637" s="27">
        <f t="shared" si="55"/>
        <v>12460.928187591599</v>
      </c>
      <c r="D637" s="28">
        <v>12.45</v>
      </c>
      <c r="E637" s="28">
        <v>12.44</v>
      </c>
      <c r="F637" s="9" t="str">
        <f t="shared" si="56"/>
        <v>Within 10 mV (calibration line)</v>
      </c>
      <c r="G637" s="27">
        <f t="shared" si="57"/>
        <v>3087.4450415241822</v>
      </c>
      <c r="H637" s="29">
        <v>3.47</v>
      </c>
      <c r="I637" s="29">
        <v>3.47</v>
      </c>
      <c r="J637" s="9" t="str">
        <f t="shared" si="58"/>
        <v>Identical</v>
      </c>
      <c r="K637" s="9" t="s">
        <v>539</v>
      </c>
      <c r="L637" s="9" t="s">
        <v>539</v>
      </c>
      <c r="M637" s="9" t="str">
        <f t="shared" si="59"/>
        <v>Same</v>
      </c>
      <c r="N637" s="30" t="s">
        <v>1303</v>
      </c>
      <c r="O637" s="30" t="s">
        <v>1304</v>
      </c>
    </row>
    <row r="638" spans="1:15" ht="15" customHeight="1" x14ac:dyDescent="0.2">
      <c r="A638" s="9">
        <v>633</v>
      </c>
      <c r="B638" s="27">
        <f t="shared" si="54"/>
        <v>3092.3302393746949</v>
      </c>
      <c r="C638" s="27">
        <f t="shared" si="55"/>
        <v>12480.644846116267</v>
      </c>
      <c r="D638" s="28">
        <v>12.47</v>
      </c>
      <c r="E638" s="28">
        <v>12.46</v>
      </c>
      <c r="F638" s="9" t="str">
        <f t="shared" si="56"/>
        <v>Within 10 mV (calibration line)</v>
      </c>
      <c r="G638" s="27">
        <f t="shared" si="57"/>
        <v>3092.3302393746949</v>
      </c>
      <c r="H638" s="29">
        <v>3.47</v>
      </c>
      <c r="I638" s="29">
        <v>3.47</v>
      </c>
      <c r="J638" s="9" t="str">
        <f t="shared" si="58"/>
        <v>Identical</v>
      </c>
      <c r="K638" s="9" t="s">
        <v>539</v>
      </c>
      <c r="L638" s="9" t="s">
        <v>539</v>
      </c>
      <c r="M638" s="9" t="str">
        <f t="shared" si="59"/>
        <v>Same</v>
      </c>
      <c r="N638" s="30" t="s">
        <v>1303</v>
      </c>
      <c r="O638" s="30" t="s">
        <v>1304</v>
      </c>
    </row>
    <row r="639" spans="1:15" ht="15" customHeight="1" x14ac:dyDescent="0.2">
      <c r="A639" s="9">
        <v>634</v>
      </c>
      <c r="B639" s="27">
        <f t="shared" si="54"/>
        <v>3097.215437225208</v>
      </c>
      <c r="C639" s="27">
        <f t="shared" si="55"/>
        <v>12500.361504640938</v>
      </c>
      <c r="D639" s="28">
        <v>12.49</v>
      </c>
      <c r="E639" s="28">
        <v>12.48</v>
      </c>
      <c r="F639" s="9" t="str">
        <f t="shared" si="56"/>
        <v>Within 10 mV (calibration line)</v>
      </c>
      <c r="G639" s="27">
        <f t="shared" si="57"/>
        <v>3097.215437225208</v>
      </c>
      <c r="H639" s="29">
        <v>3.48</v>
      </c>
      <c r="I639" s="29">
        <v>3.48</v>
      </c>
      <c r="J639" s="9" t="str">
        <f t="shared" si="58"/>
        <v>Identical</v>
      </c>
      <c r="K639" s="9" t="s">
        <v>539</v>
      </c>
      <c r="L639" s="9" t="s">
        <v>539</v>
      </c>
      <c r="M639" s="9" t="str">
        <f t="shared" si="59"/>
        <v>Same</v>
      </c>
      <c r="N639" s="30" t="s">
        <v>1305</v>
      </c>
      <c r="O639" s="30" t="s">
        <v>1306</v>
      </c>
    </row>
    <row r="640" spans="1:15" ht="15" customHeight="1" x14ac:dyDescent="0.2">
      <c r="A640" s="9">
        <v>635</v>
      </c>
      <c r="B640" s="27">
        <f t="shared" si="54"/>
        <v>3102.1006350757207</v>
      </c>
      <c r="C640" s="27">
        <f t="shared" si="55"/>
        <v>12520.078163165608</v>
      </c>
      <c r="D640" s="28">
        <v>12.51</v>
      </c>
      <c r="E640" s="28">
        <v>12.5</v>
      </c>
      <c r="F640" s="9" t="str">
        <f t="shared" si="56"/>
        <v>Within 10 mV (calibration line)</v>
      </c>
      <c r="G640" s="27">
        <f t="shared" si="57"/>
        <v>3102.1006350757207</v>
      </c>
      <c r="H640" s="29">
        <v>3.48</v>
      </c>
      <c r="I640" s="29">
        <v>3.48</v>
      </c>
      <c r="J640" s="9" t="str">
        <f t="shared" si="58"/>
        <v>Identical</v>
      </c>
      <c r="K640" s="9" t="s">
        <v>539</v>
      </c>
      <c r="L640" s="9" t="s">
        <v>539</v>
      </c>
      <c r="M640" s="9" t="str">
        <f t="shared" si="59"/>
        <v>Same</v>
      </c>
      <c r="N640" s="30" t="s">
        <v>1305</v>
      </c>
      <c r="O640" s="30" t="s">
        <v>1306</v>
      </c>
    </row>
    <row r="641" spans="1:15" ht="15" customHeight="1" x14ac:dyDescent="0.2">
      <c r="A641" s="9">
        <v>636</v>
      </c>
      <c r="B641" s="27">
        <f t="shared" si="54"/>
        <v>3106.9858329262338</v>
      </c>
      <c r="C641" s="27">
        <f t="shared" si="55"/>
        <v>12539.794821690279</v>
      </c>
      <c r="D641" s="28">
        <v>12.52</v>
      </c>
      <c r="E641" s="28">
        <v>12.52</v>
      </c>
      <c r="F641" s="9" t="str">
        <f t="shared" si="56"/>
        <v>Identical</v>
      </c>
      <c r="G641" s="27">
        <f t="shared" si="57"/>
        <v>3106.9858329262338</v>
      </c>
      <c r="H641" s="29">
        <v>3.49</v>
      </c>
      <c r="I641" s="29">
        <v>3.49</v>
      </c>
      <c r="J641" s="9" t="str">
        <f t="shared" si="58"/>
        <v>Identical</v>
      </c>
      <c r="K641" s="9" t="s">
        <v>539</v>
      </c>
      <c r="L641" s="9" t="s">
        <v>539</v>
      </c>
      <c r="M641" s="9" t="str">
        <f t="shared" si="59"/>
        <v>Same</v>
      </c>
      <c r="N641" s="30" t="s">
        <v>1307</v>
      </c>
      <c r="O641" s="30" t="s">
        <v>1308</v>
      </c>
    </row>
    <row r="642" spans="1:15" ht="15" customHeight="1" x14ac:dyDescent="0.2">
      <c r="A642" s="9">
        <v>637</v>
      </c>
      <c r="B642" s="27">
        <f t="shared" si="54"/>
        <v>3111.8710307767469</v>
      </c>
      <c r="C642" s="27">
        <f t="shared" si="55"/>
        <v>12559.511480214949</v>
      </c>
      <c r="D642" s="28">
        <v>12.54</v>
      </c>
      <c r="E642" s="28">
        <v>12.54</v>
      </c>
      <c r="F642" s="9" t="str">
        <f t="shared" si="56"/>
        <v>Identical</v>
      </c>
      <c r="G642" s="27">
        <f t="shared" si="57"/>
        <v>3111.8710307767469</v>
      </c>
      <c r="H642" s="29">
        <v>3.49</v>
      </c>
      <c r="I642" s="29">
        <v>3.5</v>
      </c>
      <c r="J642" s="9" t="str">
        <f t="shared" si="58"/>
        <v>+0.01 A (nearest step)</v>
      </c>
      <c r="K642" s="9" t="s">
        <v>539</v>
      </c>
      <c r="L642" s="9" t="s">
        <v>539</v>
      </c>
      <c r="M642" s="9" t="str">
        <f t="shared" si="59"/>
        <v>Same</v>
      </c>
      <c r="N642" s="30" t="s">
        <v>1307</v>
      </c>
      <c r="O642" s="30" t="s">
        <v>1309</v>
      </c>
    </row>
    <row r="643" spans="1:15" ht="15" customHeight="1" x14ac:dyDescent="0.2">
      <c r="A643" s="9">
        <v>638</v>
      </c>
      <c r="B643" s="27">
        <f t="shared" si="54"/>
        <v>3116.7562286272596</v>
      </c>
      <c r="C643" s="27">
        <f t="shared" si="55"/>
        <v>12579.228138739618</v>
      </c>
      <c r="D643" s="28">
        <v>12.56</v>
      </c>
      <c r="E643" s="28">
        <v>12.56</v>
      </c>
      <c r="F643" s="9" t="str">
        <f t="shared" si="56"/>
        <v>Identical</v>
      </c>
      <c r="G643" s="27">
        <f t="shared" si="57"/>
        <v>3116.7562286272596</v>
      </c>
      <c r="H643" s="29">
        <v>3.5</v>
      </c>
      <c r="I643" s="29">
        <v>3.5</v>
      </c>
      <c r="J643" s="9" t="str">
        <f t="shared" si="58"/>
        <v>Identical</v>
      </c>
      <c r="K643" s="9" t="s">
        <v>539</v>
      </c>
      <c r="L643" s="9" t="s">
        <v>539</v>
      </c>
      <c r="M643" s="9" t="str">
        <f t="shared" si="59"/>
        <v>Same</v>
      </c>
      <c r="N643" s="30" t="s">
        <v>1310</v>
      </c>
      <c r="O643" s="30" t="s">
        <v>1309</v>
      </c>
    </row>
    <row r="644" spans="1:15" ht="15" customHeight="1" x14ac:dyDescent="0.2">
      <c r="A644" s="9">
        <v>639</v>
      </c>
      <c r="B644" s="27">
        <f t="shared" si="54"/>
        <v>3121.6414264777727</v>
      </c>
      <c r="C644" s="27">
        <f t="shared" si="55"/>
        <v>12598.94479726429</v>
      </c>
      <c r="D644" s="28">
        <v>12.58</v>
      </c>
      <c r="E644" s="28">
        <v>12.58</v>
      </c>
      <c r="F644" s="9" t="str">
        <f t="shared" si="56"/>
        <v>Identical</v>
      </c>
      <c r="G644" s="27">
        <f t="shared" si="57"/>
        <v>3121.6414264777727</v>
      </c>
      <c r="H644" s="29">
        <v>3.51</v>
      </c>
      <c r="I644" s="29">
        <v>3.51</v>
      </c>
      <c r="J644" s="9" t="str">
        <f t="shared" si="58"/>
        <v>Identical</v>
      </c>
      <c r="K644" s="9" t="s">
        <v>539</v>
      </c>
      <c r="L644" s="9" t="s">
        <v>539</v>
      </c>
      <c r="M644" s="9" t="str">
        <f t="shared" si="59"/>
        <v>Same</v>
      </c>
      <c r="N644" s="30" t="s">
        <v>1311</v>
      </c>
      <c r="O644" s="30" t="s">
        <v>1312</v>
      </c>
    </row>
    <row r="645" spans="1:15" ht="15" customHeight="1" x14ac:dyDescent="0.2">
      <c r="A645" s="9">
        <v>640</v>
      </c>
      <c r="B645" s="27">
        <f t="shared" ref="B645:B708" si="60">A645/$C$3*1000</f>
        <v>3126.5266243282858</v>
      </c>
      <c r="C645" s="27">
        <f t="shared" ref="C645:C708" si="61">B645*$F$3</f>
        <v>12618.661455788961</v>
      </c>
      <c r="D645" s="28">
        <v>12.6</v>
      </c>
      <c r="E645" s="28">
        <v>12.6</v>
      </c>
      <c r="F645" s="9" t="str">
        <f t="shared" ref="F645:F708" si="62">IF(D645=E645,"Identical",IF(E645="OL","ADC full scale: now OL",IF(ABS(E645-D645)&lt;0.0105,"Within 10 mV (calibration line)",IF(AND(C645&lt;4200,ABS(E645-D645)&lt;0.0205),"-20 mV (end of old +30 mV band)",IF(C645&lt;830,"Low range fixed (F-02)","Different")))))</f>
        <v>Identical</v>
      </c>
      <c r="G645" s="27">
        <f t="shared" ref="G645:G708" si="63">B645</f>
        <v>3126.5266243282858</v>
      </c>
      <c r="H645" s="29">
        <v>3.51</v>
      </c>
      <c r="I645" s="29">
        <v>3.51</v>
      </c>
      <c r="J645" s="9" t="str">
        <f t="shared" ref="J645:J708" si="64">IF(H645=I645,"Identical",IF(I645="OL","Above 5.00 A: now OL",IF(H645="ERR (999.23)","Gap bug fixed",IF(ABS(I645-H645-0.01)&lt;0.0001,"+0.01 A (nearest step)","Different"))))</f>
        <v>Identical</v>
      </c>
      <c r="K645" s="9" t="s">
        <v>539</v>
      </c>
      <c r="L645" s="9" t="s">
        <v>539</v>
      </c>
      <c r="M645" s="9" t="str">
        <f t="shared" ref="M645:M708" si="65">IF(K645=L645,"Same","Different")</f>
        <v>Same</v>
      </c>
      <c r="N645" s="30" t="s">
        <v>1311</v>
      </c>
      <c r="O645" s="30" t="s">
        <v>1312</v>
      </c>
    </row>
    <row r="646" spans="1:15" ht="15" customHeight="1" x14ac:dyDescent="0.2">
      <c r="A646" s="9">
        <v>641</v>
      </c>
      <c r="B646" s="27">
        <f t="shared" si="60"/>
        <v>3131.4118221787985</v>
      </c>
      <c r="C646" s="27">
        <f t="shared" si="61"/>
        <v>12638.378114313629</v>
      </c>
      <c r="D646" s="28">
        <v>12.62</v>
      </c>
      <c r="E646" s="28">
        <v>12.62</v>
      </c>
      <c r="F646" s="9" t="str">
        <f t="shared" si="62"/>
        <v>Identical</v>
      </c>
      <c r="G646" s="27">
        <f t="shared" si="63"/>
        <v>3131.4118221787985</v>
      </c>
      <c r="H646" s="29">
        <v>3.52</v>
      </c>
      <c r="I646" s="29">
        <v>3.52</v>
      </c>
      <c r="J646" s="9" t="str">
        <f t="shared" si="64"/>
        <v>Identical</v>
      </c>
      <c r="K646" s="9" t="s">
        <v>539</v>
      </c>
      <c r="L646" s="9" t="s">
        <v>539</v>
      </c>
      <c r="M646" s="9" t="str">
        <f t="shared" si="65"/>
        <v>Same</v>
      </c>
      <c r="N646" s="30" t="s">
        <v>1313</v>
      </c>
      <c r="O646" s="30" t="s">
        <v>1314</v>
      </c>
    </row>
    <row r="647" spans="1:15" ht="15" customHeight="1" x14ac:dyDescent="0.2">
      <c r="A647" s="9">
        <v>642</v>
      </c>
      <c r="B647" s="27">
        <f t="shared" si="60"/>
        <v>3136.2970200293116</v>
      </c>
      <c r="C647" s="27">
        <f t="shared" si="61"/>
        <v>12658.0947728383</v>
      </c>
      <c r="D647" s="28">
        <v>12.64</v>
      </c>
      <c r="E647" s="28">
        <v>12.64</v>
      </c>
      <c r="F647" s="9" t="str">
        <f t="shared" si="62"/>
        <v>Identical</v>
      </c>
      <c r="G647" s="27">
        <f t="shared" si="63"/>
        <v>3136.2970200293116</v>
      </c>
      <c r="H647" s="29">
        <v>3.52</v>
      </c>
      <c r="I647" s="29">
        <v>3.52</v>
      </c>
      <c r="J647" s="9" t="str">
        <f t="shared" si="64"/>
        <v>Identical</v>
      </c>
      <c r="K647" s="9" t="s">
        <v>539</v>
      </c>
      <c r="L647" s="9" t="s">
        <v>539</v>
      </c>
      <c r="M647" s="9" t="str">
        <f t="shared" si="65"/>
        <v>Same</v>
      </c>
      <c r="N647" s="30" t="s">
        <v>1313</v>
      </c>
      <c r="O647" s="30" t="s">
        <v>1314</v>
      </c>
    </row>
    <row r="648" spans="1:15" ht="15" customHeight="1" x14ac:dyDescent="0.2">
      <c r="A648" s="9">
        <v>643</v>
      </c>
      <c r="B648" s="27">
        <f t="shared" si="60"/>
        <v>3141.1822178798243</v>
      </c>
      <c r="C648" s="27">
        <f t="shared" si="61"/>
        <v>12677.81143136297</v>
      </c>
      <c r="D648" s="28">
        <v>12.66</v>
      </c>
      <c r="E648" s="28">
        <v>12.66</v>
      </c>
      <c r="F648" s="9" t="str">
        <f t="shared" si="62"/>
        <v>Identical</v>
      </c>
      <c r="G648" s="27">
        <f t="shared" si="63"/>
        <v>3141.1822178798243</v>
      </c>
      <c r="H648" s="29">
        <v>3.53</v>
      </c>
      <c r="I648" s="29">
        <v>3.53</v>
      </c>
      <c r="J648" s="9" t="str">
        <f t="shared" si="64"/>
        <v>Identical</v>
      </c>
      <c r="K648" s="9" t="s">
        <v>539</v>
      </c>
      <c r="L648" s="9" t="s">
        <v>539</v>
      </c>
      <c r="M648" s="9" t="str">
        <f t="shared" si="65"/>
        <v>Same</v>
      </c>
      <c r="N648" s="30" t="s">
        <v>1315</v>
      </c>
      <c r="O648" s="30" t="s">
        <v>1316</v>
      </c>
    </row>
    <row r="649" spans="1:15" ht="15" customHeight="1" x14ac:dyDescent="0.2">
      <c r="A649" s="9">
        <v>644</v>
      </c>
      <c r="B649" s="27">
        <f t="shared" si="60"/>
        <v>3146.0674157303374</v>
      </c>
      <c r="C649" s="27">
        <f t="shared" si="61"/>
        <v>12697.528089887641</v>
      </c>
      <c r="D649" s="28">
        <v>12.68</v>
      </c>
      <c r="E649" s="28">
        <v>12.67</v>
      </c>
      <c r="F649" s="9" t="str">
        <f t="shared" si="62"/>
        <v>Within 10 mV (calibration line)</v>
      </c>
      <c r="G649" s="27">
        <f t="shared" si="63"/>
        <v>3146.0674157303374</v>
      </c>
      <c r="H649" s="29">
        <v>3.53</v>
      </c>
      <c r="I649" s="29">
        <v>3.53</v>
      </c>
      <c r="J649" s="9" t="str">
        <f t="shared" si="64"/>
        <v>Identical</v>
      </c>
      <c r="K649" s="9" t="s">
        <v>539</v>
      </c>
      <c r="L649" s="9" t="s">
        <v>539</v>
      </c>
      <c r="M649" s="9" t="str">
        <f t="shared" si="65"/>
        <v>Same</v>
      </c>
      <c r="N649" s="30" t="s">
        <v>1315</v>
      </c>
      <c r="O649" s="30" t="s">
        <v>1316</v>
      </c>
    </row>
    <row r="650" spans="1:15" ht="15" customHeight="1" x14ac:dyDescent="0.2">
      <c r="A650" s="9">
        <v>645</v>
      </c>
      <c r="B650" s="27">
        <f t="shared" si="60"/>
        <v>3150.9526135808505</v>
      </c>
      <c r="C650" s="27">
        <f t="shared" si="61"/>
        <v>12717.244748412311</v>
      </c>
      <c r="D650" s="28">
        <v>12.7</v>
      </c>
      <c r="E650" s="28">
        <v>12.69</v>
      </c>
      <c r="F650" s="9" t="str">
        <f t="shared" si="62"/>
        <v>Within 10 mV (calibration line)</v>
      </c>
      <c r="G650" s="27">
        <f t="shared" si="63"/>
        <v>3150.9526135808505</v>
      </c>
      <c r="H650" s="29">
        <v>3.54</v>
      </c>
      <c r="I650" s="29">
        <v>3.54</v>
      </c>
      <c r="J650" s="9" t="str">
        <f t="shared" si="64"/>
        <v>Identical</v>
      </c>
      <c r="K650" s="9" t="s">
        <v>539</v>
      </c>
      <c r="L650" s="9" t="s">
        <v>539</v>
      </c>
      <c r="M650" s="9" t="str">
        <f t="shared" si="65"/>
        <v>Same</v>
      </c>
      <c r="N650" s="30" t="s">
        <v>1317</v>
      </c>
      <c r="O650" s="30" t="s">
        <v>1318</v>
      </c>
    </row>
    <row r="651" spans="1:15" ht="15" customHeight="1" x14ac:dyDescent="0.2">
      <c r="A651" s="9">
        <v>646</v>
      </c>
      <c r="B651" s="27">
        <f t="shared" si="60"/>
        <v>3155.8378114313632</v>
      </c>
      <c r="C651" s="27">
        <f t="shared" si="61"/>
        <v>12736.96140693698</v>
      </c>
      <c r="D651" s="28">
        <v>12.72</v>
      </c>
      <c r="E651" s="28">
        <v>12.71</v>
      </c>
      <c r="F651" s="9" t="str">
        <f t="shared" si="62"/>
        <v>Within 10 mV (calibration line)</v>
      </c>
      <c r="G651" s="27">
        <f t="shared" si="63"/>
        <v>3155.8378114313632</v>
      </c>
      <c r="H651" s="29">
        <v>3.54</v>
      </c>
      <c r="I651" s="29">
        <v>3.54</v>
      </c>
      <c r="J651" s="9" t="str">
        <f t="shared" si="64"/>
        <v>Identical</v>
      </c>
      <c r="K651" s="9" t="s">
        <v>539</v>
      </c>
      <c r="L651" s="9" t="s">
        <v>539</v>
      </c>
      <c r="M651" s="9" t="str">
        <f t="shared" si="65"/>
        <v>Same</v>
      </c>
      <c r="N651" s="30" t="s">
        <v>1317</v>
      </c>
      <c r="O651" s="30" t="s">
        <v>1318</v>
      </c>
    </row>
    <row r="652" spans="1:15" ht="15" customHeight="1" x14ac:dyDescent="0.2">
      <c r="A652" s="9">
        <v>647</v>
      </c>
      <c r="B652" s="27">
        <f t="shared" si="60"/>
        <v>3160.7230092818763</v>
      </c>
      <c r="C652" s="27">
        <f t="shared" si="61"/>
        <v>12756.678065461652</v>
      </c>
      <c r="D652" s="28">
        <v>12.74</v>
      </c>
      <c r="E652" s="28">
        <v>12.73</v>
      </c>
      <c r="F652" s="9" t="str">
        <f t="shared" si="62"/>
        <v>Within 10 mV (calibration line)</v>
      </c>
      <c r="G652" s="27">
        <f t="shared" si="63"/>
        <v>3160.7230092818763</v>
      </c>
      <c r="H652" s="29">
        <v>3.55</v>
      </c>
      <c r="I652" s="29">
        <v>3.55</v>
      </c>
      <c r="J652" s="9" t="str">
        <f t="shared" si="64"/>
        <v>Identical</v>
      </c>
      <c r="K652" s="9" t="s">
        <v>539</v>
      </c>
      <c r="L652" s="9" t="s">
        <v>539</v>
      </c>
      <c r="M652" s="9" t="str">
        <f t="shared" si="65"/>
        <v>Same</v>
      </c>
      <c r="N652" s="30" t="s">
        <v>1319</v>
      </c>
      <c r="O652" s="30" t="s">
        <v>1320</v>
      </c>
    </row>
    <row r="653" spans="1:15" ht="15" customHeight="1" x14ac:dyDescent="0.2">
      <c r="A653" s="9">
        <v>648</v>
      </c>
      <c r="B653" s="27">
        <f t="shared" si="60"/>
        <v>3165.608207132389</v>
      </c>
      <c r="C653" s="27">
        <f t="shared" si="61"/>
        <v>12776.394723986321</v>
      </c>
      <c r="D653" s="28">
        <v>12.76</v>
      </c>
      <c r="E653" s="28">
        <v>12.75</v>
      </c>
      <c r="F653" s="9" t="str">
        <f t="shared" si="62"/>
        <v>Within 10 mV (calibration line)</v>
      </c>
      <c r="G653" s="27">
        <f t="shared" si="63"/>
        <v>3165.608207132389</v>
      </c>
      <c r="H653" s="29">
        <v>3.55</v>
      </c>
      <c r="I653" s="29">
        <v>3.56</v>
      </c>
      <c r="J653" s="9" t="str">
        <f t="shared" si="64"/>
        <v>+0.01 A (nearest step)</v>
      </c>
      <c r="K653" s="9" t="s">
        <v>539</v>
      </c>
      <c r="L653" s="9" t="s">
        <v>539</v>
      </c>
      <c r="M653" s="9" t="str">
        <f t="shared" si="65"/>
        <v>Same</v>
      </c>
      <c r="N653" s="30" t="s">
        <v>1319</v>
      </c>
      <c r="O653" s="30" t="s">
        <v>1321</v>
      </c>
    </row>
    <row r="654" spans="1:15" ht="15" customHeight="1" x14ac:dyDescent="0.2">
      <c r="A654" s="9">
        <v>649</v>
      </c>
      <c r="B654" s="27">
        <f t="shared" si="60"/>
        <v>3170.4934049829017</v>
      </c>
      <c r="C654" s="27">
        <f t="shared" si="61"/>
        <v>12796.11138251099</v>
      </c>
      <c r="D654" s="28">
        <v>12.78</v>
      </c>
      <c r="E654" s="28">
        <v>12.77</v>
      </c>
      <c r="F654" s="9" t="str">
        <f t="shared" si="62"/>
        <v>Within 10 mV (calibration line)</v>
      </c>
      <c r="G654" s="27">
        <f t="shared" si="63"/>
        <v>3170.4934049829017</v>
      </c>
      <c r="H654" s="29">
        <v>3.56</v>
      </c>
      <c r="I654" s="29">
        <v>3.56</v>
      </c>
      <c r="J654" s="9" t="str">
        <f t="shared" si="64"/>
        <v>Identical</v>
      </c>
      <c r="K654" s="9" t="s">
        <v>539</v>
      </c>
      <c r="L654" s="9" t="s">
        <v>539</v>
      </c>
      <c r="M654" s="9" t="str">
        <f t="shared" si="65"/>
        <v>Same</v>
      </c>
      <c r="N654" s="30" t="s">
        <v>1322</v>
      </c>
      <c r="O654" s="30" t="s">
        <v>1321</v>
      </c>
    </row>
    <row r="655" spans="1:15" ht="15" customHeight="1" x14ac:dyDescent="0.2">
      <c r="A655" s="9">
        <v>650</v>
      </c>
      <c r="B655" s="27">
        <f t="shared" si="60"/>
        <v>3175.3786028334148</v>
      </c>
      <c r="C655" s="27">
        <f t="shared" si="61"/>
        <v>12815.82804103566</v>
      </c>
      <c r="D655" s="28">
        <v>12.8</v>
      </c>
      <c r="E655" s="28">
        <v>12.79</v>
      </c>
      <c r="F655" s="9" t="str">
        <f t="shared" si="62"/>
        <v>Within 10 mV (calibration line)</v>
      </c>
      <c r="G655" s="27">
        <f t="shared" si="63"/>
        <v>3175.3786028334148</v>
      </c>
      <c r="H655" s="29">
        <v>3.57</v>
      </c>
      <c r="I655" s="29">
        <v>3.57</v>
      </c>
      <c r="J655" s="9" t="str">
        <f t="shared" si="64"/>
        <v>Identical</v>
      </c>
      <c r="K655" s="9" t="s">
        <v>539</v>
      </c>
      <c r="L655" s="9" t="s">
        <v>539</v>
      </c>
      <c r="M655" s="9" t="str">
        <f t="shared" si="65"/>
        <v>Same</v>
      </c>
      <c r="N655" s="30" t="s">
        <v>1323</v>
      </c>
      <c r="O655" s="30" t="s">
        <v>1324</v>
      </c>
    </row>
    <row r="656" spans="1:15" ht="15" customHeight="1" x14ac:dyDescent="0.2">
      <c r="A656" s="9">
        <v>651</v>
      </c>
      <c r="B656" s="27">
        <f t="shared" si="60"/>
        <v>3180.2638006839275</v>
      </c>
      <c r="C656" s="27">
        <f t="shared" si="61"/>
        <v>12835.544699560331</v>
      </c>
      <c r="D656" s="28">
        <v>12.82</v>
      </c>
      <c r="E656" s="28">
        <v>12.81</v>
      </c>
      <c r="F656" s="9" t="str">
        <f t="shared" si="62"/>
        <v>Within 10 mV (calibration line)</v>
      </c>
      <c r="G656" s="27">
        <f t="shared" si="63"/>
        <v>3180.2638006839275</v>
      </c>
      <c r="H656" s="29">
        <v>3.57</v>
      </c>
      <c r="I656" s="29">
        <v>3.57</v>
      </c>
      <c r="J656" s="9" t="str">
        <f t="shared" si="64"/>
        <v>Identical</v>
      </c>
      <c r="K656" s="9" t="s">
        <v>539</v>
      </c>
      <c r="L656" s="9" t="s">
        <v>539</v>
      </c>
      <c r="M656" s="9" t="str">
        <f t="shared" si="65"/>
        <v>Same</v>
      </c>
      <c r="N656" s="30" t="s">
        <v>1323</v>
      </c>
      <c r="O656" s="30" t="s">
        <v>1324</v>
      </c>
    </row>
    <row r="657" spans="1:15" ht="15" customHeight="1" x14ac:dyDescent="0.2">
      <c r="A657" s="9">
        <v>652</v>
      </c>
      <c r="B657" s="27">
        <f t="shared" si="60"/>
        <v>3185.1489985344406</v>
      </c>
      <c r="C657" s="27">
        <f t="shared" si="61"/>
        <v>12855.261358085001</v>
      </c>
      <c r="D657" s="28">
        <v>12.84</v>
      </c>
      <c r="E657" s="28">
        <v>12.83</v>
      </c>
      <c r="F657" s="9" t="str">
        <f t="shared" si="62"/>
        <v>Within 10 mV (calibration line)</v>
      </c>
      <c r="G657" s="27">
        <f t="shared" si="63"/>
        <v>3185.1489985344406</v>
      </c>
      <c r="H657" s="29">
        <v>3.58</v>
      </c>
      <c r="I657" s="29">
        <v>3.58</v>
      </c>
      <c r="J657" s="9" t="str">
        <f t="shared" si="64"/>
        <v>Identical</v>
      </c>
      <c r="K657" s="9" t="s">
        <v>539</v>
      </c>
      <c r="L657" s="9" t="s">
        <v>539</v>
      </c>
      <c r="M657" s="9" t="str">
        <f t="shared" si="65"/>
        <v>Same</v>
      </c>
      <c r="N657" s="30" t="s">
        <v>1325</v>
      </c>
      <c r="O657" s="30" t="s">
        <v>1326</v>
      </c>
    </row>
    <row r="658" spans="1:15" ht="15" customHeight="1" x14ac:dyDescent="0.2">
      <c r="A658" s="9">
        <v>653</v>
      </c>
      <c r="B658" s="27">
        <f t="shared" si="60"/>
        <v>3190.0341963849537</v>
      </c>
      <c r="C658" s="27">
        <f t="shared" si="61"/>
        <v>12874.978016609672</v>
      </c>
      <c r="D658" s="28">
        <v>12.86</v>
      </c>
      <c r="E658" s="28">
        <v>12.85</v>
      </c>
      <c r="F658" s="9" t="str">
        <f t="shared" si="62"/>
        <v>Within 10 mV (calibration line)</v>
      </c>
      <c r="G658" s="27">
        <f t="shared" si="63"/>
        <v>3190.0341963849537</v>
      </c>
      <c r="H658" s="29">
        <v>3.58</v>
      </c>
      <c r="I658" s="29">
        <v>3.58</v>
      </c>
      <c r="J658" s="9" t="str">
        <f t="shared" si="64"/>
        <v>Identical</v>
      </c>
      <c r="K658" s="9" t="s">
        <v>539</v>
      </c>
      <c r="L658" s="9" t="s">
        <v>539</v>
      </c>
      <c r="M658" s="9" t="str">
        <f t="shared" si="65"/>
        <v>Same</v>
      </c>
      <c r="N658" s="30" t="s">
        <v>1325</v>
      </c>
      <c r="O658" s="30" t="s">
        <v>1326</v>
      </c>
    </row>
    <row r="659" spans="1:15" ht="15" customHeight="1" x14ac:dyDescent="0.2">
      <c r="A659" s="9">
        <v>654</v>
      </c>
      <c r="B659" s="27">
        <f t="shared" si="60"/>
        <v>3194.9193942354664</v>
      </c>
      <c r="C659" s="27">
        <f t="shared" si="61"/>
        <v>12894.69467513434</v>
      </c>
      <c r="D659" s="28">
        <v>12.88</v>
      </c>
      <c r="E659" s="28">
        <v>12.87</v>
      </c>
      <c r="F659" s="9" t="str">
        <f t="shared" si="62"/>
        <v>Within 10 mV (calibration line)</v>
      </c>
      <c r="G659" s="27">
        <f t="shared" si="63"/>
        <v>3194.9193942354664</v>
      </c>
      <c r="H659" s="29">
        <v>3.59</v>
      </c>
      <c r="I659" s="29">
        <v>3.59</v>
      </c>
      <c r="J659" s="9" t="str">
        <f t="shared" si="64"/>
        <v>Identical</v>
      </c>
      <c r="K659" s="9" t="s">
        <v>539</v>
      </c>
      <c r="L659" s="9" t="s">
        <v>539</v>
      </c>
      <c r="M659" s="9" t="str">
        <f t="shared" si="65"/>
        <v>Same</v>
      </c>
      <c r="N659" s="30" t="s">
        <v>1327</v>
      </c>
      <c r="O659" s="30" t="s">
        <v>1328</v>
      </c>
    </row>
    <row r="660" spans="1:15" ht="15" customHeight="1" x14ac:dyDescent="0.2">
      <c r="A660" s="9">
        <v>655</v>
      </c>
      <c r="B660" s="27">
        <f t="shared" si="60"/>
        <v>3199.8045920859795</v>
      </c>
      <c r="C660" s="27">
        <f t="shared" si="61"/>
        <v>12914.411333659013</v>
      </c>
      <c r="D660" s="28">
        <v>12.9</v>
      </c>
      <c r="E660" s="28">
        <v>12.89</v>
      </c>
      <c r="F660" s="9" t="str">
        <f t="shared" si="62"/>
        <v>Within 10 mV (calibration line)</v>
      </c>
      <c r="G660" s="27">
        <f t="shared" si="63"/>
        <v>3199.8045920859795</v>
      </c>
      <c r="H660" s="29">
        <v>3.59</v>
      </c>
      <c r="I660" s="29">
        <v>3.59</v>
      </c>
      <c r="J660" s="9" t="str">
        <f t="shared" si="64"/>
        <v>Identical</v>
      </c>
      <c r="K660" s="9" t="s">
        <v>539</v>
      </c>
      <c r="L660" s="9" t="s">
        <v>539</v>
      </c>
      <c r="M660" s="9" t="str">
        <f t="shared" si="65"/>
        <v>Same</v>
      </c>
      <c r="N660" s="30" t="s">
        <v>1327</v>
      </c>
      <c r="O660" s="30" t="s">
        <v>1328</v>
      </c>
    </row>
    <row r="661" spans="1:15" ht="15" customHeight="1" x14ac:dyDescent="0.2">
      <c r="A661" s="9">
        <v>656</v>
      </c>
      <c r="B661" s="27">
        <f t="shared" si="60"/>
        <v>3204.6897899364926</v>
      </c>
      <c r="C661" s="27">
        <f t="shared" si="61"/>
        <v>12934.127992183683</v>
      </c>
      <c r="D661" s="28">
        <v>12.92</v>
      </c>
      <c r="E661" s="28">
        <v>12.91</v>
      </c>
      <c r="F661" s="9" t="str">
        <f t="shared" si="62"/>
        <v>Within 10 mV (calibration line)</v>
      </c>
      <c r="G661" s="27">
        <f t="shared" si="63"/>
        <v>3204.6897899364926</v>
      </c>
      <c r="H661" s="29">
        <v>3.6</v>
      </c>
      <c r="I661" s="29">
        <v>3.6</v>
      </c>
      <c r="J661" s="9" t="str">
        <f t="shared" si="64"/>
        <v>Identical</v>
      </c>
      <c r="K661" s="9" t="s">
        <v>539</v>
      </c>
      <c r="L661" s="9" t="s">
        <v>539</v>
      </c>
      <c r="M661" s="9" t="str">
        <f t="shared" si="65"/>
        <v>Same</v>
      </c>
      <c r="N661" s="30" t="s">
        <v>1329</v>
      </c>
      <c r="O661" s="30" t="s">
        <v>1330</v>
      </c>
    </row>
    <row r="662" spans="1:15" ht="15" customHeight="1" x14ac:dyDescent="0.2">
      <c r="A662" s="9">
        <v>657</v>
      </c>
      <c r="B662" s="27">
        <f t="shared" si="60"/>
        <v>3209.5749877870053</v>
      </c>
      <c r="C662" s="27">
        <f t="shared" si="61"/>
        <v>12953.844650708352</v>
      </c>
      <c r="D662" s="28">
        <v>12.94</v>
      </c>
      <c r="E662" s="28">
        <v>12.93</v>
      </c>
      <c r="F662" s="9" t="str">
        <f t="shared" si="62"/>
        <v>Within 10 mV (calibration line)</v>
      </c>
      <c r="G662" s="27">
        <f t="shared" si="63"/>
        <v>3209.5749877870053</v>
      </c>
      <c r="H662" s="29">
        <v>3.6</v>
      </c>
      <c r="I662" s="29">
        <v>3.6</v>
      </c>
      <c r="J662" s="9" t="str">
        <f t="shared" si="64"/>
        <v>Identical</v>
      </c>
      <c r="K662" s="9" t="s">
        <v>539</v>
      </c>
      <c r="L662" s="9" t="s">
        <v>539</v>
      </c>
      <c r="M662" s="9" t="str">
        <f t="shared" si="65"/>
        <v>Same</v>
      </c>
      <c r="N662" s="30" t="s">
        <v>1329</v>
      </c>
      <c r="O662" s="30" t="s">
        <v>1330</v>
      </c>
    </row>
    <row r="663" spans="1:15" ht="15" customHeight="1" x14ac:dyDescent="0.2">
      <c r="A663" s="9">
        <v>658</v>
      </c>
      <c r="B663" s="27">
        <f t="shared" si="60"/>
        <v>3214.4601856375184</v>
      </c>
      <c r="C663" s="27">
        <f t="shared" si="61"/>
        <v>12973.561309233022</v>
      </c>
      <c r="D663" s="28">
        <v>12.96</v>
      </c>
      <c r="E663" s="28">
        <v>12.95</v>
      </c>
      <c r="F663" s="9" t="str">
        <f t="shared" si="62"/>
        <v>Within 10 mV (calibration line)</v>
      </c>
      <c r="G663" s="27">
        <f t="shared" si="63"/>
        <v>3214.4601856375184</v>
      </c>
      <c r="H663" s="29">
        <v>3.61</v>
      </c>
      <c r="I663" s="29">
        <v>3.61</v>
      </c>
      <c r="J663" s="9" t="str">
        <f t="shared" si="64"/>
        <v>Identical</v>
      </c>
      <c r="K663" s="9" t="s">
        <v>539</v>
      </c>
      <c r="L663" s="9" t="s">
        <v>539</v>
      </c>
      <c r="M663" s="9" t="str">
        <f t="shared" si="65"/>
        <v>Same</v>
      </c>
      <c r="N663" s="30" t="s">
        <v>1331</v>
      </c>
      <c r="O663" s="30" t="s">
        <v>1332</v>
      </c>
    </row>
    <row r="664" spans="1:15" ht="15" customHeight="1" x14ac:dyDescent="0.2">
      <c r="A664" s="9">
        <v>659</v>
      </c>
      <c r="B664" s="27">
        <f t="shared" si="60"/>
        <v>3219.3453834880311</v>
      </c>
      <c r="C664" s="27">
        <f t="shared" si="61"/>
        <v>12993.277967757693</v>
      </c>
      <c r="D664" s="28">
        <v>12.98</v>
      </c>
      <c r="E664" s="28">
        <v>12.97</v>
      </c>
      <c r="F664" s="9" t="str">
        <f t="shared" si="62"/>
        <v>Within 10 mV (calibration line)</v>
      </c>
      <c r="G664" s="27">
        <f t="shared" si="63"/>
        <v>3219.3453834880311</v>
      </c>
      <c r="H664" s="29">
        <v>3.61</v>
      </c>
      <c r="I664" s="29">
        <v>3.61</v>
      </c>
      <c r="J664" s="9" t="str">
        <f t="shared" si="64"/>
        <v>Identical</v>
      </c>
      <c r="K664" s="9" t="s">
        <v>539</v>
      </c>
      <c r="L664" s="9" t="s">
        <v>539</v>
      </c>
      <c r="M664" s="9" t="str">
        <f t="shared" si="65"/>
        <v>Same</v>
      </c>
      <c r="N664" s="30" t="s">
        <v>1331</v>
      </c>
      <c r="O664" s="30" t="s">
        <v>1332</v>
      </c>
    </row>
    <row r="665" spans="1:15" ht="15" customHeight="1" x14ac:dyDescent="0.2">
      <c r="A665" s="9">
        <v>660</v>
      </c>
      <c r="B665" s="27">
        <f t="shared" si="60"/>
        <v>3224.2305813385442</v>
      </c>
      <c r="C665" s="27">
        <f t="shared" si="61"/>
        <v>13012.994626282363</v>
      </c>
      <c r="D665" s="28">
        <v>13</v>
      </c>
      <c r="E665" s="28">
        <v>12.99</v>
      </c>
      <c r="F665" s="9" t="str">
        <f t="shared" si="62"/>
        <v>Within 10 mV (calibration line)</v>
      </c>
      <c r="G665" s="27">
        <f t="shared" si="63"/>
        <v>3224.2305813385442</v>
      </c>
      <c r="H665" s="29">
        <v>3.62</v>
      </c>
      <c r="I665" s="29">
        <v>3.62</v>
      </c>
      <c r="J665" s="9" t="str">
        <f t="shared" si="64"/>
        <v>Identical</v>
      </c>
      <c r="K665" s="9" t="s">
        <v>539</v>
      </c>
      <c r="L665" s="9" t="s">
        <v>539</v>
      </c>
      <c r="M665" s="9" t="str">
        <f t="shared" si="65"/>
        <v>Same</v>
      </c>
      <c r="N665" s="30" t="s">
        <v>1333</v>
      </c>
      <c r="O665" s="30" t="s">
        <v>1334</v>
      </c>
    </row>
    <row r="666" spans="1:15" ht="15" customHeight="1" x14ac:dyDescent="0.2">
      <c r="A666" s="9">
        <v>661</v>
      </c>
      <c r="B666" s="27">
        <f t="shared" si="60"/>
        <v>3229.1157791890573</v>
      </c>
      <c r="C666" s="27">
        <f t="shared" si="61"/>
        <v>13032.711284807034</v>
      </c>
      <c r="D666" s="28">
        <v>13.01</v>
      </c>
      <c r="E666" s="28">
        <v>13.01</v>
      </c>
      <c r="F666" s="9" t="str">
        <f t="shared" si="62"/>
        <v>Identical</v>
      </c>
      <c r="G666" s="27">
        <f t="shared" si="63"/>
        <v>3229.1157791890573</v>
      </c>
      <c r="H666" s="29">
        <v>3.63</v>
      </c>
      <c r="I666" s="29">
        <v>3.63</v>
      </c>
      <c r="J666" s="9" t="str">
        <f t="shared" si="64"/>
        <v>Identical</v>
      </c>
      <c r="K666" s="9" t="s">
        <v>539</v>
      </c>
      <c r="L666" s="9" t="s">
        <v>539</v>
      </c>
      <c r="M666" s="9" t="str">
        <f t="shared" si="65"/>
        <v>Same</v>
      </c>
      <c r="N666" s="30" t="s">
        <v>1335</v>
      </c>
      <c r="O666" s="30" t="s">
        <v>1336</v>
      </c>
    </row>
    <row r="667" spans="1:15" ht="15" customHeight="1" x14ac:dyDescent="0.2">
      <c r="A667" s="9">
        <v>662</v>
      </c>
      <c r="B667" s="27">
        <f t="shared" si="60"/>
        <v>3234.00097703957</v>
      </c>
      <c r="C667" s="27">
        <f t="shared" si="61"/>
        <v>13052.427943331702</v>
      </c>
      <c r="D667" s="28">
        <v>13.03</v>
      </c>
      <c r="E667" s="28">
        <v>13.03</v>
      </c>
      <c r="F667" s="9" t="str">
        <f t="shared" si="62"/>
        <v>Identical</v>
      </c>
      <c r="G667" s="27">
        <f t="shared" si="63"/>
        <v>3234.00097703957</v>
      </c>
      <c r="H667" s="29">
        <v>3.63</v>
      </c>
      <c r="I667" s="29">
        <v>3.63</v>
      </c>
      <c r="J667" s="9" t="str">
        <f t="shared" si="64"/>
        <v>Identical</v>
      </c>
      <c r="K667" s="9" t="s">
        <v>539</v>
      </c>
      <c r="L667" s="9" t="s">
        <v>539</v>
      </c>
      <c r="M667" s="9" t="str">
        <f t="shared" si="65"/>
        <v>Same</v>
      </c>
      <c r="N667" s="30" t="s">
        <v>1335</v>
      </c>
      <c r="O667" s="30" t="s">
        <v>1336</v>
      </c>
    </row>
    <row r="668" spans="1:15" ht="15" customHeight="1" x14ac:dyDescent="0.2">
      <c r="A668" s="9">
        <v>663</v>
      </c>
      <c r="B668" s="27">
        <f t="shared" si="60"/>
        <v>3238.8861748900831</v>
      </c>
      <c r="C668" s="27">
        <f t="shared" si="61"/>
        <v>13072.144601856375</v>
      </c>
      <c r="D668" s="28">
        <v>13.05</v>
      </c>
      <c r="E668" s="28">
        <v>13.05</v>
      </c>
      <c r="F668" s="9" t="str">
        <f t="shared" si="62"/>
        <v>Identical</v>
      </c>
      <c r="G668" s="27">
        <f t="shared" si="63"/>
        <v>3238.8861748900831</v>
      </c>
      <c r="H668" s="29">
        <v>3.64</v>
      </c>
      <c r="I668" s="29">
        <v>3.64</v>
      </c>
      <c r="J668" s="9" t="str">
        <f t="shared" si="64"/>
        <v>Identical</v>
      </c>
      <c r="K668" s="9" t="s">
        <v>539</v>
      </c>
      <c r="L668" s="9" t="s">
        <v>539</v>
      </c>
      <c r="M668" s="9" t="str">
        <f t="shared" si="65"/>
        <v>Same</v>
      </c>
      <c r="N668" s="30" t="s">
        <v>1337</v>
      </c>
      <c r="O668" s="30" t="s">
        <v>1338</v>
      </c>
    </row>
    <row r="669" spans="1:15" ht="15" customHeight="1" x14ac:dyDescent="0.2">
      <c r="A669" s="9">
        <v>664</v>
      </c>
      <c r="B669" s="27">
        <f t="shared" si="60"/>
        <v>3243.7713727405962</v>
      </c>
      <c r="C669" s="27">
        <f t="shared" si="61"/>
        <v>13091.861260381045</v>
      </c>
      <c r="D669" s="28">
        <v>13.07</v>
      </c>
      <c r="E669" s="28">
        <v>13.07</v>
      </c>
      <c r="F669" s="9" t="str">
        <f t="shared" si="62"/>
        <v>Identical</v>
      </c>
      <c r="G669" s="27">
        <f t="shared" si="63"/>
        <v>3243.7713727405962</v>
      </c>
      <c r="H669" s="29">
        <v>3.64</v>
      </c>
      <c r="I669" s="29">
        <v>3.64</v>
      </c>
      <c r="J669" s="9" t="str">
        <f t="shared" si="64"/>
        <v>Identical</v>
      </c>
      <c r="K669" s="9" t="s">
        <v>539</v>
      </c>
      <c r="L669" s="9" t="s">
        <v>539</v>
      </c>
      <c r="M669" s="9" t="str">
        <f t="shared" si="65"/>
        <v>Same</v>
      </c>
      <c r="N669" s="30" t="s">
        <v>1337</v>
      </c>
      <c r="O669" s="30" t="s">
        <v>1338</v>
      </c>
    </row>
    <row r="670" spans="1:15" ht="15" customHeight="1" x14ac:dyDescent="0.2">
      <c r="A670" s="9">
        <v>665</v>
      </c>
      <c r="B670" s="27">
        <f t="shared" si="60"/>
        <v>3248.6565705911089</v>
      </c>
      <c r="C670" s="27">
        <f t="shared" si="61"/>
        <v>13111.577918905714</v>
      </c>
      <c r="D670" s="28">
        <v>13.09</v>
      </c>
      <c r="E670" s="28">
        <v>13.09</v>
      </c>
      <c r="F670" s="9" t="str">
        <f t="shared" si="62"/>
        <v>Identical</v>
      </c>
      <c r="G670" s="27">
        <f t="shared" si="63"/>
        <v>3248.6565705911089</v>
      </c>
      <c r="H670" s="29">
        <v>3.65</v>
      </c>
      <c r="I670" s="29">
        <v>3.65</v>
      </c>
      <c r="J670" s="9" t="str">
        <f t="shared" si="64"/>
        <v>Identical</v>
      </c>
      <c r="K670" s="9" t="s">
        <v>539</v>
      </c>
      <c r="L670" s="9" t="s">
        <v>539</v>
      </c>
      <c r="M670" s="9" t="str">
        <f t="shared" si="65"/>
        <v>Same</v>
      </c>
      <c r="N670" s="30" t="s">
        <v>1339</v>
      </c>
      <c r="O670" s="30" t="s">
        <v>1340</v>
      </c>
    </row>
    <row r="671" spans="1:15" ht="15" customHeight="1" x14ac:dyDescent="0.2">
      <c r="A671" s="9">
        <v>666</v>
      </c>
      <c r="B671" s="27">
        <f t="shared" si="60"/>
        <v>3253.541768441622</v>
      </c>
      <c r="C671" s="27">
        <f t="shared" si="61"/>
        <v>13131.294577430384</v>
      </c>
      <c r="D671" s="28">
        <v>13.11</v>
      </c>
      <c r="E671" s="28">
        <v>13.11</v>
      </c>
      <c r="F671" s="9" t="str">
        <f t="shared" si="62"/>
        <v>Identical</v>
      </c>
      <c r="G671" s="27">
        <f t="shared" si="63"/>
        <v>3253.541768441622</v>
      </c>
      <c r="H671" s="29">
        <v>3.65</v>
      </c>
      <c r="I671" s="29">
        <v>3.65</v>
      </c>
      <c r="J671" s="9" t="str">
        <f t="shared" si="64"/>
        <v>Identical</v>
      </c>
      <c r="K671" s="9" t="s">
        <v>539</v>
      </c>
      <c r="L671" s="9" t="s">
        <v>539</v>
      </c>
      <c r="M671" s="9" t="str">
        <f t="shared" si="65"/>
        <v>Same</v>
      </c>
      <c r="N671" s="30" t="s">
        <v>1339</v>
      </c>
      <c r="O671" s="30" t="s">
        <v>1340</v>
      </c>
    </row>
    <row r="672" spans="1:15" ht="15" customHeight="1" x14ac:dyDescent="0.2">
      <c r="A672" s="9">
        <v>667</v>
      </c>
      <c r="B672" s="27">
        <f t="shared" si="60"/>
        <v>3258.4269662921347</v>
      </c>
      <c r="C672" s="27">
        <f t="shared" si="61"/>
        <v>13151.011235955055</v>
      </c>
      <c r="D672" s="28">
        <v>13.13</v>
      </c>
      <c r="E672" s="28">
        <v>13.13</v>
      </c>
      <c r="F672" s="9" t="str">
        <f t="shared" si="62"/>
        <v>Identical</v>
      </c>
      <c r="G672" s="27">
        <f t="shared" si="63"/>
        <v>3258.4269662921347</v>
      </c>
      <c r="H672" s="29">
        <v>3.66</v>
      </c>
      <c r="I672" s="29">
        <v>3.66</v>
      </c>
      <c r="J672" s="9" t="str">
        <f t="shared" si="64"/>
        <v>Identical</v>
      </c>
      <c r="K672" s="9" t="s">
        <v>539</v>
      </c>
      <c r="L672" s="9" t="s">
        <v>539</v>
      </c>
      <c r="M672" s="9" t="str">
        <f t="shared" si="65"/>
        <v>Same</v>
      </c>
      <c r="N672" s="30" t="s">
        <v>1341</v>
      </c>
      <c r="O672" s="30" t="s">
        <v>1342</v>
      </c>
    </row>
    <row r="673" spans="1:15" ht="15" customHeight="1" x14ac:dyDescent="0.2">
      <c r="A673" s="9">
        <v>668</v>
      </c>
      <c r="B673" s="27">
        <f t="shared" si="60"/>
        <v>3263.3121641426478</v>
      </c>
      <c r="C673" s="27">
        <f t="shared" si="61"/>
        <v>13170.727894479725</v>
      </c>
      <c r="D673" s="28">
        <v>13.15</v>
      </c>
      <c r="E673" s="28">
        <v>13.15</v>
      </c>
      <c r="F673" s="9" t="str">
        <f t="shared" si="62"/>
        <v>Identical</v>
      </c>
      <c r="G673" s="27">
        <f t="shared" si="63"/>
        <v>3263.3121641426478</v>
      </c>
      <c r="H673" s="29">
        <v>3.66</v>
      </c>
      <c r="I673" s="29">
        <v>3.66</v>
      </c>
      <c r="J673" s="9" t="str">
        <f t="shared" si="64"/>
        <v>Identical</v>
      </c>
      <c r="K673" s="9" t="s">
        <v>539</v>
      </c>
      <c r="L673" s="9" t="s">
        <v>539</v>
      </c>
      <c r="M673" s="9" t="str">
        <f t="shared" si="65"/>
        <v>Same</v>
      </c>
      <c r="N673" s="30" t="s">
        <v>1341</v>
      </c>
      <c r="O673" s="30" t="s">
        <v>1342</v>
      </c>
    </row>
    <row r="674" spans="1:15" ht="15" customHeight="1" x14ac:dyDescent="0.2">
      <c r="A674" s="9">
        <v>669</v>
      </c>
      <c r="B674" s="27">
        <f t="shared" si="60"/>
        <v>3268.1973619931609</v>
      </c>
      <c r="C674" s="27">
        <f t="shared" si="61"/>
        <v>13190.444553004396</v>
      </c>
      <c r="D674" s="28">
        <v>13.17</v>
      </c>
      <c r="E674" s="28">
        <v>13.17</v>
      </c>
      <c r="F674" s="9" t="str">
        <f t="shared" si="62"/>
        <v>Identical</v>
      </c>
      <c r="G674" s="27">
        <f t="shared" si="63"/>
        <v>3268.1973619931609</v>
      </c>
      <c r="H674" s="29">
        <v>3.67</v>
      </c>
      <c r="I674" s="29">
        <v>3.67</v>
      </c>
      <c r="J674" s="9" t="str">
        <f t="shared" si="64"/>
        <v>Identical</v>
      </c>
      <c r="K674" s="9" t="s">
        <v>539</v>
      </c>
      <c r="L674" s="9" t="s">
        <v>539</v>
      </c>
      <c r="M674" s="9" t="str">
        <f t="shared" si="65"/>
        <v>Same</v>
      </c>
      <c r="N674" s="30" t="s">
        <v>1343</v>
      </c>
      <c r="O674" s="30" t="s">
        <v>1344</v>
      </c>
    </row>
    <row r="675" spans="1:15" ht="15" customHeight="1" x14ac:dyDescent="0.2">
      <c r="A675" s="9">
        <v>670</v>
      </c>
      <c r="B675" s="27">
        <f t="shared" si="60"/>
        <v>3273.0825598436736</v>
      </c>
      <c r="C675" s="27">
        <f t="shared" si="61"/>
        <v>13210.161211529065</v>
      </c>
      <c r="D675" s="28">
        <v>13.19</v>
      </c>
      <c r="E675" s="28">
        <v>13.19</v>
      </c>
      <c r="F675" s="9" t="str">
        <f t="shared" si="62"/>
        <v>Identical</v>
      </c>
      <c r="G675" s="27">
        <f t="shared" si="63"/>
        <v>3273.0825598436736</v>
      </c>
      <c r="H675" s="29">
        <v>3.68</v>
      </c>
      <c r="I675" s="29">
        <v>3.68</v>
      </c>
      <c r="J675" s="9" t="str">
        <f t="shared" si="64"/>
        <v>Identical</v>
      </c>
      <c r="K675" s="9" t="s">
        <v>539</v>
      </c>
      <c r="L675" s="9" t="s">
        <v>539</v>
      </c>
      <c r="M675" s="9" t="str">
        <f t="shared" si="65"/>
        <v>Same</v>
      </c>
      <c r="N675" s="30" t="s">
        <v>1345</v>
      </c>
      <c r="O675" s="30" t="s">
        <v>1346</v>
      </c>
    </row>
    <row r="676" spans="1:15" ht="15" customHeight="1" x14ac:dyDescent="0.2">
      <c r="A676" s="9">
        <v>671</v>
      </c>
      <c r="B676" s="27">
        <f t="shared" si="60"/>
        <v>3277.9677576941867</v>
      </c>
      <c r="C676" s="27">
        <f t="shared" si="61"/>
        <v>13229.877870053737</v>
      </c>
      <c r="D676" s="28">
        <v>13.2</v>
      </c>
      <c r="E676" s="28">
        <v>13.21</v>
      </c>
      <c r="F676" s="9" t="str">
        <f t="shared" si="62"/>
        <v>Within 10 mV (calibration line)</v>
      </c>
      <c r="G676" s="27">
        <f t="shared" si="63"/>
        <v>3277.9677576941867</v>
      </c>
      <c r="H676" s="29">
        <v>3.68</v>
      </c>
      <c r="I676" s="29">
        <v>3.68</v>
      </c>
      <c r="J676" s="9" t="str">
        <f t="shared" si="64"/>
        <v>Identical</v>
      </c>
      <c r="K676" s="9" t="s">
        <v>539</v>
      </c>
      <c r="L676" s="9" t="s">
        <v>539</v>
      </c>
      <c r="M676" s="9" t="str">
        <f t="shared" si="65"/>
        <v>Same</v>
      </c>
      <c r="N676" s="30" t="s">
        <v>1345</v>
      </c>
      <c r="O676" s="30" t="s">
        <v>1346</v>
      </c>
    </row>
    <row r="677" spans="1:15" ht="15" customHeight="1" x14ac:dyDescent="0.2">
      <c r="A677" s="9">
        <v>672</v>
      </c>
      <c r="B677" s="27">
        <f t="shared" si="60"/>
        <v>3282.8529555446999</v>
      </c>
      <c r="C677" s="27">
        <f t="shared" si="61"/>
        <v>13249.594528578407</v>
      </c>
      <c r="D677" s="28">
        <v>13.22</v>
      </c>
      <c r="E677" s="28">
        <v>13.22</v>
      </c>
      <c r="F677" s="9" t="str">
        <f t="shared" si="62"/>
        <v>Identical</v>
      </c>
      <c r="G677" s="27">
        <f t="shared" si="63"/>
        <v>3282.8529555446999</v>
      </c>
      <c r="H677" s="29">
        <v>3.69</v>
      </c>
      <c r="I677" s="29">
        <v>3.69</v>
      </c>
      <c r="J677" s="9" t="str">
        <f t="shared" si="64"/>
        <v>Identical</v>
      </c>
      <c r="K677" s="9" t="s">
        <v>539</v>
      </c>
      <c r="L677" s="9" t="s">
        <v>539</v>
      </c>
      <c r="M677" s="9" t="str">
        <f t="shared" si="65"/>
        <v>Same</v>
      </c>
      <c r="N677" s="30" t="s">
        <v>1347</v>
      </c>
      <c r="O677" s="30" t="s">
        <v>1348</v>
      </c>
    </row>
    <row r="678" spans="1:15" ht="15" customHeight="1" x14ac:dyDescent="0.2">
      <c r="A678" s="9">
        <v>673</v>
      </c>
      <c r="B678" s="27">
        <f t="shared" si="60"/>
        <v>3287.7381533952125</v>
      </c>
      <c r="C678" s="27">
        <f t="shared" si="61"/>
        <v>13269.311187103076</v>
      </c>
      <c r="D678" s="28">
        <v>13.24</v>
      </c>
      <c r="E678" s="28">
        <v>13.24</v>
      </c>
      <c r="F678" s="9" t="str">
        <f t="shared" si="62"/>
        <v>Identical</v>
      </c>
      <c r="G678" s="27">
        <f t="shared" si="63"/>
        <v>3287.7381533952125</v>
      </c>
      <c r="H678" s="29">
        <v>3.69</v>
      </c>
      <c r="I678" s="29">
        <v>3.69</v>
      </c>
      <c r="J678" s="9" t="str">
        <f t="shared" si="64"/>
        <v>Identical</v>
      </c>
      <c r="K678" s="9" t="s">
        <v>539</v>
      </c>
      <c r="L678" s="9" t="s">
        <v>539</v>
      </c>
      <c r="M678" s="9" t="str">
        <f t="shared" si="65"/>
        <v>Same</v>
      </c>
      <c r="N678" s="30" t="s">
        <v>1347</v>
      </c>
      <c r="O678" s="30" t="s">
        <v>1348</v>
      </c>
    </row>
    <row r="679" spans="1:15" ht="15" customHeight="1" x14ac:dyDescent="0.2">
      <c r="A679" s="9">
        <v>674</v>
      </c>
      <c r="B679" s="27">
        <f t="shared" si="60"/>
        <v>3292.6233512457256</v>
      </c>
      <c r="C679" s="27">
        <f t="shared" si="61"/>
        <v>13289.027845627747</v>
      </c>
      <c r="D679" s="28">
        <v>13.26</v>
      </c>
      <c r="E679" s="28">
        <v>13.26</v>
      </c>
      <c r="F679" s="9" t="str">
        <f t="shared" si="62"/>
        <v>Identical</v>
      </c>
      <c r="G679" s="27">
        <f t="shared" si="63"/>
        <v>3292.6233512457256</v>
      </c>
      <c r="H679" s="29">
        <v>3.7</v>
      </c>
      <c r="I679" s="29">
        <v>3.7</v>
      </c>
      <c r="J679" s="9" t="str">
        <f t="shared" si="64"/>
        <v>Identical</v>
      </c>
      <c r="K679" s="9" t="s">
        <v>539</v>
      </c>
      <c r="L679" s="9" t="s">
        <v>539</v>
      </c>
      <c r="M679" s="9" t="str">
        <f t="shared" si="65"/>
        <v>Same</v>
      </c>
      <c r="N679" s="30" t="s">
        <v>1349</v>
      </c>
      <c r="O679" s="30" t="s">
        <v>1350</v>
      </c>
    </row>
    <row r="680" spans="1:15" ht="15" customHeight="1" x14ac:dyDescent="0.2">
      <c r="A680" s="9">
        <v>675</v>
      </c>
      <c r="B680" s="27">
        <f t="shared" si="60"/>
        <v>3297.5085490962383</v>
      </c>
      <c r="C680" s="27">
        <f t="shared" si="61"/>
        <v>13308.744504152417</v>
      </c>
      <c r="D680" s="28">
        <v>13.28</v>
      </c>
      <c r="E680" s="28">
        <v>13.28</v>
      </c>
      <c r="F680" s="9" t="str">
        <f t="shared" si="62"/>
        <v>Identical</v>
      </c>
      <c r="G680" s="27">
        <f t="shared" si="63"/>
        <v>3297.5085490962383</v>
      </c>
      <c r="H680" s="29">
        <v>3.7</v>
      </c>
      <c r="I680" s="29">
        <v>3.7</v>
      </c>
      <c r="J680" s="9" t="str">
        <f t="shared" si="64"/>
        <v>Identical</v>
      </c>
      <c r="K680" s="9" t="s">
        <v>539</v>
      </c>
      <c r="L680" s="9" t="s">
        <v>539</v>
      </c>
      <c r="M680" s="9" t="str">
        <f t="shared" si="65"/>
        <v>Same</v>
      </c>
      <c r="N680" s="30" t="s">
        <v>1349</v>
      </c>
      <c r="O680" s="30" t="s">
        <v>1350</v>
      </c>
    </row>
    <row r="681" spans="1:15" ht="15" customHeight="1" x14ac:dyDescent="0.2">
      <c r="A681" s="9">
        <v>676</v>
      </c>
      <c r="B681" s="27">
        <f t="shared" si="60"/>
        <v>3302.3937469467514</v>
      </c>
      <c r="C681" s="27">
        <f t="shared" si="61"/>
        <v>13328.461162677087</v>
      </c>
      <c r="D681" s="28">
        <v>13.3</v>
      </c>
      <c r="E681" s="28">
        <v>13.3</v>
      </c>
      <c r="F681" s="9" t="str">
        <f t="shared" si="62"/>
        <v>Identical</v>
      </c>
      <c r="G681" s="27">
        <f t="shared" si="63"/>
        <v>3302.3937469467514</v>
      </c>
      <c r="H681" s="29">
        <v>3.71</v>
      </c>
      <c r="I681" s="29">
        <v>3.71</v>
      </c>
      <c r="J681" s="9" t="str">
        <f t="shared" si="64"/>
        <v>Identical</v>
      </c>
      <c r="K681" s="9" t="s">
        <v>539</v>
      </c>
      <c r="L681" s="9" t="s">
        <v>539</v>
      </c>
      <c r="M681" s="9" t="str">
        <f t="shared" si="65"/>
        <v>Same</v>
      </c>
      <c r="N681" s="30" t="s">
        <v>1351</v>
      </c>
      <c r="O681" s="30" t="s">
        <v>1352</v>
      </c>
    </row>
    <row r="682" spans="1:15" ht="15" customHeight="1" x14ac:dyDescent="0.2">
      <c r="A682" s="9">
        <v>677</v>
      </c>
      <c r="B682" s="27">
        <f t="shared" si="60"/>
        <v>3307.2789447972646</v>
      </c>
      <c r="C682" s="27">
        <f t="shared" si="61"/>
        <v>13348.177821201758</v>
      </c>
      <c r="D682" s="28">
        <v>13.32</v>
      </c>
      <c r="E682" s="28">
        <v>13.32</v>
      </c>
      <c r="F682" s="9" t="str">
        <f t="shared" si="62"/>
        <v>Identical</v>
      </c>
      <c r="G682" s="27">
        <f t="shared" si="63"/>
        <v>3307.2789447972646</v>
      </c>
      <c r="H682" s="29">
        <v>3.71</v>
      </c>
      <c r="I682" s="29">
        <v>3.71</v>
      </c>
      <c r="J682" s="9" t="str">
        <f t="shared" si="64"/>
        <v>Identical</v>
      </c>
      <c r="K682" s="9" t="s">
        <v>539</v>
      </c>
      <c r="L682" s="9" t="s">
        <v>539</v>
      </c>
      <c r="M682" s="9" t="str">
        <f t="shared" si="65"/>
        <v>Same</v>
      </c>
      <c r="N682" s="30" t="s">
        <v>1351</v>
      </c>
      <c r="O682" s="30" t="s">
        <v>1352</v>
      </c>
    </row>
    <row r="683" spans="1:15" ht="15" customHeight="1" x14ac:dyDescent="0.2">
      <c r="A683" s="9">
        <v>678</v>
      </c>
      <c r="B683" s="27">
        <f t="shared" si="60"/>
        <v>3312.1641426477772</v>
      </c>
      <c r="C683" s="27">
        <f t="shared" si="61"/>
        <v>13367.894479726427</v>
      </c>
      <c r="D683" s="28">
        <v>13.34</v>
      </c>
      <c r="E683" s="28">
        <v>13.34</v>
      </c>
      <c r="F683" s="9" t="str">
        <f t="shared" si="62"/>
        <v>Identical</v>
      </c>
      <c r="G683" s="27">
        <f t="shared" si="63"/>
        <v>3312.1641426477772</v>
      </c>
      <c r="H683" s="29">
        <v>3.72</v>
      </c>
      <c r="I683" s="29">
        <v>3.72</v>
      </c>
      <c r="J683" s="9" t="str">
        <f t="shared" si="64"/>
        <v>Identical</v>
      </c>
      <c r="K683" s="9" t="s">
        <v>539</v>
      </c>
      <c r="L683" s="9" t="s">
        <v>539</v>
      </c>
      <c r="M683" s="9" t="str">
        <f t="shared" si="65"/>
        <v>Same</v>
      </c>
      <c r="N683" s="30" t="s">
        <v>1353</v>
      </c>
      <c r="O683" s="30" t="s">
        <v>1354</v>
      </c>
    </row>
    <row r="684" spans="1:15" ht="15" customHeight="1" x14ac:dyDescent="0.2">
      <c r="A684" s="9">
        <v>679</v>
      </c>
      <c r="B684" s="27">
        <f t="shared" si="60"/>
        <v>3317.0493404982903</v>
      </c>
      <c r="C684" s="27">
        <f t="shared" si="61"/>
        <v>13387.611138251099</v>
      </c>
      <c r="D684" s="28">
        <v>13.36</v>
      </c>
      <c r="E684" s="28">
        <v>13.36</v>
      </c>
      <c r="F684" s="9" t="str">
        <f t="shared" si="62"/>
        <v>Identical</v>
      </c>
      <c r="G684" s="27">
        <f t="shared" si="63"/>
        <v>3317.0493404982903</v>
      </c>
      <c r="H684" s="29">
        <v>3.72</v>
      </c>
      <c r="I684" s="29">
        <v>3.72</v>
      </c>
      <c r="J684" s="9" t="str">
        <f t="shared" si="64"/>
        <v>Identical</v>
      </c>
      <c r="K684" s="9" t="s">
        <v>539</v>
      </c>
      <c r="L684" s="9" t="s">
        <v>539</v>
      </c>
      <c r="M684" s="9" t="str">
        <f t="shared" si="65"/>
        <v>Same</v>
      </c>
      <c r="N684" s="30" t="s">
        <v>1353</v>
      </c>
      <c r="O684" s="30" t="s">
        <v>1354</v>
      </c>
    </row>
    <row r="685" spans="1:15" ht="15" customHeight="1" x14ac:dyDescent="0.2">
      <c r="A685" s="9">
        <v>680</v>
      </c>
      <c r="B685" s="27">
        <f t="shared" si="60"/>
        <v>3321.9345383488035</v>
      </c>
      <c r="C685" s="27">
        <f t="shared" si="61"/>
        <v>13407.327796775769</v>
      </c>
      <c r="D685" s="28">
        <v>13.38</v>
      </c>
      <c r="E685" s="28">
        <v>13.38</v>
      </c>
      <c r="F685" s="9" t="str">
        <f t="shared" si="62"/>
        <v>Identical</v>
      </c>
      <c r="G685" s="27">
        <f t="shared" si="63"/>
        <v>3321.9345383488035</v>
      </c>
      <c r="H685" s="29">
        <v>3.73</v>
      </c>
      <c r="I685" s="29">
        <v>3.73</v>
      </c>
      <c r="J685" s="9" t="str">
        <f t="shared" si="64"/>
        <v>Identical</v>
      </c>
      <c r="K685" s="9" t="s">
        <v>539</v>
      </c>
      <c r="L685" s="9" t="s">
        <v>539</v>
      </c>
      <c r="M685" s="9" t="str">
        <f t="shared" si="65"/>
        <v>Same</v>
      </c>
      <c r="N685" s="30" t="s">
        <v>1355</v>
      </c>
      <c r="O685" s="30" t="s">
        <v>1356</v>
      </c>
    </row>
    <row r="686" spans="1:15" ht="15" customHeight="1" x14ac:dyDescent="0.2">
      <c r="A686" s="9">
        <v>681</v>
      </c>
      <c r="B686" s="27">
        <f t="shared" si="60"/>
        <v>3326.8197361993161</v>
      </c>
      <c r="C686" s="27">
        <f t="shared" si="61"/>
        <v>13427.044455300438</v>
      </c>
      <c r="D686" s="28">
        <v>13.4</v>
      </c>
      <c r="E686" s="28">
        <v>13.4</v>
      </c>
      <c r="F686" s="9" t="str">
        <f t="shared" si="62"/>
        <v>Identical</v>
      </c>
      <c r="G686" s="27">
        <f t="shared" si="63"/>
        <v>3326.8197361993161</v>
      </c>
      <c r="H686" s="29">
        <v>3.73</v>
      </c>
      <c r="I686" s="29">
        <v>3.74</v>
      </c>
      <c r="J686" s="9" t="str">
        <f t="shared" si="64"/>
        <v>+0.01 A (nearest step)</v>
      </c>
      <c r="K686" s="9" t="s">
        <v>539</v>
      </c>
      <c r="L686" s="9" t="s">
        <v>539</v>
      </c>
      <c r="M686" s="9" t="str">
        <f t="shared" si="65"/>
        <v>Same</v>
      </c>
      <c r="N686" s="30" t="s">
        <v>1355</v>
      </c>
      <c r="O686" s="30" t="s">
        <v>1357</v>
      </c>
    </row>
    <row r="687" spans="1:15" ht="15" customHeight="1" x14ac:dyDescent="0.2">
      <c r="A687" s="9">
        <v>682</v>
      </c>
      <c r="B687" s="27">
        <f t="shared" si="60"/>
        <v>3331.7049340498293</v>
      </c>
      <c r="C687" s="27">
        <f t="shared" si="61"/>
        <v>13446.761113825109</v>
      </c>
      <c r="D687" s="28">
        <v>13.42</v>
      </c>
      <c r="E687" s="28">
        <v>13.42</v>
      </c>
      <c r="F687" s="9" t="str">
        <f t="shared" si="62"/>
        <v>Identical</v>
      </c>
      <c r="G687" s="27">
        <f t="shared" si="63"/>
        <v>3331.7049340498293</v>
      </c>
      <c r="H687" s="29">
        <v>3.74</v>
      </c>
      <c r="I687" s="29">
        <v>3.74</v>
      </c>
      <c r="J687" s="9" t="str">
        <f t="shared" si="64"/>
        <v>Identical</v>
      </c>
      <c r="K687" s="9" t="s">
        <v>539</v>
      </c>
      <c r="L687" s="9" t="s">
        <v>539</v>
      </c>
      <c r="M687" s="9" t="str">
        <f t="shared" si="65"/>
        <v>Same</v>
      </c>
      <c r="N687" s="30" t="s">
        <v>1358</v>
      </c>
      <c r="O687" s="30" t="s">
        <v>1357</v>
      </c>
    </row>
    <row r="688" spans="1:15" ht="15" customHeight="1" x14ac:dyDescent="0.2">
      <c r="A688" s="9">
        <v>683</v>
      </c>
      <c r="B688" s="27">
        <f t="shared" si="60"/>
        <v>3336.5901319003424</v>
      </c>
      <c r="C688" s="27">
        <f t="shared" si="61"/>
        <v>13466.477772349781</v>
      </c>
      <c r="D688" s="28">
        <v>13.44</v>
      </c>
      <c r="E688" s="28">
        <v>13.44</v>
      </c>
      <c r="F688" s="9" t="str">
        <f t="shared" si="62"/>
        <v>Identical</v>
      </c>
      <c r="G688" s="27">
        <f t="shared" si="63"/>
        <v>3336.5901319003424</v>
      </c>
      <c r="H688" s="29">
        <v>3.75</v>
      </c>
      <c r="I688" s="29">
        <v>3.75</v>
      </c>
      <c r="J688" s="9" t="str">
        <f t="shared" si="64"/>
        <v>Identical</v>
      </c>
      <c r="K688" s="9" t="s">
        <v>539</v>
      </c>
      <c r="L688" s="9" t="s">
        <v>539</v>
      </c>
      <c r="M688" s="9" t="str">
        <f t="shared" si="65"/>
        <v>Same</v>
      </c>
      <c r="N688" s="30" t="s">
        <v>1359</v>
      </c>
      <c r="O688" s="30" t="s">
        <v>1360</v>
      </c>
    </row>
    <row r="689" spans="1:15" ht="15" customHeight="1" x14ac:dyDescent="0.2">
      <c r="A689" s="9">
        <v>684</v>
      </c>
      <c r="B689" s="27">
        <f t="shared" si="60"/>
        <v>3341.4753297508551</v>
      </c>
      <c r="C689" s="27">
        <f t="shared" si="61"/>
        <v>13486.19443087445</v>
      </c>
      <c r="D689" s="28">
        <v>13.46</v>
      </c>
      <c r="E689" s="28">
        <v>13.46</v>
      </c>
      <c r="F689" s="9" t="str">
        <f t="shared" si="62"/>
        <v>Identical</v>
      </c>
      <c r="G689" s="27">
        <f t="shared" si="63"/>
        <v>3341.4753297508551</v>
      </c>
      <c r="H689" s="29">
        <v>3.75</v>
      </c>
      <c r="I689" s="29">
        <v>3.75</v>
      </c>
      <c r="J689" s="9" t="str">
        <f t="shared" si="64"/>
        <v>Identical</v>
      </c>
      <c r="K689" s="9" t="s">
        <v>539</v>
      </c>
      <c r="L689" s="9" t="s">
        <v>539</v>
      </c>
      <c r="M689" s="9" t="str">
        <f t="shared" si="65"/>
        <v>Same</v>
      </c>
      <c r="N689" s="30" t="s">
        <v>1359</v>
      </c>
      <c r="O689" s="30" t="s">
        <v>1360</v>
      </c>
    </row>
    <row r="690" spans="1:15" ht="15" customHeight="1" x14ac:dyDescent="0.2">
      <c r="A690" s="9">
        <v>685</v>
      </c>
      <c r="B690" s="27">
        <f t="shared" si="60"/>
        <v>3346.3605276013682</v>
      </c>
      <c r="C690" s="27">
        <f t="shared" si="61"/>
        <v>13505.91108939912</v>
      </c>
      <c r="D690" s="28">
        <v>13.48</v>
      </c>
      <c r="E690" s="28">
        <v>13.48</v>
      </c>
      <c r="F690" s="9" t="str">
        <f t="shared" si="62"/>
        <v>Identical</v>
      </c>
      <c r="G690" s="27">
        <f t="shared" si="63"/>
        <v>3346.3605276013682</v>
      </c>
      <c r="H690" s="29">
        <v>3.76</v>
      </c>
      <c r="I690" s="29">
        <v>3.76</v>
      </c>
      <c r="J690" s="9" t="str">
        <f t="shared" si="64"/>
        <v>Identical</v>
      </c>
      <c r="K690" s="9" t="s">
        <v>539</v>
      </c>
      <c r="L690" s="9" t="s">
        <v>539</v>
      </c>
      <c r="M690" s="9" t="str">
        <f t="shared" si="65"/>
        <v>Same</v>
      </c>
      <c r="N690" s="30" t="s">
        <v>1361</v>
      </c>
      <c r="O690" s="30" t="s">
        <v>1362</v>
      </c>
    </row>
    <row r="691" spans="1:15" ht="15" customHeight="1" x14ac:dyDescent="0.2">
      <c r="A691" s="9">
        <v>686</v>
      </c>
      <c r="B691" s="27">
        <f t="shared" si="60"/>
        <v>3351.2457254518808</v>
      </c>
      <c r="C691" s="27">
        <f t="shared" si="61"/>
        <v>13525.627747923791</v>
      </c>
      <c r="D691" s="28">
        <v>13.5</v>
      </c>
      <c r="E691" s="28">
        <v>13.5</v>
      </c>
      <c r="F691" s="9" t="str">
        <f t="shared" si="62"/>
        <v>Identical</v>
      </c>
      <c r="G691" s="27">
        <f t="shared" si="63"/>
        <v>3351.2457254518808</v>
      </c>
      <c r="H691" s="29">
        <v>3.76</v>
      </c>
      <c r="I691" s="29">
        <v>3.76</v>
      </c>
      <c r="J691" s="9" t="str">
        <f t="shared" si="64"/>
        <v>Identical</v>
      </c>
      <c r="K691" s="9" t="s">
        <v>539</v>
      </c>
      <c r="L691" s="9" t="s">
        <v>539</v>
      </c>
      <c r="M691" s="9" t="str">
        <f t="shared" si="65"/>
        <v>Same</v>
      </c>
      <c r="N691" s="30" t="s">
        <v>1361</v>
      </c>
      <c r="O691" s="30" t="s">
        <v>1362</v>
      </c>
    </row>
    <row r="692" spans="1:15" ht="15" customHeight="1" x14ac:dyDescent="0.2">
      <c r="A692" s="9">
        <v>687</v>
      </c>
      <c r="B692" s="27">
        <f t="shared" si="60"/>
        <v>3356.130923302394</v>
      </c>
      <c r="C692" s="27">
        <f t="shared" si="61"/>
        <v>13545.344406448461</v>
      </c>
      <c r="D692" s="28">
        <v>13.52</v>
      </c>
      <c r="E692" s="28">
        <v>13.52</v>
      </c>
      <c r="F692" s="9" t="str">
        <f t="shared" si="62"/>
        <v>Identical</v>
      </c>
      <c r="G692" s="27">
        <f t="shared" si="63"/>
        <v>3356.130923302394</v>
      </c>
      <c r="H692" s="29">
        <v>3.77</v>
      </c>
      <c r="I692" s="29">
        <v>3.77</v>
      </c>
      <c r="J692" s="9" t="str">
        <f t="shared" si="64"/>
        <v>Identical</v>
      </c>
      <c r="K692" s="9" t="s">
        <v>539</v>
      </c>
      <c r="L692" s="9" t="s">
        <v>539</v>
      </c>
      <c r="M692" s="9" t="str">
        <f t="shared" si="65"/>
        <v>Same</v>
      </c>
      <c r="N692" s="30" t="s">
        <v>1363</v>
      </c>
      <c r="O692" s="30" t="s">
        <v>1364</v>
      </c>
    </row>
    <row r="693" spans="1:15" ht="15" customHeight="1" x14ac:dyDescent="0.2">
      <c r="A693" s="9">
        <v>688</v>
      </c>
      <c r="B693" s="27">
        <f t="shared" si="60"/>
        <v>3361.0161211529071</v>
      </c>
      <c r="C693" s="27">
        <f t="shared" si="61"/>
        <v>13565.061064973132</v>
      </c>
      <c r="D693" s="28">
        <v>13.54</v>
      </c>
      <c r="E693" s="28">
        <v>13.54</v>
      </c>
      <c r="F693" s="9" t="str">
        <f t="shared" si="62"/>
        <v>Identical</v>
      </c>
      <c r="G693" s="27">
        <f t="shared" si="63"/>
        <v>3361.0161211529071</v>
      </c>
      <c r="H693" s="29">
        <v>3.77</v>
      </c>
      <c r="I693" s="29">
        <v>3.77</v>
      </c>
      <c r="J693" s="9" t="str">
        <f t="shared" si="64"/>
        <v>Identical</v>
      </c>
      <c r="K693" s="9" t="s">
        <v>539</v>
      </c>
      <c r="L693" s="9" t="s">
        <v>539</v>
      </c>
      <c r="M693" s="9" t="str">
        <f t="shared" si="65"/>
        <v>Same</v>
      </c>
      <c r="N693" s="30" t="s">
        <v>1363</v>
      </c>
      <c r="O693" s="30" t="s">
        <v>1364</v>
      </c>
    </row>
    <row r="694" spans="1:15" ht="15" customHeight="1" x14ac:dyDescent="0.2">
      <c r="A694" s="9">
        <v>689</v>
      </c>
      <c r="B694" s="27">
        <f t="shared" si="60"/>
        <v>3365.9013190034198</v>
      </c>
      <c r="C694" s="27">
        <f t="shared" si="61"/>
        <v>13584.7777234978</v>
      </c>
      <c r="D694" s="28">
        <v>13.56</v>
      </c>
      <c r="E694" s="28">
        <v>13.56</v>
      </c>
      <c r="F694" s="9" t="str">
        <f t="shared" si="62"/>
        <v>Identical</v>
      </c>
      <c r="G694" s="27">
        <f t="shared" si="63"/>
        <v>3365.9013190034198</v>
      </c>
      <c r="H694" s="29">
        <v>3.78</v>
      </c>
      <c r="I694" s="29">
        <v>3.78</v>
      </c>
      <c r="J694" s="9" t="str">
        <f t="shared" si="64"/>
        <v>Identical</v>
      </c>
      <c r="K694" s="9" t="s">
        <v>539</v>
      </c>
      <c r="L694" s="9" t="s">
        <v>539</v>
      </c>
      <c r="M694" s="9" t="str">
        <f t="shared" si="65"/>
        <v>Same</v>
      </c>
      <c r="N694" s="30" t="s">
        <v>1365</v>
      </c>
      <c r="O694" s="30" t="s">
        <v>1366</v>
      </c>
    </row>
    <row r="695" spans="1:15" ht="15" customHeight="1" x14ac:dyDescent="0.2">
      <c r="A695" s="9">
        <v>690</v>
      </c>
      <c r="B695" s="27">
        <f t="shared" si="60"/>
        <v>3370.7865168539329</v>
      </c>
      <c r="C695" s="27">
        <f t="shared" si="61"/>
        <v>13604.494382022473</v>
      </c>
      <c r="D695" s="28">
        <v>13.58</v>
      </c>
      <c r="E695" s="28">
        <v>13.58</v>
      </c>
      <c r="F695" s="9" t="str">
        <f t="shared" si="62"/>
        <v>Identical</v>
      </c>
      <c r="G695" s="27">
        <f t="shared" si="63"/>
        <v>3370.7865168539329</v>
      </c>
      <c r="H695" s="29">
        <v>3.78</v>
      </c>
      <c r="I695" s="29">
        <v>3.78</v>
      </c>
      <c r="J695" s="9" t="str">
        <f t="shared" si="64"/>
        <v>Identical</v>
      </c>
      <c r="K695" s="9" t="s">
        <v>539</v>
      </c>
      <c r="L695" s="9" t="s">
        <v>539</v>
      </c>
      <c r="M695" s="9" t="str">
        <f t="shared" si="65"/>
        <v>Same</v>
      </c>
      <c r="N695" s="30" t="s">
        <v>1365</v>
      </c>
      <c r="O695" s="30" t="s">
        <v>1366</v>
      </c>
    </row>
    <row r="696" spans="1:15" ht="15" customHeight="1" x14ac:dyDescent="0.2">
      <c r="A696" s="9">
        <v>691</v>
      </c>
      <c r="B696" s="27">
        <f t="shared" si="60"/>
        <v>3375.671714704446</v>
      </c>
      <c r="C696" s="27">
        <f t="shared" si="61"/>
        <v>13624.211040547143</v>
      </c>
      <c r="D696" s="28">
        <v>13.6</v>
      </c>
      <c r="E696" s="28">
        <v>13.6</v>
      </c>
      <c r="F696" s="9" t="str">
        <f t="shared" si="62"/>
        <v>Identical</v>
      </c>
      <c r="G696" s="27">
        <f t="shared" si="63"/>
        <v>3375.671714704446</v>
      </c>
      <c r="H696" s="29">
        <v>3.79</v>
      </c>
      <c r="I696" s="29">
        <v>3.79</v>
      </c>
      <c r="J696" s="9" t="str">
        <f t="shared" si="64"/>
        <v>Identical</v>
      </c>
      <c r="K696" s="9" t="s">
        <v>539</v>
      </c>
      <c r="L696" s="9" t="s">
        <v>539</v>
      </c>
      <c r="M696" s="9" t="str">
        <f t="shared" si="65"/>
        <v>Same</v>
      </c>
      <c r="N696" s="30" t="s">
        <v>1367</v>
      </c>
      <c r="O696" s="30" t="s">
        <v>1368</v>
      </c>
    </row>
    <row r="697" spans="1:15" ht="15" customHeight="1" x14ac:dyDescent="0.2">
      <c r="A697" s="9">
        <v>692</v>
      </c>
      <c r="B697" s="27">
        <f t="shared" si="60"/>
        <v>3380.5569125549587</v>
      </c>
      <c r="C697" s="27">
        <f t="shared" si="61"/>
        <v>13643.927699071812</v>
      </c>
      <c r="D697" s="28">
        <v>13.62</v>
      </c>
      <c r="E697" s="28">
        <v>13.62</v>
      </c>
      <c r="F697" s="9" t="str">
        <f t="shared" si="62"/>
        <v>Identical</v>
      </c>
      <c r="G697" s="27">
        <f t="shared" si="63"/>
        <v>3380.5569125549587</v>
      </c>
      <c r="H697" s="29">
        <v>3.79</v>
      </c>
      <c r="I697" s="29">
        <v>3.8</v>
      </c>
      <c r="J697" s="9" t="str">
        <f t="shared" si="64"/>
        <v>+0.01 A (nearest step)</v>
      </c>
      <c r="K697" s="9" t="s">
        <v>539</v>
      </c>
      <c r="L697" s="9" t="s">
        <v>539</v>
      </c>
      <c r="M697" s="9" t="str">
        <f t="shared" si="65"/>
        <v>Same</v>
      </c>
      <c r="N697" s="30" t="s">
        <v>1367</v>
      </c>
      <c r="O697" s="30" t="s">
        <v>1369</v>
      </c>
    </row>
    <row r="698" spans="1:15" ht="15" customHeight="1" x14ac:dyDescent="0.2">
      <c r="A698" s="9">
        <v>693</v>
      </c>
      <c r="B698" s="27">
        <f t="shared" si="60"/>
        <v>3385.4421104054718</v>
      </c>
      <c r="C698" s="27">
        <f t="shared" si="61"/>
        <v>13663.644357596482</v>
      </c>
      <c r="D698" s="28">
        <v>13.64</v>
      </c>
      <c r="E698" s="28">
        <v>13.64</v>
      </c>
      <c r="F698" s="9" t="str">
        <f t="shared" si="62"/>
        <v>Identical</v>
      </c>
      <c r="G698" s="27">
        <f t="shared" si="63"/>
        <v>3385.4421104054718</v>
      </c>
      <c r="H698" s="29">
        <v>3.8</v>
      </c>
      <c r="I698" s="29">
        <v>3.8</v>
      </c>
      <c r="J698" s="9" t="str">
        <f t="shared" si="64"/>
        <v>Identical</v>
      </c>
      <c r="K698" s="9" t="s">
        <v>539</v>
      </c>
      <c r="L698" s="9" t="s">
        <v>539</v>
      </c>
      <c r="M698" s="9" t="str">
        <f t="shared" si="65"/>
        <v>Same</v>
      </c>
      <c r="N698" s="30" t="s">
        <v>1370</v>
      </c>
      <c r="O698" s="30" t="s">
        <v>1369</v>
      </c>
    </row>
    <row r="699" spans="1:15" ht="15" customHeight="1" x14ac:dyDescent="0.2">
      <c r="A699" s="9">
        <v>694</v>
      </c>
      <c r="B699" s="27">
        <f t="shared" si="60"/>
        <v>3390.3273082559845</v>
      </c>
      <c r="C699" s="27">
        <f t="shared" si="61"/>
        <v>13683.361016121153</v>
      </c>
      <c r="D699" s="28">
        <v>13.66</v>
      </c>
      <c r="E699" s="28">
        <v>13.66</v>
      </c>
      <c r="F699" s="9" t="str">
        <f t="shared" si="62"/>
        <v>Identical</v>
      </c>
      <c r="G699" s="27">
        <f t="shared" si="63"/>
        <v>3390.3273082559845</v>
      </c>
      <c r="H699" s="29">
        <v>3.81</v>
      </c>
      <c r="I699" s="29">
        <v>3.81</v>
      </c>
      <c r="J699" s="9" t="str">
        <f t="shared" si="64"/>
        <v>Identical</v>
      </c>
      <c r="K699" s="9" t="s">
        <v>539</v>
      </c>
      <c r="L699" s="9" t="s">
        <v>539</v>
      </c>
      <c r="M699" s="9" t="str">
        <f t="shared" si="65"/>
        <v>Same</v>
      </c>
      <c r="N699" s="30" t="s">
        <v>1371</v>
      </c>
      <c r="O699" s="30" t="s">
        <v>1372</v>
      </c>
    </row>
    <row r="700" spans="1:15" ht="15" customHeight="1" x14ac:dyDescent="0.2">
      <c r="A700" s="9">
        <v>695</v>
      </c>
      <c r="B700" s="27">
        <f t="shared" si="60"/>
        <v>3395.2125061064976</v>
      </c>
      <c r="C700" s="27">
        <f t="shared" si="61"/>
        <v>13703.077674645823</v>
      </c>
      <c r="D700" s="28">
        <v>13.68</v>
      </c>
      <c r="E700" s="28">
        <v>13.68</v>
      </c>
      <c r="F700" s="9" t="str">
        <f t="shared" si="62"/>
        <v>Identical</v>
      </c>
      <c r="G700" s="27">
        <f t="shared" si="63"/>
        <v>3395.2125061064976</v>
      </c>
      <c r="H700" s="29">
        <v>3.81</v>
      </c>
      <c r="I700" s="29">
        <v>3.81</v>
      </c>
      <c r="J700" s="9" t="str">
        <f t="shared" si="64"/>
        <v>Identical</v>
      </c>
      <c r="K700" s="9" t="s">
        <v>539</v>
      </c>
      <c r="L700" s="9" t="s">
        <v>539</v>
      </c>
      <c r="M700" s="9" t="str">
        <f t="shared" si="65"/>
        <v>Same</v>
      </c>
      <c r="N700" s="30" t="s">
        <v>1371</v>
      </c>
      <c r="O700" s="30" t="s">
        <v>1372</v>
      </c>
    </row>
    <row r="701" spans="1:15" ht="15" customHeight="1" x14ac:dyDescent="0.2">
      <c r="A701" s="9">
        <v>696</v>
      </c>
      <c r="B701" s="27">
        <f t="shared" si="60"/>
        <v>3400.0977039570107</v>
      </c>
      <c r="C701" s="27">
        <f t="shared" si="61"/>
        <v>13722.794333170494</v>
      </c>
      <c r="D701" s="28">
        <v>13.7</v>
      </c>
      <c r="E701" s="28">
        <v>13.7</v>
      </c>
      <c r="F701" s="9" t="str">
        <f t="shared" si="62"/>
        <v>Identical</v>
      </c>
      <c r="G701" s="27">
        <f t="shared" si="63"/>
        <v>3400.0977039570107</v>
      </c>
      <c r="H701" s="29">
        <v>3.82</v>
      </c>
      <c r="I701" s="29">
        <v>3.82</v>
      </c>
      <c r="J701" s="9" t="str">
        <f t="shared" si="64"/>
        <v>Identical</v>
      </c>
      <c r="K701" s="9" t="s">
        <v>539</v>
      </c>
      <c r="L701" s="9" t="s">
        <v>539</v>
      </c>
      <c r="M701" s="9" t="str">
        <f t="shared" si="65"/>
        <v>Same</v>
      </c>
      <c r="N701" s="30" t="s">
        <v>1373</v>
      </c>
      <c r="O701" s="30" t="s">
        <v>1374</v>
      </c>
    </row>
    <row r="702" spans="1:15" ht="15" customHeight="1" x14ac:dyDescent="0.2">
      <c r="A702" s="9">
        <v>697</v>
      </c>
      <c r="B702" s="27">
        <f t="shared" si="60"/>
        <v>3404.9829018075234</v>
      </c>
      <c r="C702" s="27">
        <f t="shared" si="61"/>
        <v>13742.510991695162</v>
      </c>
      <c r="D702" s="28">
        <v>13.72</v>
      </c>
      <c r="E702" s="28">
        <v>13.72</v>
      </c>
      <c r="F702" s="9" t="str">
        <f t="shared" si="62"/>
        <v>Identical</v>
      </c>
      <c r="G702" s="27">
        <f t="shared" si="63"/>
        <v>3404.9829018075234</v>
      </c>
      <c r="H702" s="29">
        <v>3.82</v>
      </c>
      <c r="I702" s="29">
        <v>3.82</v>
      </c>
      <c r="J702" s="9" t="str">
        <f t="shared" si="64"/>
        <v>Identical</v>
      </c>
      <c r="K702" s="9" t="s">
        <v>539</v>
      </c>
      <c r="L702" s="9" t="s">
        <v>539</v>
      </c>
      <c r="M702" s="9" t="str">
        <f t="shared" si="65"/>
        <v>Same</v>
      </c>
      <c r="N702" s="30" t="s">
        <v>1373</v>
      </c>
      <c r="O702" s="30" t="s">
        <v>1374</v>
      </c>
    </row>
    <row r="703" spans="1:15" ht="15" customHeight="1" x14ac:dyDescent="0.2">
      <c r="A703" s="9">
        <v>698</v>
      </c>
      <c r="B703" s="27">
        <f t="shared" si="60"/>
        <v>3409.8680996580365</v>
      </c>
      <c r="C703" s="27">
        <f t="shared" si="61"/>
        <v>13762.227650219835</v>
      </c>
      <c r="D703" s="28">
        <v>13.74</v>
      </c>
      <c r="E703" s="28">
        <v>13.74</v>
      </c>
      <c r="F703" s="9" t="str">
        <f t="shared" si="62"/>
        <v>Identical</v>
      </c>
      <c r="G703" s="27">
        <f t="shared" si="63"/>
        <v>3409.8680996580365</v>
      </c>
      <c r="H703" s="29">
        <v>3.83</v>
      </c>
      <c r="I703" s="29">
        <v>3.83</v>
      </c>
      <c r="J703" s="9" t="str">
        <f t="shared" si="64"/>
        <v>Identical</v>
      </c>
      <c r="K703" s="9" t="s">
        <v>539</v>
      </c>
      <c r="L703" s="9" t="s">
        <v>539</v>
      </c>
      <c r="M703" s="9" t="str">
        <f t="shared" si="65"/>
        <v>Same</v>
      </c>
      <c r="N703" s="30" t="s">
        <v>1375</v>
      </c>
      <c r="O703" s="30" t="s">
        <v>1376</v>
      </c>
    </row>
    <row r="704" spans="1:15" ht="15" customHeight="1" x14ac:dyDescent="0.2">
      <c r="A704" s="9">
        <v>699</v>
      </c>
      <c r="B704" s="27">
        <f t="shared" si="60"/>
        <v>3414.7532975085496</v>
      </c>
      <c r="C704" s="27">
        <f t="shared" si="61"/>
        <v>13781.944308744505</v>
      </c>
      <c r="D704" s="28">
        <v>13.76</v>
      </c>
      <c r="E704" s="28">
        <v>13.75</v>
      </c>
      <c r="F704" s="9" t="str">
        <f t="shared" si="62"/>
        <v>Within 10 mV (calibration line)</v>
      </c>
      <c r="G704" s="27">
        <f t="shared" si="63"/>
        <v>3414.7532975085496</v>
      </c>
      <c r="H704" s="29">
        <v>3.83</v>
      </c>
      <c r="I704" s="29">
        <v>3.83</v>
      </c>
      <c r="J704" s="9" t="str">
        <f t="shared" si="64"/>
        <v>Identical</v>
      </c>
      <c r="K704" s="9" t="s">
        <v>539</v>
      </c>
      <c r="L704" s="9" t="s">
        <v>539</v>
      </c>
      <c r="M704" s="9" t="str">
        <f t="shared" si="65"/>
        <v>Same</v>
      </c>
      <c r="N704" s="30" t="s">
        <v>1375</v>
      </c>
      <c r="O704" s="30" t="s">
        <v>1376</v>
      </c>
    </row>
    <row r="705" spans="1:15" ht="15" customHeight="1" x14ac:dyDescent="0.2">
      <c r="A705" s="9">
        <v>700</v>
      </c>
      <c r="B705" s="27">
        <f t="shared" si="60"/>
        <v>3419.6384953590623</v>
      </c>
      <c r="C705" s="27">
        <f t="shared" si="61"/>
        <v>13801.660967269174</v>
      </c>
      <c r="D705" s="28">
        <v>13.78</v>
      </c>
      <c r="E705" s="28">
        <v>13.77</v>
      </c>
      <c r="F705" s="9" t="str">
        <f t="shared" si="62"/>
        <v>Within 10 mV (calibration line)</v>
      </c>
      <c r="G705" s="27">
        <f t="shared" si="63"/>
        <v>3419.6384953590623</v>
      </c>
      <c r="H705" s="29">
        <v>3.84</v>
      </c>
      <c r="I705" s="29">
        <v>3.84</v>
      </c>
      <c r="J705" s="9" t="str">
        <f t="shared" si="64"/>
        <v>Identical</v>
      </c>
      <c r="K705" s="9" t="s">
        <v>539</v>
      </c>
      <c r="L705" s="9" t="s">
        <v>539</v>
      </c>
      <c r="M705" s="9" t="str">
        <f t="shared" si="65"/>
        <v>Same</v>
      </c>
      <c r="N705" s="30" t="s">
        <v>1377</v>
      </c>
      <c r="O705" s="30" t="s">
        <v>1378</v>
      </c>
    </row>
    <row r="706" spans="1:15" ht="15" customHeight="1" x14ac:dyDescent="0.2">
      <c r="A706" s="9">
        <v>701</v>
      </c>
      <c r="B706" s="27">
        <f t="shared" si="60"/>
        <v>3424.5236932095754</v>
      </c>
      <c r="C706" s="27">
        <f t="shared" si="61"/>
        <v>13821.377625793844</v>
      </c>
      <c r="D706" s="28">
        <v>13.8</v>
      </c>
      <c r="E706" s="28">
        <v>13.79</v>
      </c>
      <c r="F706" s="9" t="str">
        <f t="shared" si="62"/>
        <v>Within 10 mV (calibration line)</v>
      </c>
      <c r="G706" s="27">
        <f t="shared" si="63"/>
        <v>3424.5236932095754</v>
      </c>
      <c r="H706" s="29">
        <v>3.84</v>
      </c>
      <c r="I706" s="29">
        <v>3.84</v>
      </c>
      <c r="J706" s="9" t="str">
        <f t="shared" si="64"/>
        <v>Identical</v>
      </c>
      <c r="K706" s="9" t="s">
        <v>539</v>
      </c>
      <c r="L706" s="9" t="s">
        <v>539</v>
      </c>
      <c r="M706" s="9" t="str">
        <f t="shared" si="65"/>
        <v>Same</v>
      </c>
      <c r="N706" s="30" t="s">
        <v>1377</v>
      </c>
      <c r="O706" s="30" t="s">
        <v>1378</v>
      </c>
    </row>
    <row r="707" spans="1:15" ht="15" customHeight="1" x14ac:dyDescent="0.2">
      <c r="A707" s="9">
        <v>702</v>
      </c>
      <c r="B707" s="27">
        <f t="shared" si="60"/>
        <v>3429.4088910600881</v>
      </c>
      <c r="C707" s="27">
        <f t="shared" si="61"/>
        <v>13841.094284318515</v>
      </c>
      <c r="D707" s="28">
        <v>13.82</v>
      </c>
      <c r="E707" s="28">
        <v>13.81</v>
      </c>
      <c r="F707" s="9" t="str">
        <f t="shared" si="62"/>
        <v>Within 10 mV (calibration line)</v>
      </c>
      <c r="G707" s="27">
        <f t="shared" si="63"/>
        <v>3429.4088910600881</v>
      </c>
      <c r="H707" s="29">
        <v>3.85</v>
      </c>
      <c r="I707" s="29">
        <v>3.85</v>
      </c>
      <c r="J707" s="9" t="str">
        <f t="shared" si="64"/>
        <v>Identical</v>
      </c>
      <c r="K707" s="9" t="s">
        <v>539</v>
      </c>
      <c r="L707" s="9" t="s">
        <v>539</v>
      </c>
      <c r="M707" s="9" t="str">
        <f t="shared" si="65"/>
        <v>Same</v>
      </c>
      <c r="N707" s="30" t="s">
        <v>1379</v>
      </c>
      <c r="O707" s="30" t="s">
        <v>1380</v>
      </c>
    </row>
    <row r="708" spans="1:15" ht="15" customHeight="1" x14ac:dyDescent="0.2">
      <c r="A708" s="9">
        <v>703</v>
      </c>
      <c r="B708" s="27">
        <f t="shared" si="60"/>
        <v>3434.2940889106012</v>
      </c>
      <c r="C708" s="27">
        <f t="shared" si="61"/>
        <v>13860.810942843185</v>
      </c>
      <c r="D708" s="28">
        <v>13.84</v>
      </c>
      <c r="E708" s="28">
        <v>13.83</v>
      </c>
      <c r="F708" s="9" t="str">
        <f t="shared" si="62"/>
        <v>Within 10 mV (calibration line)</v>
      </c>
      <c r="G708" s="27">
        <f t="shared" si="63"/>
        <v>3434.2940889106012</v>
      </c>
      <c r="H708" s="29">
        <v>3.86</v>
      </c>
      <c r="I708" s="29">
        <v>3.86</v>
      </c>
      <c r="J708" s="9" t="str">
        <f t="shared" si="64"/>
        <v>Identical</v>
      </c>
      <c r="K708" s="9" t="s">
        <v>539</v>
      </c>
      <c r="L708" s="9" t="s">
        <v>539</v>
      </c>
      <c r="M708" s="9" t="str">
        <f t="shared" si="65"/>
        <v>Same</v>
      </c>
      <c r="N708" s="30" t="s">
        <v>1381</v>
      </c>
      <c r="O708" s="30" t="s">
        <v>1382</v>
      </c>
    </row>
    <row r="709" spans="1:15" ht="15" customHeight="1" x14ac:dyDescent="0.2">
      <c r="A709" s="9">
        <v>704</v>
      </c>
      <c r="B709" s="27">
        <f t="shared" ref="B709:B772" si="66">A709/$C$3*1000</f>
        <v>3439.1792867611143</v>
      </c>
      <c r="C709" s="27">
        <f t="shared" ref="C709:C772" si="67">B709*$F$3</f>
        <v>13880.527601367856</v>
      </c>
      <c r="D709" s="28">
        <v>13.86</v>
      </c>
      <c r="E709" s="28">
        <v>13.85</v>
      </c>
      <c r="F709" s="9" t="str">
        <f t="shared" ref="F709:F772" si="68">IF(D709=E709,"Identical",IF(E709="OL","ADC full scale: now OL",IF(ABS(E709-D709)&lt;0.0105,"Within 10 mV (calibration line)",IF(AND(C709&lt;4200,ABS(E709-D709)&lt;0.0205),"-20 mV (end of old +30 mV band)",IF(C709&lt;830,"Low range fixed (F-02)","Different")))))</f>
        <v>Within 10 mV (calibration line)</v>
      </c>
      <c r="G709" s="27">
        <f t="shared" ref="G709:G772" si="69">B709</f>
        <v>3439.1792867611143</v>
      </c>
      <c r="H709" s="29">
        <v>3.86</v>
      </c>
      <c r="I709" s="29">
        <v>3.86</v>
      </c>
      <c r="J709" s="9" t="str">
        <f t="shared" ref="J709:J772" si="70">IF(H709=I709,"Identical",IF(I709="OL","Above 5.00 A: now OL",IF(H709="ERR (999.23)","Gap bug fixed",IF(ABS(I709-H709-0.01)&lt;0.0001,"+0.01 A (nearest step)","Different"))))</f>
        <v>Identical</v>
      </c>
      <c r="K709" s="9" t="s">
        <v>539</v>
      </c>
      <c r="L709" s="9" t="s">
        <v>539</v>
      </c>
      <c r="M709" s="9" t="str">
        <f t="shared" ref="M709:M772" si="71">IF(K709=L709,"Same","Different")</f>
        <v>Same</v>
      </c>
      <c r="N709" s="30" t="s">
        <v>1381</v>
      </c>
      <c r="O709" s="30" t="s">
        <v>1382</v>
      </c>
    </row>
    <row r="710" spans="1:15" ht="15" customHeight="1" x14ac:dyDescent="0.2">
      <c r="A710" s="9">
        <v>705</v>
      </c>
      <c r="B710" s="27">
        <f t="shared" si="66"/>
        <v>3444.064484611627</v>
      </c>
      <c r="C710" s="27">
        <f t="shared" si="67"/>
        <v>13900.244259892524</v>
      </c>
      <c r="D710" s="28">
        <v>13.88</v>
      </c>
      <c r="E710" s="28">
        <v>13.87</v>
      </c>
      <c r="F710" s="9" t="str">
        <f t="shared" si="68"/>
        <v>Within 10 mV (calibration line)</v>
      </c>
      <c r="G710" s="27">
        <f t="shared" si="69"/>
        <v>3444.064484611627</v>
      </c>
      <c r="H710" s="29">
        <v>3.87</v>
      </c>
      <c r="I710" s="29">
        <v>3.87</v>
      </c>
      <c r="J710" s="9" t="str">
        <f t="shared" si="70"/>
        <v>Identical</v>
      </c>
      <c r="K710" s="9" t="s">
        <v>539</v>
      </c>
      <c r="L710" s="9" t="s">
        <v>539</v>
      </c>
      <c r="M710" s="9" t="str">
        <f t="shared" si="71"/>
        <v>Same</v>
      </c>
      <c r="N710" s="30" t="s">
        <v>1383</v>
      </c>
      <c r="O710" s="30" t="s">
        <v>1384</v>
      </c>
    </row>
    <row r="711" spans="1:15" ht="15" customHeight="1" x14ac:dyDescent="0.2">
      <c r="A711" s="9">
        <v>706</v>
      </c>
      <c r="B711" s="27">
        <f t="shared" si="66"/>
        <v>3448.9496824621401</v>
      </c>
      <c r="C711" s="27">
        <f t="shared" si="67"/>
        <v>13919.960918417197</v>
      </c>
      <c r="D711" s="28">
        <v>13.89</v>
      </c>
      <c r="E711" s="28">
        <v>13.89</v>
      </c>
      <c r="F711" s="9" t="str">
        <f t="shared" si="68"/>
        <v>Identical</v>
      </c>
      <c r="G711" s="27">
        <f t="shared" si="69"/>
        <v>3448.9496824621401</v>
      </c>
      <c r="H711" s="29">
        <v>3.87</v>
      </c>
      <c r="I711" s="29">
        <v>3.87</v>
      </c>
      <c r="J711" s="9" t="str">
        <f t="shared" si="70"/>
        <v>Identical</v>
      </c>
      <c r="K711" s="9" t="s">
        <v>539</v>
      </c>
      <c r="L711" s="9" t="s">
        <v>539</v>
      </c>
      <c r="M711" s="9" t="str">
        <f t="shared" si="71"/>
        <v>Same</v>
      </c>
      <c r="N711" s="30" t="s">
        <v>1383</v>
      </c>
      <c r="O711" s="30" t="s">
        <v>1384</v>
      </c>
    </row>
    <row r="712" spans="1:15" ht="15" customHeight="1" x14ac:dyDescent="0.2">
      <c r="A712" s="9">
        <v>707</v>
      </c>
      <c r="B712" s="27">
        <f t="shared" si="66"/>
        <v>3453.8348803126532</v>
      </c>
      <c r="C712" s="27">
        <f t="shared" si="67"/>
        <v>13939.677576941867</v>
      </c>
      <c r="D712" s="28">
        <v>13.91</v>
      </c>
      <c r="E712" s="28">
        <v>13.91</v>
      </c>
      <c r="F712" s="9" t="str">
        <f t="shared" si="68"/>
        <v>Identical</v>
      </c>
      <c r="G712" s="27">
        <f t="shared" si="69"/>
        <v>3453.8348803126532</v>
      </c>
      <c r="H712" s="29">
        <v>3.88</v>
      </c>
      <c r="I712" s="29">
        <v>3.88</v>
      </c>
      <c r="J712" s="9" t="str">
        <f t="shared" si="70"/>
        <v>Identical</v>
      </c>
      <c r="K712" s="9" t="s">
        <v>539</v>
      </c>
      <c r="L712" s="9" t="s">
        <v>539</v>
      </c>
      <c r="M712" s="9" t="str">
        <f t="shared" si="71"/>
        <v>Same</v>
      </c>
      <c r="N712" s="30" t="s">
        <v>1385</v>
      </c>
      <c r="O712" s="30" t="s">
        <v>1386</v>
      </c>
    </row>
    <row r="713" spans="1:15" ht="15" customHeight="1" x14ac:dyDescent="0.2">
      <c r="A713" s="9">
        <v>708</v>
      </c>
      <c r="B713" s="27">
        <f t="shared" si="66"/>
        <v>3458.7200781631659</v>
      </c>
      <c r="C713" s="27">
        <f t="shared" si="67"/>
        <v>13959.394235466536</v>
      </c>
      <c r="D713" s="28">
        <v>13.93</v>
      </c>
      <c r="E713" s="28">
        <v>13.93</v>
      </c>
      <c r="F713" s="9" t="str">
        <f t="shared" si="68"/>
        <v>Identical</v>
      </c>
      <c r="G713" s="27">
        <f t="shared" si="69"/>
        <v>3458.7200781631659</v>
      </c>
      <c r="H713" s="29">
        <v>3.88</v>
      </c>
      <c r="I713" s="29">
        <v>3.88</v>
      </c>
      <c r="J713" s="9" t="str">
        <f t="shared" si="70"/>
        <v>Identical</v>
      </c>
      <c r="K713" s="9" t="s">
        <v>539</v>
      </c>
      <c r="L713" s="9" t="s">
        <v>539</v>
      </c>
      <c r="M713" s="9" t="str">
        <f t="shared" si="71"/>
        <v>Same</v>
      </c>
      <c r="N713" s="30" t="s">
        <v>1385</v>
      </c>
      <c r="O713" s="30" t="s">
        <v>1386</v>
      </c>
    </row>
    <row r="714" spans="1:15" ht="15" customHeight="1" x14ac:dyDescent="0.2">
      <c r="A714" s="9">
        <v>709</v>
      </c>
      <c r="B714" s="27">
        <f t="shared" si="66"/>
        <v>3463.605276013679</v>
      </c>
      <c r="C714" s="27">
        <f t="shared" si="67"/>
        <v>13979.110893991206</v>
      </c>
      <c r="D714" s="28">
        <v>13.95</v>
      </c>
      <c r="E714" s="28">
        <v>13.95</v>
      </c>
      <c r="F714" s="9" t="str">
        <f t="shared" si="68"/>
        <v>Identical</v>
      </c>
      <c r="G714" s="27">
        <f t="shared" si="69"/>
        <v>3463.605276013679</v>
      </c>
      <c r="H714" s="29">
        <v>3.89</v>
      </c>
      <c r="I714" s="29">
        <v>3.89</v>
      </c>
      <c r="J714" s="9" t="str">
        <f t="shared" si="70"/>
        <v>Identical</v>
      </c>
      <c r="K714" s="9" t="s">
        <v>539</v>
      </c>
      <c r="L714" s="9" t="s">
        <v>539</v>
      </c>
      <c r="M714" s="9" t="str">
        <f t="shared" si="71"/>
        <v>Same</v>
      </c>
      <c r="N714" s="30" t="s">
        <v>1387</v>
      </c>
      <c r="O714" s="30" t="s">
        <v>1388</v>
      </c>
    </row>
    <row r="715" spans="1:15" ht="15" customHeight="1" x14ac:dyDescent="0.2">
      <c r="A715" s="9">
        <v>710</v>
      </c>
      <c r="B715" s="27">
        <f t="shared" si="66"/>
        <v>3468.4904738641917</v>
      </c>
      <c r="C715" s="27">
        <f t="shared" si="67"/>
        <v>13998.827552515877</v>
      </c>
      <c r="D715" s="28">
        <v>13.97</v>
      </c>
      <c r="E715" s="28">
        <v>13.97</v>
      </c>
      <c r="F715" s="9" t="str">
        <f t="shared" si="68"/>
        <v>Identical</v>
      </c>
      <c r="G715" s="27">
        <f t="shared" si="69"/>
        <v>3468.4904738641917</v>
      </c>
      <c r="H715" s="29">
        <v>3.89</v>
      </c>
      <c r="I715" s="29">
        <v>3.89</v>
      </c>
      <c r="J715" s="9" t="str">
        <f t="shared" si="70"/>
        <v>Identical</v>
      </c>
      <c r="K715" s="9" t="s">
        <v>539</v>
      </c>
      <c r="L715" s="9" t="s">
        <v>539</v>
      </c>
      <c r="M715" s="9" t="str">
        <f t="shared" si="71"/>
        <v>Same</v>
      </c>
      <c r="N715" s="30" t="s">
        <v>1387</v>
      </c>
      <c r="O715" s="30" t="s">
        <v>1388</v>
      </c>
    </row>
    <row r="716" spans="1:15" ht="15" customHeight="1" x14ac:dyDescent="0.2">
      <c r="A716" s="9">
        <v>711</v>
      </c>
      <c r="B716" s="27">
        <f t="shared" si="66"/>
        <v>3473.3756717147048</v>
      </c>
      <c r="C716" s="27">
        <f t="shared" si="67"/>
        <v>14018.544211040547</v>
      </c>
      <c r="D716" s="28">
        <v>13.99</v>
      </c>
      <c r="E716" s="28">
        <v>13.99</v>
      </c>
      <c r="F716" s="9" t="str">
        <f t="shared" si="68"/>
        <v>Identical</v>
      </c>
      <c r="G716" s="27">
        <f t="shared" si="69"/>
        <v>3473.3756717147048</v>
      </c>
      <c r="H716" s="29">
        <v>3.9</v>
      </c>
      <c r="I716" s="29">
        <v>3.9</v>
      </c>
      <c r="J716" s="9" t="str">
        <f t="shared" si="70"/>
        <v>Identical</v>
      </c>
      <c r="K716" s="9" t="s">
        <v>539</v>
      </c>
      <c r="L716" s="9" t="s">
        <v>539</v>
      </c>
      <c r="M716" s="9" t="str">
        <f t="shared" si="71"/>
        <v>Same</v>
      </c>
      <c r="N716" s="30" t="s">
        <v>1389</v>
      </c>
      <c r="O716" s="30" t="s">
        <v>1390</v>
      </c>
    </row>
    <row r="717" spans="1:15" ht="15" customHeight="1" x14ac:dyDescent="0.2">
      <c r="A717" s="9">
        <v>712</v>
      </c>
      <c r="B717" s="27">
        <f t="shared" si="66"/>
        <v>3478.2608695652179</v>
      </c>
      <c r="C717" s="27">
        <f t="shared" si="67"/>
        <v>14038.260869565218</v>
      </c>
      <c r="D717" s="28">
        <v>14.01</v>
      </c>
      <c r="E717" s="28">
        <v>14.01</v>
      </c>
      <c r="F717" s="9" t="str">
        <f t="shared" si="68"/>
        <v>Identical</v>
      </c>
      <c r="G717" s="27">
        <f t="shared" si="69"/>
        <v>3478.2608695652179</v>
      </c>
      <c r="H717" s="29">
        <v>3.9</v>
      </c>
      <c r="I717" s="29">
        <v>3.9</v>
      </c>
      <c r="J717" s="9" t="str">
        <f t="shared" si="70"/>
        <v>Identical</v>
      </c>
      <c r="K717" s="9" t="s">
        <v>539</v>
      </c>
      <c r="L717" s="9" t="s">
        <v>539</v>
      </c>
      <c r="M717" s="9" t="str">
        <f t="shared" si="71"/>
        <v>Same</v>
      </c>
      <c r="N717" s="30" t="s">
        <v>1389</v>
      </c>
      <c r="O717" s="30" t="s">
        <v>1390</v>
      </c>
    </row>
    <row r="718" spans="1:15" ht="15" customHeight="1" x14ac:dyDescent="0.2">
      <c r="A718" s="9">
        <v>713</v>
      </c>
      <c r="B718" s="27">
        <f t="shared" si="66"/>
        <v>3483.1460674157306</v>
      </c>
      <c r="C718" s="27">
        <f t="shared" si="67"/>
        <v>14057.977528089887</v>
      </c>
      <c r="D718" s="28">
        <v>14.03</v>
      </c>
      <c r="E718" s="28">
        <v>14.03</v>
      </c>
      <c r="F718" s="9" t="str">
        <f t="shared" si="68"/>
        <v>Identical</v>
      </c>
      <c r="G718" s="27">
        <f t="shared" si="69"/>
        <v>3483.1460674157306</v>
      </c>
      <c r="H718" s="29">
        <v>3.91</v>
      </c>
      <c r="I718" s="29">
        <v>3.91</v>
      </c>
      <c r="J718" s="9" t="str">
        <f t="shared" si="70"/>
        <v>Identical</v>
      </c>
      <c r="K718" s="9" t="s">
        <v>539</v>
      </c>
      <c r="L718" s="9" t="s">
        <v>539</v>
      </c>
      <c r="M718" s="9" t="str">
        <f t="shared" si="71"/>
        <v>Same</v>
      </c>
      <c r="N718" s="30" t="s">
        <v>1391</v>
      </c>
      <c r="O718" s="30" t="s">
        <v>1392</v>
      </c>
    </row>
    <row r="719" spans="1:15" ht="15" customHeight="1" x14ac:dyDescent="0.2">
      <c r="A719" s="9">
        <v>714</v>
      </c>
      <c r="B719" s="27">
        <f t="shared" si="66"/>
        <v>3488.0312652662437</v>
      </c>
      <c r="C719" s="27">
        <f t="shared" si="67"/>
        <v>14077.694186614559</v>
      </c>
      <c r="D719" s="28">
        <v>14.05</v>
      </c>
      <c r="E719" s="28">
        <v>14.05</v>
      </c>
      <c r="F719" s="9" t="str">
        <f t="shared" si="68"/>
        <v>Identical</v>
      </c>
      <c r="G719" s="27">
        <f t="shared" si="69"/>
        <v>3488.0312652662437</v>
      </c>
      <c r="H719" s="29">
        <v>3.92</v>
      </c>
      <c r="I719" s="29">
        <v>3.92</v>
      </c>
      <c r="J719" s="9" t="str">
        <f t="shared" si="70"/>
        <v>Identical</v>
      </c>
      <c r="K719" s="9" t="s">
        <v>539</v>
      </c>
      <c r="L719" s="9" t="s">
        <v>539</v>
      </c>
      <c r="M719" s="9" t="str">
        <f t="shared" si="71"/>
        <v>Same</v>
      </c>
      <c r="N719" s="30" t="s">
        <v>1393</v>
      </c>
      <c r="O719" s="30" t="s">
        <v>1394</v>
      </c>
    </row>
    <row r="720" spans="1:15" ht="15" customHeight="1" x14ac:dyDescent="0.2">
      <c r="A720" s="9">
        <v>715</v>
      </c>
      <c r="B720" s="27">
        <f t="shared" si="66"/>
        <v>3492.9164631167569</v>
      </c>
      <c r="C720" s="27">
        <f t="shared" si="67"/>
        <v>14097.410845139229</v>
      </c>
      <c r="D720" s="28">
        <v>14.07</v>
      </c>
      <c r="E720" s="28">
        <v>14.07</v>
      </c>
      <c r="F720" s="9" t="str">
        <f t="shared" si="68"/>
        <v>Identical</v>
      </c>
      <c r="G720" s="27">
        <f t="shared" si="69"/>
        <v>3492.9164631167569</v>
      </c>
      <c r="H720" s="29">
        <v>3.92</v>
      </c>
      <c r="I720" s="29">
        <v>3.92</v>
      </c>
      <c r="J720" s="9" t="str">
        <f t="shared" si="70"/>
        <v>Identical</v>
      </c>
      <c r="K720" s="9" t="s">
        <v>539</v>
      </c>
      <c r="L720" s="9" t="s">
        <v>539</v>
      </c>
      <c r="M720" s="9" t="str">
        <f t="shared" si="71"/>
        <v>Same</v>
      </c>
      <c r="N720" s="30" t="s">
        <v>1393</v>
      </c>
      <c r="O720" s="30" t="s">
        <v>1394</v>
      </c>
    </row>
    <row r="721" spans="1:15" ht="15" customHeight="1" x14ac:dyDescent="0.2">
      <c r="A721" s="9">
        <v>716</v>
      </c>
      <c r="B721" s="27">
        <f t="shared" si="66"/>
        <v>3497.8016609672695</v>
      </c>
      <c r="C721" s="27">
        <f t="shared" si="67"/>
        <v>14117.127503663898</v>
      </c>
      <c r="D721" s="28">
        <v>14.09</v>
      </c>
      <c r="E721" s="28">
        <v>14.09</v>
      </c>
      <c r="F721" s="9" t="str">
        <f t="shared" si="68"/>
        <v>Identical</v>
      </c>
      <c r="G721" s="27">
        <f t="shared" si="69"/>
        <v>3497.8016609672695</v>
      </c>
      <c r="H721" s="29">
        <v>3.93</v>
      </c>
      <c r="I721" s="29">
        <v>3.93</v>
      </c>
      <c r="J721" s="9" t="str">
        <f t="shared" si="70"/>
        <v>Identical</v>
      </c>
      <c r="K721" s="9" t="s">
        <v>539</v>
      </c>
      <c r="L721" s="9" t="s">
        <v>539</v>
      </c>
      <c r="M721" s="9" t="str">
        <f t="shared" si="71"/>
        <v>Same</v>
      </c>
      <c r="N721" s="30" t="s">
        <v>1395</v>
      </c>
      <c r="O721" s="30" t="s">
        <v>1396</v>
      </c>
    </row>
    <row r="722" spans="1:15" ht="15" customHeight="1" x14ac:dyDescent="0.2">
      <c r="A722" s="9">
        <v>717</v>
      </c>
      <c r="B722" s="27">
        <f t="shared" si="66"/>
        <v>3502.6868588177822</v>
      </c>
      <c r="C722" s="27">
        <f t="shared" si="67"/>
        <v>14136.844162188567</v>
      </c>
      <c r="D722" s="28">
        <v>14.11</v>
      </c>
      <c r="E722" s="28">
        <v>14.11</v>
      </c>
      <c r="F722" s="9" t="str">
        <f t="shared" si="68"/>
        <v>Identical</v>
      </c>
      <c r="G722" s="27">
        <f t="shared" si="69"/>
        <v>3502.6868588177822</v>
      </c>
      <c r="H722" s="29">
        <v>3.93</v>
      </c>
      <c r="I722" s="29">
        <v>3.93</v>
      </c>
      <c r="J722" s="9" t="str">
        <f t="shared" si="70"/>
        <v>Identical</v>
      </c>
      <c r="K722" s="9" t="s">
        <v>539</v>
      </c>
      <c r="L722" s="9" t="s">
        <v>539</v>
      </c>
      <c r="M722" s="9" t="str">
        <f t="shared" si="71"/>
        <v>Same</v>
      </c>
      <c r="N722" s="30" t="s">
        <v>1395</v>
      </c>
      <c r="O722" s="30" t="s">
        <v>1396</v>
      </c>
    </row>
    <row r="723" spans="1:15" ht="15" customHeight="1" x14ac:dyDescent="0.2">
      <c r="A723" s="9">
        <v>718</v>
      </c>
      <c r="B723" s="27">
        <f t="shared" si="66"/>
        <v>3507.5720566682949</v>
      </c>
      <c r="C723" s="27">
        <f t="shared" si="67"/>
        <v>14156.560820713237</v>
      </c>
      <c r="D723" s="28">
        <v>14.13</v>
      </c>
      <c r="E723" s="28">
        <v>14.13</v>
      </c>
      <c r="F723" s="9" t="str">
        <f t="shared" si="68"/>
        <v>Identical</v>
      </c>
      <c r="G723" s="27">
        <f t="shared" si="69"/>
        <v>3507.5720566682949</v>
      </c>
      <c r="H723" s="29">
        <v>3.94</v>
      </c>
      <c r="I723" s="29">
        <v>3.94</v>
      </c>
      <c r="J723" s="9" t="str">
        <f t="shared" si="70"/>
        <v>Identical</v>
      </c>
      <c r="K723" s="9" t="s">
        <v>539</v>
      </c>
      <c r="L723" s="9" t="s">
        <v>539</v>
      </c>
      <c r="M723" s="9" t="str">
        <f t="shared" si="71"/>
        <v>Same</v>
      </c>
      <c r="N723" s="30" t="s">
        <v>1397</v>
      </c>
      <c r="O723" s="30" t="s">
        <v>1398</v>
      </c>
    </row>
    <row r="724" spans="1:15" ht="15" customHeight="1" x14ac:dyDescent="0.2">
      <c r="A724" s="9">
        <v>719</v>
      </c>
      <c r="B724" s="27">
        <f t="shared" si="66"/>
        <v>3512.457254518808</v>
      </c>
      <c r="C724" s="27">
        <f t="shared" si="67"/>
        <v>14176.277479237908</v>
      </c>
      <c r="D724" s="28">
        <v>14.15</v>
      </c>
      <c r="E724" s="28">
        <v>14.15</v>
      </c>
      <c r="F724" s="9" t="str">
        <f t="shared" si="68"/>
        <v>Identical</v>
      </c>
      <c r="G724" s="27">
        <f t="shared" si="69"/>
        <v>3512.457254518808</v>
      </c>
      <c r="H724" s="29">
        <v>3.94</v>
      </c>
      <c r="I724" s="29">
        <v>3.94</v>
      </c>
      <c r="J724" s="9" t="str">
        <f t="shared" si="70"/>
        <v>Identical</v>
      </c>
      <c r="K724" s="9" t="s">
        <v>539</v>
      </c>
      <c r="L724" s="9" t="s">
        <v>539</v>
      </c>
      <c r="M724" s="9" t="str">
        <f t="shared" si="71"/>
        <v>Same</v>
      </c>
      <c r="N724" s="30" t="s">
        <v>1397</v>
      </c>
      <c r="O724" s="30" t="s">
        <v>1398</v>
      </c>
    </row>
    <row r="725" spans="1:15" ht="15" customHeight="1" x14ac:dyDescent="0.2">
      <c r="A725" s="9">
        <v>720</v>
      </c>
      <c r="B725" s="27">
        <f t="shared" si="66"/>
        <v>3517.3424523693211</v>
      </c>
      <c r="C725" s="27">
        <f t="shared" si="67"/>
        <v>14195.994137762578</v>
      </c>
      <c r="D725" s="28">
        <v>14.17</v>
      </c>
      <c r="E725" s="28">
        <v>14.17</v>
      </c>
      <c r="F725" s="9" t="str">
        <f t="shared" si="68"/>
        <v>Identical</v>
      </c>
      <c r="G725" s="27">
        <f t="shared" si="69"/>
        <v>3517.3424523693211</v>
      </c>
      <c r="H725" s="29">
        <v>3.95</v>
      </c>
      <c r="I725" s="29">
        <v>3.95</v>
      </c>
      <c r="J725" s="9" t="str">
        <f t="shared" si="70"/>
        <v>Identical</v>
      </c>
      <c r="K725" s="9" t="s">
        <v>539</v>
      </c>
      <c r="L725" s="9" t="s">
        <v>539</v>
      </c>
      <c r="M725" s="9" t="str">
        <f t="shared" si="71"/>
        <v>Same</v>
      </c>
      <c r="N725" s="30" t="s">
        <v>1399</v>
      </c>
      <c r="O725" s="30" t="s">
        <v>1400</v>
      </c>
    </row>
    <row r="726" spans="1:15" ht="15" customHeight="1" x14ac:dyDescent="0.2">
      <c r="A726" s="9">
        <v>721</v>
      </c>
      <c r="B726" s="27">
        <f t="shared" si="66"/>
        <v>3522.2276502198338</v>
      </c>
      <c r="C726" s="27">
        <f t="shared" si="67"/>
        <v>14215.710796287247</v>
      </c>
      <c r="D726" s="28">
        <v>14.19</v>
      </c>
      <c r="E726" s="28">
        <v>14.19</v>
      </c>
      <c r="F726" s="9" t="str">
        <f t="shared" si="68"/>
        <v>Identical</v>
      </c>
      <c r="G726" s="27">
        <f t="shared" si="69"/>
        <v>3522.2276502198338</v>
      </c>
      <c r="H726" s="29">
        <v>3.95</v>
      </c>
      <c r="I726" s="29">
        <v>3.95</v>
      </c>
      <c r="J726" s="9" t="str">
        <f t="shared" si="70"/>
        <v>Identical</v>
      </c>
      <c r="K726" s="9" t="s">
        <v>539</v>
      </c>
      <c r="L726" s="9" t="s">
        <v>539</v>
      </c>
      <c r="M726" s="9" t="str">
        <f t="shared" si="71"/>
        <v>Same</v>
      </c>
      <c r="N726" s="30" t="s">
        <v>1399</v>
      </c>
      <c r="O726" s="30" t="s">
        <v>1400</v>
      </c>
    </row>
    <row r="727" spans="1:15" ht="15" customHeight="1" x14ac:dyDescent="0.2">
      <c r="A727" s="9">
        <v>722</v>
      </c>
      <c r="B727" s="27">
        <f t="shared" si="66"/>
        <v>3527.1128480703469</v>
      </c>
      <c r="C727" s="27">
        <f t="shared" si="67"/>
        <v>14235.427454811919</v>
      </c>
      <c r="D727" s="28">
        <v>14.21</v>
      </c>
      <c r="E727" s="28">
        <v>14.21</v>
      </c>
      <c r="F727" s="9" t="str">
        <f t="shared" si="68"/>
        <v>Identical</v>
      </c>
      <c r="G727" s="27">
        <f t="shared" si="69"/>
        <v>3527.1128480703469</v>
      </c>
      <c r="H727" s="29">
        <v>3.96</v>
      </c>
      <c r="I727" s="29">
        <v>3.96</v>
      </c>
      <c r="J727" s="9" t="str">
        <f t="shared" si="70"/>
        <v>Identical</v>
      </c>
      <c r="K727" s="9" t="s">
        <v>539</v>
      </c>
      <c r="L727" s="9" t="s">
        <v>539</v>
      </c>
      <c r="M727" s="9" t="str">
        <f t="shared" si="71"/>
        <v>Same</v>
      </c>
      <c r="N727" s="30" t="s">
        <v>1401</v>
      </c>
      <c r="O727" s="30" t="s">
        <v>1402</v>
      </c>
    </row>
    <row r="728" spans="1:15" ht="15" customHeight="1" x14ac:dyDescent="0.2">
      <c r="A728" s="9">
        <v>723</v>
      </c>
      <c r="B728" s="27">
        <f t="shared" si="66"/>
        <v>3531.99804592086</v>
      </c>
      <c r="C728" s="27">
        <f t="shared" si="67"/>
        <v>14255.14411333659</v>
      </c>
      <c r="D728" s="28">
        <v>14.23</v>
      </c>
      <c r="E728" s="28">
        <v>14.23</v>
      </c>
      <c r="F728" s="9" t="str">
        <f t="shared" si="68"/>
        <v>Identical</v>
      </c>
      <c r="G728" s="27">
        <f t="shared" si="69"/>
        <v>3531.99804592086</v>
      </c>
      <c r="H728" s="29">
        <v>3.96</v>
      </c>
      <c r="I728" s="29">
        <v>3.96</v>
      </c>
      <c r="J728" s="9" t="str">
        <f t="shared" si="70"/>
        <v>Identical</v>
      </c>
      <c r="K728" s="9" t="s">
        <v>539</v>
      </c>
      <c r="L728" s="9" t="s">
        <v>539</v>
      </c>
      <c r="M728" s="9" t="str">
        <f t="shared" si="71"/>
        <v>Same</v>
      </c>
      <c r="N728" s="30" t="s">
        <v>1401</v>
      </c>
      <c r="O728" s="30" t="s">
        <v>1402</v>
      </c>
    </row>
    <row r="729" spans="1:15" ht="15" customHeight="1" x14ac:dyDescent="0.2">
      <c r="A729" s="9">
        <v>724</v>
      </c>
      <c r="B729" s="27">
        <f t="shared" si="66"/>
        <v>3536.8832437713727</v>
      </c>
      <c r="C729" s="27">
        <f t="shared" si="67"/>
        <v>14274.860771861258</v>
      </c>
      <c r="D729" s="28">
        <v>14.25</v>
      </c>
      <c r="E729" s="28">
        <v>14.25</v>
      </c>
      <c r="F729" s="9" t="str">
        <f t="shared" si="68"/>
        <v>Identical</v>
      </c>
      <c r="G729" s="27">
        <f t="shared" si="69"/>
        <v>3536.8832437713727</v>
      </c>
      <c r="H729" s="29">
        <v>3.97</v>
      </c>
      <c r="I729" s="29">
        <v>3.97</v>
      </c>
      <c r="J729" s="9" t="str">
        <f t="shared" si="70"/>
        <v>Identical</v>
      </c>
      <c r="K729" s="9" t="s">
        <v>539</v>
      </c>
      <c r="L729" s="9" t="s">
        <v>539</v>
      </c>
      <c r="M729" s="9" t="str">
        <f t="shared" si="71"/>
        <v>Same</v>
      </c>
      <c r="N729" s="30" t="s">
        <v>1403</v>
      </c>
      <c r="O729" s="30" t="s">
        <v>1404</v>
      </c>
    </row>
    <row r="730" spans="1:15" ht="15" customHeight="1" x14ac:dyDescent="0.2">
      <c r="A730" s="9">
        <v>725</v>
      </c>
      <c r="B730" s="27">
        <f t="shared" si="66"/>
        <v>3541.7684416218858</v>
      </c>
      <c r="C730" s="27">
        <f t="shared" si="67"/>
        <v>14294.577430385929</v>
      </c>
      <c r="D730" s="28">
        <v>14.27</v>
      </c>
      <c r="E730" s="28">
        <v>14.27</v>
      </c>
      <c r="F730" s="9" t="str">
        <f t="shared" si="68"/>
        <v>Identical</v>
      </c>
      <c r="G730" s="27">
        <f t="shared" si="69"/>
        <v>3541.7684416218858</v>
      </c>
      <c r="H730" s="29">
        <v>3.97</v>
      </c>
      <c r="I730" s="29">
        <v>3.98</v>
      </c>
      <c r="J730" s="9" t="str">
        <f t="shared" si="70"/>
        <v>+0.01 A (nearest step)</v>
      </c>
      <c r="K730" s="9" t="s">
        <v>539</v>
      </c>
      <c r="L730" s="9" t="s">
        <v>539</v>
      </c>
      <c r="M730" s="9" t="str">
        <f t="shared" si="71"/>
        <v>Same</v>
      </c>
      <c r="N730" s="30" t="s">
        <v>1403</v>
      </c>
      <c r="O730" s="30" t="s">
        <v>1405</v>
      </c>
    </row>
    <row r="731" spans="1:15" ht="15" customHeight="1" x14ac:dyDescent="0.2">
      <c r="A731" s="9">
        <v>726</v>
      </c>
      <c r="B731" s="27">
        <f t="shared" si="66"/>
        <v>3546.6536394723985</v>
      </c>
      <c r="C731" s="27">
        <f t="shared" si="67"/>
        <v>14314.294088910599</v>
      </c>
      <c r="D731" s="28">
        <v>14.29</v>
      </c>
      <c r="E731" s="28">
        <v>14.28</v>
      </c>
      <c r="F731" s="9" t="str">
        <f t="shared" si="68"/>
        <v>Within 10 mV (calibration line)</v>
      </c>
      <c r="G731" s="27">
        <f t="shared" si="69"/>
        <v>3546.6536394723985</v>
      </c>
      <c r="H731" s="29">
        <v>3.98</v>
      </c>
      <c r="I731" s="29">
        <v>3.98</v>
      </c>
      <c r="J731" s="9" t="str">
        <f t="shared" si="70"/>
        <v>Identical</v>
      </c>
      <c r="K731" s="9" t="s">
        <v>539</v>
      </c>
      <c r="L731" s="9" t="s">
        <v>539</v>
      </c>
      <c r="M731" s="9" t="str">
        <f t="shared" si="71"/>
        <v>Same</v>
      </c>
      <c r="N731" s="30" t="s">
        <v>1406</v>
      </c>
      <c r="O731" s="30" t="s">
        <v>1405</v>
      </c>
    </row>
    <row r="732" spans="1:15" ht="15" customHeight="1" x14ac:dyDescent="0.2">
      <c r="A732" s="9">
        <v>727</v>
      </c>
      <c r="B732" s="27">
        <f t="shared" si="66"/>
        <v>3551.5388373229116</v>
      </c>
      <c r="C732" s="27">
        <f t="shared" si="67"/>
        <v>14334.01074743527</v>
      </c>
      <c r="D732" s="28">
        <v>14.31</v>
      </c>
      <c r="E732" s="28">
        <v>14.3</v>
      </c>
      <c r="F732" s="9" t="str">
        <f t="shared" si="68"/>
        <v>Within 10 mV (calibration line)</v>
      </c>
      <c r="G732" s="27">
        <f t="shared" si="69"/>
        <v>3551.5388373229116</v>
      </c>
      <c r="H732" s="29">
        <v>3.99</v>
      </c>
      <c r="I732" s="29">
        <v>3.99</v>
      </c>
      <c r="J732" s="9" t="str">
        <f t="shared" si="70"/>
        <v>Identical</v>
      </c>
      <c r="K732" s="9" t="s">
        <v>539</v>
      </c>
      <c r="L732" s="9" t="s">
        <v>539</v>
      </c>
      <c r="M732" s="9" t="str">
        <f t="shared" si="71"/>
        <v>Same</v>
      </c>
      <c r="N732" s="30" t="s">
        <v>1407</v>
      </c>
      <c r="O732" s="30" t="s">
        <v>1408</v>
      </c>
    </row>
    <row r="733" spans="1:15" ht="15" customHeight="1" x14ac:dyDescent="0.2">
      <c r="A733" s="9">
        <v>728</v>
      </c>
      <c r="B733" s="27">
        <f t="shared" si="66"/>
        <v>3556.4240351734247</v>
      </c>
      <c r="C733" s="27">
        <f t="shared" si="67"/>
        <v>14353.72740595994</v>
      </c>
      <c r="D733" s="28">
        <v>14.33</v>
      </c>
      <c r="E733" s="28">
        <v>14.32</v>
      </c>
      <c r="F733" s="9" t="str">
        <f t="shared" si="68"/>
        <v>Within 10 mV (calibration line)</v>
      </c>
      <c r="G733" s="27">
        <f t="shared" si="69"/>
        <v>3556.4240351734247</v>
      </c>
      <c r="H733" s="29">
        <v>3.99</v>
      </c>
      <c r="I733" s="29">
        <v>3.99</v>
      </c>
      <c r="J733" s="9" t="str">
        <f t="shared" si="70"/>
        <v>Identical</v>
      </c>
      <c r="K733" s="9" t="s">
        <v>539</v>
      </c>
      <c r="L733" s="9" t="s">
        <v>539</v>
      </c>
      <c r="M733" s="9" t="str">
        <f t="shared" si="71"/>
        <v>Same</v>
      </c>
      <c r="N733" s="30" t="s">
        <v>1407</v>
      </c>
      <c r="O733" s="30" t="s">
        <v>1408</v>
      </c>
    </row>
    <row r="734" spans="1:15" ht="15" customHeight="1" x14ac:dyDescent="0.2">
      <c r="A734" s="9">
        <v>729</v>
      </c>
      <c r="B734" s="27">
        <f t="shared" si="66"/>
        <v>3561.3092330239374</v>
      </c>
      <c r="C734" s="27">
        <f t="shared" si="67"/>
        <v>14373.444064484609</v>
      </c>
      <c r="D734" s="28">
        <v>14.35</v>
      </c>
      <c r="E734" s="28">
        <v>14.34</v>
      </c>
      <c r="F734" s="9" t="str">
        <f t="shared" si="68"/>
        <v>Within 10 mV (calibration line)</v>
      </c>
      <c r="G734" s="27">
        <f t="shared" si="69"/>
        <v>3561.3092330239374</v>
      </c>
      <c r="H734" s="29">
        <v>4</v>
      </c>
      <c r="I734" s="29">
        <v>4</v>
      </c>
      <c r="J734" s="9" t="str">
        <f t="shared" si="70"/>
        <v>Identical</v>
      </c>
      <c r="K734" s="9" t="s">
        <v>539</v>
      </c>
      <c r="L734" s="9" t="s">
        <v>539</v>
      </c>
      <c r="M734" s="9" t="str">
        <f t="shared" si="71"/>
        <v>Same</v>
      </c>
      <c r="N734" s="30" t="s">
        <v>1409</v>
      </c>
      <c r="O734" s="30" t="s">
        <v>1410</v>
      </c>
    </row>
    <row r="735" spans="1:15" ht="15" customHeight="1" x14ac:dyDescent="0.2">
      <c r="A735" s="9">
        <v>730</v>
      </c>
      <c r="B735" s="27">
        <f t="shared" si="66"/>
        <v>3566.1944308744505</v>
      </c>
      <c r="C735" s="27">
        <f t="shared" si="67"/>
        <v>14393.160723009281</v>
      </c>
      <c r="D735" s="28">
        <v>14.37</v>
      </c>
      <c r="E735" s="28">
        <v>14.36</v>
      </c>
      <c r="F735" s="9" t="str">
        <f t="shared" si="68"/>
        <v>Within 10 mV (calibration line)</v>
      </c>
      <c r="G735" s="27">
        <f t="shared" si="69"/>
        <v>3566.1944308744505</v>
      </c>
      <c r="H735" s="29">
        <v>4</v>
      </c>
      <c r="I735" s="29">
        <v>4</v>
      </c>
      <c r="J735" s="9" t="str">
        <f t="shared" si="70"/>
        <v>Identical</v>
      </c>
      <c r="K735" s="9" t="s">
        <v>539</v>
      </c>
      <c r="L735" s="9" t="s">
        <v>539</v>
      </c>
      <c r="M735" s="9" t="str">
        <f t="shared" si="71"/>
        <v>Same</v>
      </c>
      <c r="N735" s="30" t="s">
        <v>1409</v>
      </c>
      <c r="O735" s="30" t="s">
        <v>1410</v>
      </c>
    </row>
    <row r="736" spans="1:15" ht="15" customHeight="1" x14ac:dyDescent="0.2">
      <c r="A736" s="9">
        <v>731</v>
      </c>
      <c r="B736" s="27">
        <f t="shared" si="66"/>
        <v>3571.0796287249636</v>
      </c>
      <c r="C736" s="27">
        <f t="shared" si="67"/>
        <v>14412.877381533952</v>
      </c>
      <c r="D736" s="28">
        <v>14.39</v>
      </c>
      <c r="E736" s="28">
        <v>14.38</v>
      </c>
      <c r="F736" s="9" t="str">
        <f t="shared" si="68"/>
        <v>Within 10 mV (calibration line)</v>
      </c>
      <c r="G736" s="27">
        <f t="shared" si="69"/>
        <v>3571.0796287249636</v>
      </c>
      <c r="H736" s="29">
        <v>4.01</v>
      </c>
      <c r="I736" s="29">
        <v>4.01</v>
      </c>
      <c r="J736" s="9" t="str">
        <f t="shared" si="70"/>
        <v>Identical</v>
      </c>
      <c r="K736" s="9" t="s">
        <v>539</v>
      </c>
      <c r="L736" s="9" t="s">
        <v>539</v>
      </c>
      <c r="M736" s="9" t="str">
        <f t="shared" si="71"/>
        <v>Same</v>
      </c>
      <c r="N736" s="30" t="s">
        <v>1411</v>
      </c>
      <c r="O736" s="30" t="s">
        <v>1412</v>
      </c>
    </row>
    <row r="737" spans="1:15" ht="15" customHeight="1" x14ac:dyDescent="0.2">
      <c r="A737" s="9">
        <v>732</v>
      </c>
      <c r="B737" s="27">
        <f t="shared" si="66"/>
        <v>3575.9648265754763</v>
      </c>
      <c r="C737" s="27">
        <f t="shared" si="67"/>
        <v>14432.594040058621</v>
      </c>
      <c r="D737" s="28">
        <v>14.41</v>
      </c>
      <c r="E737" s="28">
        <v>14.4</v>
      </c>
      <c r="F737" s="9" t="str">
        <f t="shared" si="68"/>
        <v>Within 10 mV (calibration line)</v>
      </c>
      <c r="G737" s="27">
        <f t="shared" si="69"/>
        <v>3575.9648265754763</v>
      </c>
      <c r="H737" s="29">
        <v>4.01</v>
      </c>
      <c r="I737" s="29">
        <v>4.0199999999999996</v>
      </c>
      <c r="J737" s="9" t="str">
        <f t="shared" si="70"/>
        <v>+0.01 A (nearest step)</v>
      </c>
      <c r="K737" s="9" t="s">
        <v>539</v>
      </c>
      <c r="L737" s="9" t="s">
        <v>539</v>
      </c>
      <c r="M737" s="9" t="str">
        <f t="shared" si="71"/>
        <v>Same</v>
      </c>
      <c r="N737" s="30" t="s">
        <v>1411</v>
      </c>
      <c r="O737" s="30" t="s">
        <v>1413</v>
      </c>
    </row>
    <row r="738" spans="1:15" ht="15" customHeight="1" x14ac:dyDescent="0.2">
      <c r="A738" s="9">
        <v>733</v>
      </c>
      <c r="B738" s="27">
        <f t="shared" si="66"/>
        <v>3580.8500244259894</v>
      </c>
      <c r="C738" s="27">
        <f t="shared" si="67"/>
        <v>14452.310698583291</v>
      </c>
      <c r="D738" s="28">
        <v>14.43</v>
      </c>
      <c r="E738" s="28">
        <v>14.42</v>
      </c>
      <c r="F738" s="9" t="str">
        <f t="shared" si="68"/>
        <v>Within 10 mV (calibration line)</v>
      </c>
      <c r="G738" s="27">
        <f t="shared" si="69"/>
        <v>3580.8500244259894</v>
      </c>
      <c r="H738" s="29">
        <v>4.0199999999999996</v>
      </c>
      <c r="I738" s="29">
        <v>4.0199999999999996</v>
      </c>
      <c r="J738" s="9" t="str">
        <f t="shared" si="70"/>
        <v>Identical</v>
      </c>
      <c r="K738" s="9" t="s">
        <v>539</v>
      </c>
      <c r="L738" s="9" t="s">
        <v>539</v>
      </c>
      <c r="M738" s="9" t="str">
        <f t="shared" si="71"/>
        <v>Same</v>
      </c>
      <c r="N738" s="30" t="s">
        <v>1414</v>
      </c>
      <c r="O738" s="30" t="s">
        <v>1413</v>
      </c>
    </row>
    <row r="739" spans="1:15" ht="15" customHeight="1" x14ac:dyDescent="0.2">
      <c r="A739" s="9">
        <v>734</v>
      </c>
      <c r="B739" s="27">
        <f t="shared" si="66"/>
        <v>3585.7352222765021</v>
      </c>
      <c r="C739" s="27">
        <f t="shared" si="67"/>
        <v>14472.027357107962</v>
      </c>
      <c r="D739" s="28">
        <v>14.45</v>
      </c>
      <c r="E739" s="28">
        <v>14.44</v>
      </c>
      <c r="F739" s="9" t="str">
        <f t="shared" si="68"/>
        <v>Within 10 mV (calibration line)</v>
      </c>
      <c r="G739" s="27">
        <f t="shared" si="69"/>
        <v>3585.7352222765021</v>
      </c>
      <c r="H739" s="29">
        <v>4.03</v>
      </c>
      <c r="I739" s="29">
        <v>4.03</v>
      </c>
      <c r="J739" s="9" t="str">
        <f t="shared" si="70"/>
        <v>Identical</v>
      </c>
      <c r="K739" s="9" t="s">
        <v>539</v>
      </c>
      <c r="L739" s="9" t="s">
        <v>539</v>
      </c>
      <c r="M739" s="9" t="str">
        <f t="shared" si="71"/>
        <v>Same</v>
      </c>
      <c r="N739" s="30" t="s">
        <v>1415</v>
      </c>
      <c r="O739" s="30" t="s">
        <v>1416</v>
      </c>
    </row>
    <row r="740" spans="1:15" ht="15" customHeight="1" x14ac:dyDescent="0.2">
      <c r="A740" s="9">
        <v>735</v>
      </c>
      <c r="B740" s="27">
        <f t="shared" si="66"/>
        <v>3590.6204201270152</v>
      </c>
      <c r="C740" s="27">
        <f t="shared" si="67"/>
        <v>14491.744015632632</v>
      </c>
      <c r="D740" s="28">
        <v>14.47</v>
      </c>
      <c r="E740" s="28">
        <v>14.46</v>
      </c>
      <c r="F740" s="9" t="str">
        <f t="shared" si="68"/>
        <v>Within 10 mV (calibration line)</v>
      </c>
      <c r="G740" s="27">
        <f t="shared" si="69"/>
        <v>3590.6204201270152</v>
      </c>
      <c r="H740" s="29">
        <v>4.03</v>
      </c>
      <c r="I740" s="29">
        <v>4.03</v>
      </c>
      <c r="J740" s="9" t="str">
        <f t="shared" si="70"/>
        <v>Identical</v>
      </c>
      <c r="K740" s="9" t="s">
        <v>539</v>
      </c>
      <c r="L740" s="9" t="s">
        <v>539</v>
      </c>
      <c r="M740" s="9" t="str">
        <f t="shared" si="71"/>
        <v>Same</v>
      </c>
      <c r="N740" s="30" t="s">
        <v>1415</v>
      </c>
      <c r="O740" s="30" t="s">
        <v>1416</v>
      </c>
    </row>
    <row r="741" spans="1:15" ht="15" customHeight="1" x14ac:dyDescent="0.2">
      <c r="A741" s="9">
        <v>736</v>
      </c>
      <c r="B741" s="27">
        <f t="shared" si="66"/>
        <v>3595.5056179775283</v>
      </c>
      <c r="C741" s="27">
        <f t="shared" si="67"/>
        <v>14511.460674157302</v>
      </c>
      <c r="D741" s="28">
        <v>14.49</v>
      </c>
      <c r="E741" s="28">
        <v>14.48</v>
      </c>
      <c r="F741" s="9" t="str">
        <f t="shared" si="68"/>
        <v>Within 10 mV (calibration line)</v>
      </c>
      <c r="G741" s="27">
        <f t="shared" si="69"/>
        <v>3595.5056179775283</v>
      </c>
      <c r="H741" s="29">
        <v>4.04</v>
      </c>
      <c r="I741" s="29">
        <v>4.04</v>
      </c>
      <c r="J741" s="9" t="str">
        <f t="shared" si="70"/>
        <v>Identical</v>
      </c>
      <c r="K741" s="9" t="s">
        <v>539</v>
      </c>
      <c r="L741" s="9" t="s">
        <v>539</v>
      </c>
      <c r="M741" s="9" t="str">
        <f t="shared" si="71"/>
        <v>Same</v>
      </c>
      <c r="N741" s="30" t="s">
        <v>1417</v>
      </c>
      <c r="O741" s="30" t="s">
        <v>1418</v>
      </c>
    </row>
    <row r="742" spans="1:15" ht="15" customHeight="1" x14ac:dyDescent="0.2">
      <c r="A742" s="9">
        <v>737</v>
      </c>
      <c r="B742" s="27">
        <f t="shared" si="66"/>
        <v>3600.390815828041</v>
      </c>
      <c r="C742" s="27">
        <f t="shared" si="67"/>
        <v>14531.177332681971</v>
      </c>
      <c r="D742" s="28">
        <v>14.51</v>
      </c>
      <c r="E742" s="28">
        <v>14.5</v>
      </c>
      <c r="F742" s="9" t="str">
        <f t="shared" si="68"/>
        <v>Within 10 mV (calibration line)</v>
      </c>
      <c r="G742" s="27">
        <f t="shared" si="69"/>
        <v>3600.390815828041</v>
      </c>
      <c r="H742" s="29">
        <v>4.04</v>
      </c>
      <c r="I742" s="29">
        <v>4.04</v>
      </c>
      <c r="J742" s="9" t="str">
        <f t="shared" si="70"/>
        <v>Identical</v>
      </c>
      <c r="K742" s="9" t="s">
        <v>539</v>
      </c>
      <c r="L742" s="9" t="s">
        <v>539</v>
      </c>
      <c r="M742" s="9" t="str">
        <f t="shared" si="71"/>
        <v>Same</v>
      </c>
      <c r="N742" s="30" t="s">
        <v>1417</v>
      </c>
      <c r="O742" s="30" t="s">
        <v>1418</v>
      </c>
    </row>
    <row r="743" spans="1:15" ht="15" customHeight="1" x14ac:dyDescent="0.2">
      <c r="A743" s="9">
        <v>738</v>
      </c>
      <c r="B743" s="27">
        <f t="shared" si="66"/>
        <v>3605.2760136785541</v>
      </c>
      <c r="C743" s="27">
        <f t="shared" si="67"/>
        <v>14550.893991206643</v>
      </c>
      <c r="D743" s="28">
        <v>14.53</v>
      </c>
      <c r="E743" s="28">
        <v>14.52</v>
      </c>
      <c r="F743" s="9" t="str">
        <f t="shared" si="68"/>
        <v>Within 10 mV (calibration line)</v>
      </c>
      <c r="G743" s="27">
        <f t="shared" si="69"/>
        <v>3605.2760136785541</v>
      </c>
      <c r="H743" s="29">
        <v>4.05</v>
      </c>
      <c r="I743" s="29">
        <v>4.05</v>
      </c>
      <c r="J743" s="9" t="str">
        <f t="shared" si="70"/>
        <v>Identical</v>
      </c>
      <c r="K743" s="9" t="s">
        <v>539</v>
      </c>
      <c r="L743" s="9" t="s">
        <v>539</v>
      </c>
      <c r="M743" s="9" t="str">
        <f t="shared" si="71"/>
        <v>Same</v>
      </c>
      <c r="N743" s="30" t="s">
        <v>1419</v>
      </c>
      <c r="O743" s="30" t="s">
        <v>1420</v>
      </c>
    </row>
    <row r="744" spans="1:15" ht="15" customHeight="1" x14ac:dyDescent="0.2">
      <c r="A744" s="9">
        <v>739</v>
      </c>
      <c r="B744" s="27">
        <f t="shared" si="66"/>
        <v>3610.1612115290673</v>
      </c>
      <c r="C744" s="27">
        <f t="shared" si="67"/>
        <v>14570.610649731314</v>
      </c>
      <c r="D744" s="28">
        <v>14.55</v>
      </c>
      <c r="E744" s="28">
        <v>14.54</v>
      </c>
      <c r="F744" s="9" t="str">
        <f t="shared" si="68"/>
        <v>Within 10 mV (calibration line)</v>
      </c>
      <c r="G744" s="27">
        <f t="shared" si="69"/>
        <v>3610.1612115290673</v>
      </c>
      <c r="H744" s="29">
        <v>4.05</v>
      </c>
      <c r="I744" s="29">
        <v>4.05</v>
      </c>
      <c r="J744" s="9" t="str">
        <f t="shared" si="70"/>
        <v>Identical</v>
      </c>
      <c r="K744" s="9" t="s">
        <v>539</v>
      </c>
      <c r="L744" s="9" t="s">
        <v>539</v>
      </c>
      <c r="M744" s="9" t="str">
        <f t="shared" si="71"/>
        <v>Same</v>
      </c>
      <c r="N744" s="30" t="s">
        <v>1419</v>
      </c>
      <c r="O744" s="30" t="s">
        <v>1420</v>
      </c>
    </row>
    <row r="745" spans="1:15" ht="15" customHeight="1" x14ac:dyDescent="0.2">
      <c r="A745" s="9">
        <v>740</v>
      </c>
      <c r="B745" s="27">
        <f t="shared" si="66"/>
        <v>3615.0464093795799</v>
      </c>
      <c r="C745" s="27">
        <f t="shared" si="67"/>
        <v>14590.327308255983</v>
      </c>
      <c r="D745" s="28">
        <v>14.57</v>
      </c>
      <c r="E745" s="28">
        <v>14.56</v>
      </c>
      <c r="F745" s="9" t="str">
        <f t="shared" si="68"/>
        <v>Within 10 mV (calibration line)</v>
      </c>
      <c r="G745" s="27">
        <f t="shared" si="69"/>
        <v>3615.0464093795799</v>
      </c>
      <c r="H745" s="29">
        <v>4.0599999999999996</v>
      </c>
      <c r="I745" s="29">
        <v>4.0599999999999996</v>
      </c>
      <c r="J745" s="9" t="str">
        <f t="shared" si="70"/>
        <v>Identical</v>
      </c>
      <c r="K745" s="9" t="s">
        <v>539</v>
      </c>
      <c r="L745" s="9" t="s">
        <v>539</v>
      </c>
      <c r="M745" s="9" t="str">
        <f t="shared" si="71"/>
        <v>Same</v>
      </c>
      <c r="N745" s="30" t="s">
        <v>1421</v>
      </c>
      <c r="O745" s="30" t="s">
        <v>1422</v>
      </c>
    </row>
    <row r="746" spans="1:15" ht="15" customHeight="1" x14ac:dyDescent="0.2">
      <c r="A746" s="9">
        <v>741</v>
      </c>
      <c r="B746" s="27">
        <f t="shared" si="66"/>
        <v>3619.9316072300931</v>
      </c>
      <c r="C746" s="27">
        <f t="shared" si="67"/>
        <v>14610.043966780655</v>
      </c>
      <c r="D746" s="28">
        <v>14.59</v>
      </c>
      <c r="E746" s="28">
        <v>14.58</v>
      </c>
      <c r="F746" s="9" t="str">
        <f t="shared" si="68"/>
        <v>Within 10 mV (calibration line)</v>
      </c>
      <c r="G746" s="27">
        <f t="shared" si="69"/>
        <v>3619.9316072300931</v>
      </c>
      <c r="H746" s="29">
        <v>4.0599999999999996</v>
      </c>
      <c r="I746" s="29">
        <v>4.07</v>
      </c>
      <c r="J746" s="9" t="str">
        <f t="shared" si="70"/>
        <v>+0.01 A (nearest step)</v>
      </c>
      <c r="K746" s="9" t="s">
        <v>539</v>
      </c>
      <c r="L746" s="9" t="s">
        <v>539</v>
      </c>
      <c r="M746" s="9" t="str">
        <f t="shared" si="71"/>
        <v>Same</v>
      </c>
      <c r="N746" s="30" t="s">
        <v>1421</v>
      </c>
      <c r="O746" s="30" t="s">
        <v>1423</v>
      </c>
    </row>
    <row r="747" spans="1:15" ht="15" customHeight="1" x14ac:dyDescent="0.2">
      <c r="A747" s="9">
        <v>742</v>
      </c>
      <c r="B747" s="27">
        <f t="shared" si="66"/>
        <v>3624.8168050806057</v>
      </c>
      <c r="C747" s="27">
        <f t="shared" si="67"/>
        <v>14629.760625305324</v>
      </c>
      <c r="D747" s="28">
        <v>14.6</v>
      </c>
      <c r="E747" s="28">
        <v>14.6</v>
      </c>
      <c r="F747" s="9" t="str">
        <f t="shared" si="68"/>
        <v>Identical</v>
      </c>
      <c r="G747" s="27">
        <f t="shared" si="69"/>
        <v>3624.8168050806057</v>
      </c>
      <c r="H747" s="29">
        <v>4.07</v>
      </c>
      <c r="I747" s="29">
        <v>4.07</v>
      </c>
      <c r="J747" s="9" t="str">
        <f t="shared" si="70"/>
        <v>Identical</v>
      </c>
      <c r="K747" s="9" t="s">
        <v>539</v>
      </c>
      <c r="L747" s="9" t="s">
        <v>539</v>
      </c>
      <c r="M747" s="9" t="str">
        <f t="shared" si="71"/>
        <v>Same</v>
      </c>
      <c r="N747" s="30" t="s">
        <v>1424</v>
      </c>
      <c r="O747" s="30" t="s">
        <v>1423</v>
      </c>
    </row>
    <row r="748" spans="1:15" ht="15" customHeight="1" x14ac:dyDescent="0.2">
      <c r="A748" s="9">
        <v>743</v>
      </c>
      <c r="B748" s="27">
        <f t="shared" si="66"/>
        <v>3629.7020029311188</v>
      </c>
      <c r="C748" s="27">
        <f t="shared" si="67"/>
        <v>14649.477283829994</v>
      </c>
      <c r="D748" s="28">
        <v>14.62</v>
      </c>
      <c r="E748" s="28">
        <v>14.62</v>
      </c>
      <c r="F748" s="9" t="str">
        <f t="shared" si="68"/>
        <v>Identical</v>
      </c>
      <c r="G748" s="27">
        <f t="shared" si="69"/>
        <v>3629.7020029311188</v>
      </c>
      <c r="H748" s="29">
        <v>4.08</v>
      </c>
      <c r="I748" s="29">
        <v>4.08</v>
      </c>
      <c r="J748" s="9" t="str">
        <f t="shared" si="70"/>
        <v>Identical</v>
      </c>
      <c r="K748" s="9" t="s">
        <v>539</v>
      </c>
      <c r="L748" s="9" t="s">
        <v>539</v>
      </c>
      <c r="M748" s="9" t="str">
        <f t="shared" si="71"/>
        <v>Same</v>
      </c>
      <c r="N748" s="30" t="s">
        <v>1425</v>
      </c>
      <c r="O748" s="30" t="s">
        <v>1426</v>
      </c>
    </row>
    <row r="749" spans="1:15" ht="15" customHeight="1" x14ac:dyDescent="0.2">
      <c r="A749" s="9">
        <v>744</v>
      </c>
      <c r="B749" s="27">
        <f t="shared" si="66"/>
        <v>3634.587200781632</v>
      </c>
      <c r="C749" s="27">
        <f t="shared" si="67"/>
        <v>14669.193942354665</v>
      </c>
      <c r="D749" s="28">
        <v>14.64</v>
      </c>
      <c r="E749" s="28">
        <v>14.64</v>
      </c>
      <c r="F749" s="9" t="str">
        <f t="shared" si="68"/>
        <v>Identical</v>
      </c>
      <c r="G749" s="27">
        <f t="shared" si="69"/>
        <v>3634.587200781632</v>
      </c>
      <c r="H749" s="29">
        <v>4.08</v>
      </c>
      <c r="I749" s="29">
        <v>4.08</v>
      </c>
      <c r="J749" s="9" t="str">
        <f t="shared" si="70"/>
        <v>Identical</v>
      </c>
      <c r="K749" s="9" t="s">
        <v>539</v>
      </c>
      <c r="L749" s="9" t="s">
        <v>539</v>
      </c>
      <c r="M749" s="9" t="str">
        <f t="shared" si="71"/>
        <v>Same</v>
      </c>
      <c r="N749" s="30" t="s">
        <v>1425</v>
      </c>
      <c r="O749" s="30" t="s">
        <v>1426</v>
      </c>
    </row>
    <row r="750" spans="1:15" ht="15" customHeight="1" x14ac:dyDescent="0.2">
      <c r="A750" s="9">
        <v>745</v>
      </c>
      <c r="B750" s="27">
        <f t="shared" si="66"/>
        <v>3639.4723986321446</v>
      </c>
      <c r="C750" s="27">
        <f t="shared" si="67"/>
        <v>14688.910600879335</v>
      </c>
      <c r="D750" s="28">
        <v>14.66</v>
      </c>
      <c r="E750" s="28">
        <v>14.66</v>
      </c>
      <c r="F750" s="9" t="str">
        <f t="shared" si="68"/>
        <v>Identical</v>
      </c>
      <c r="G750" s="27">
        <f t="shared" si="69"/>
        <v>3639.4723986321446</v>
      </c>
      <c r="H750" s="29">
        <v>4.09</v>
      </c>
      <c r="I750" s="29">
        <v>4.09</v>
      </c>
      <c r="J750" s="9" t="str">
        <f t="shared" si="70"/>
        <v>Identical</v>
      </c>
      <c r="K750" s="9" t="s">
        <v>539</v>
      </c>
      <c r="L750" s="9" t="s">
        <v>539</v>
      </c>
      <c r="M750" s="9" t="str">
        <f t="shared" si="71"/>
        <v>Same</v>
      </c>
      <c r="N750" s="30" t="s">
        <v>1427</v>
      </c>
      <c r="O750" s="30" t="s">
        <v>1428</v>
      </c>
    </row>
    <row r="751" spans="1:15" ht="15" customHeight="1" x14ac:dyDescent="0.2">
      <c r="A751" s="9">
        <v>746</v>
      </c>
      <c r="B751" s="27">
        <f t="shared" si="66"/>
        <v>3644.3575964826578</v>
      </c>
      <c r="C751" s="27">
        <f t="shared" si="67"/>
        <v>14708.627259404006</v>
      </c>
      <c r="D751" s="28">
        <v>14.68</v>
      </c>
      <c r="E751" s="28">
        <v>14.68</v>
      </c>
      <c r="F751" s="9" t="str">
        <f t="shared" si="68"/>
        <v>Identical</v>
      </c>
      <c r="G751" s="27">
        <f t="shared" si="69"/>
        <v>3644.3575964826578</v>
      </c>
      <c r="H751" s="29">
        <v>4.09</v>
      </c>
      <c r="I751" s="29">
        <v>4.09</v>
      </c>
      <c r="J751" s="9" t="str">
        <f t="shared" si="70"/>
        <v>Identical</v>
      </c>
      <c r="K751" s="9" t="s">
        <v>539</v>
      </c>
      <c r="L751" s="9" t="s">
        <v>539</v>
      </c>
      <c r="M751" s="9" t="str">
        <f t="shared" si="71"/>
        <v>Same</v>
      </c>
      <c r="N751" s="30" t="s">
        <v>1427</v>
      </c>
      <c r="O751" s="30" t="s">
        <v>1428</v>
      </c>
    </row>
    <row r="752" spans="1:15" ht="15" customHeight="1" x14ac:dyDescent="0.2">
      <c r="A752" s="9">
        <v>747</v>
      </c>
      <c r="B752" s="27">
        <f t="shared" si="66"/>
        <v>3649.2427943331709</v>
      </c>
      <c r="C752" s="27">
        <f t="shared" si="67"/>
        <v>14728.343917928676</v>
      </c>
      <c r="D752" s="28">
        <v>14.7</v>
      </c>
      <c r="E752" s="28">
        <v>14.7</v>
      </c>
      <c r="F752" s="9" t="str">
        <f t="shared" si="68"/>
        <v>Identical</v>
      </c>
      <c r="G752" s="27">
        <f t="shared" si="69"/>
        <v>3649.2427943331709</v>
      </c>
      <c r="H752" s="29">
        <v>4.0999999999999996</v>
      </c>
      <c r="I752" s="29">
        <v>4.0999999999999996</v>
      </c>
      <c r="J752" s="9" t="str">
        <f t="shared" si="70"/>
        <v>Identical</v>
      </c>
      <c r="K752" s="9" t="s">
        <v>539</v>
      </c>
      <c r="L752" s="9" t="s">
        <v>539</v>
      </c>
      <c r="M752" s="9" t="str">
        <f t="shared" si="71"/>
        <v>Same</v>
      </c>
      <c r="N752" s="30" t="s">
        <v>1429</v>
      </c>
      <c r="O752" s="30" t="s">
        <v>1430</v>
      </c>
    </row>
    <row r="753" spans="1:15" ht="15" customHeight="1" x14ac:dyDescent="0.2">
      <c r="A753" s="9">
        <v>748</v>
      </c>
      <c r="B753" s="27">
        <f t="shared" si="66"/>
        <v>3654.1279921836835</v>
      </c>
      <c r="C753" s="27">
        <f t="shared" si="67"/>
        <v>14748.060576453345</v>
      </c>
      <c r="D753" s="28">
        <v>14.72</v>
      </c>
      <c r="E753" s="28">
        <v>14.72</v>
      </c>
      <c r="F753" s="9" t="str">
        <f t="shared" si="68"/>
        <v>Identical</v>
      </c>
      <c r="G753" s="27">
        <f t="shared" si="69"/>
        <v>3654.1279921836835</v>
      </c>
      <c r="H753" s="29">
        <v>4.0999999999999996</v>
      </c>
      <c r="I753" s="29">
        <v>4.0999999999999996</v>
      </c>
      <c r="J753" s="9" t="str">
        <f t="shared" si="70"/>
        <v>Identical</v>
      </c>
      <c r="K753" s="9" t="s">
        <v>539</v>
      </c>
      <c r="L753" s="9" t="s">
        <v>539</v>
      </c>
      <c r="M753" s="9" t="str">
        <f t="shared" si="71"/>
        <v>Same</v>
      </c>
      <c r="N753" s="30" t="s">
        <v>1429</v>
      </c>
      <c r="O753" s="30" t="s">
        <v>1430</v>
      </c>
    </row>
    <row r="754" spans="1:15" ht="15" customHeight="1" x14ac:dyDescent="0.2">
      <c r="A754" s="9">
        <v>749</v>
      </c>
      <c r="B754" s="27">
        <f t="shared" si="66"/>
        <v>3659.0131900341967</v>
      </c>
      <c r="C754" s="27">
        <f t="shared" si="67"/>
        <v>14767.777234978017</v>
      </c>
      <c r="D754" s="28">
        <v>14.74</v>
      </c>
      <c r="E754" s="28">
        <v>14.74</v>
      </c>
      <c r="F754" s="9" t="str">
        <f t="shared" si="68"/>
        <v>Identical</v>
      </c>
      <c r="G754" s="27">
        <f t="shared" si="69"/>
        <v>3659.0131900341967</v>
      </c>
      <c r="H754" s="29">
        <v>4.1100000000000003</v>
      </c>
      <c r="I754" s="29">
        <v>4.1100000000000003</v>
      </c>
      <c r="J754" s="9" t="str">
        <f t="shared" si="70"/>
        <v>Identical</v>
      </c>
      <c r="K754" s="9" t="s">
        <v>539</v>
      </c>
      <c r="L754" s="9" t="s">
        <v>539</v>
      </c>
      <c r="M754" s="9" t="str">
        <f t="shared" si="71"/>
        <v>Same</v>
      </c>
      <c r="N754" s="30" t="s">
        <v>1431</v>
      </c>
      <c r="O754" s="30" t="s">
        <v>1432</v>
      </c>
    </row>
    <row r="755" spans="1:15" ht="15" customHeight="1" x14ac:dyDescent="0.2">
      <c r="A755" s="9">
        <v>750</v>
      </c>
      <c r="B755" s="27">
        <f t="shared" si="66"/>
        <v>3663.8983878847093</v>
      </c>
      <c r="C755" s="27">
        <f t="shared" si="67"/>
        <v>14787.493893502686</v>
      </c>
      <c r="D755" s="28">
        <v>14.76</v>
      </c>
      <c r="E755" s="28">
        <v>14.76</v>
      </c>
      <c r="F755" s="9" t="str">
        <f t="shared" si="68"/>
        <v>Identical</v>
      </c>
      <c r="G755" s="27">
        <f t="shared" si="69"/>
        <v>3663.8983878847093</v>
      </c>
      <c r="H755" s="29">
        <v>4.1100000000000003</v>
      </c>
      <c r="I755" s="29">
        <v>4.1100000000000003</v>
      </c>
      <c r="J755" s="9" t="str">
        <f t="shared" si="70"/>
        <v>Identical</v>
      </c>
      <c r="K755" s="9" t="s">
        <v>539</v>
      </c>
      <c r="L755" s="9" t="s">
        <v>539</v>
      </c>
      <c r="M755" s="9" t="str">
        <f t="shared" si="71"/>
        <v>Same</v>
      </c>
      <c r="N755" s="30" t="s">
        <v>1431</v>
      </c>
      <c r="O755" s="30" t="s">
        <v>1432</v>
      </c>
    </row>
    <row r="756" spans="1:15" ht="15" customHeight="1" x14ac:dyDescent="0.2">
      <c r="A756" s="9">
        <v>751</v>
      </c>
      <c r="B756" s="27">
        <f t="shared" si="66"/>
        <v>3668.7835857352225</v>
      </c>
      <c r="C756" s="27">
        <f t="shared" si="67"/>
        <v>14807.210552027356</v>
      </c>
      <c r="D756" s="28">
        <v>14.78</v>
      </c>
      <c r="E756" s="28">
        <v>14.78</v>
      </c>
      <c r="F756" s="9" t="str">
        <f t="shared" si="68"/>
        <v>Identical</v>
      </c>
      <c r="G756" s="27">
        <f t="shared" si="69"/>
        <v>3668.7835857352225</v>
      </c>
      <c r="H756" s="29">
        <v>4.12</v>
      </c>
      <c r="I756" s="29">
        <v>4.12</v>
      </c>
      <c r="J756" s="9" t="str">
        <f t="shared" si="70"/>
        <v>Identical</v>
      </c>
      <c r="K756" s="9" t="s">
        <v>539</v>
      </c>
      <c r="L756" s="9" t="s">
        <v>539</v>
      </c>
      <c r="M756" s="9" t="str">
        <f t="shared" si="71"/>
        <v>Same</v>
      </c>
      <c r="N756" s="30" t="s">
        <v>1433</v>
      </c>
      <c r="O756" s="30" t="s">
        <v>1434</v>
      </c>
    </row>
    <row r="757" spans="1:15" ht="15" customHeight="1" x14ac:dyDescent="0.2">
      <c r="A757" s="9">
        <v>752</v>
      </c>
      <c r="B757" s="27">
        <f t="shared" si="66"/>
        <v>3673.6687835857356</v>
      </c>
      <c r="C757" s="27">
        <f t="shared" si="67"/>
        <v>14826.927210552027</v>
      </c>
      <c r="D757" s="28">
        <v>14.8</v>
      </c>
      <c r="E757" s="28">
        <v>14.8</v>
      </c>
      <c r="F757" s="9" t="str">
        <f t="shared" si="68"/>
        <v>Identical</v>
      </c>
      <c r="G757" s="27">
        <f t="shared" si="69"/>
        <v>3673.6687835857356</v>
      </c>
      <c r="H757" s="29">
        <v>4.12</v>
      </c>
      <c r="I757" s="29">
        <v>4.13</v>
      </c>
      <c r="J757" s="9" t="str">
        <f t="shared" si="70"/>
        <v>+0.01 A (nearest step)</v>
      </c>
      <c r="K757" s="9" t="s">
        <v>539</v>
      </c>
      <c r="L757" s="9" t="s">
        <v>539</v>
      </c>
      <c r="M757" s="9" t="str">
        <f t="shared" si="71"/>
        <v>Same</v>
      </c>
      <c r="N757" s="30" t="s">
        <v>1433</v>
      </c>
      <c r="O757" s="30" t="s">
        <v>1435</v>
      </c>
    </row>
    <row r="758" spans="1:15" ht="15" customHeight="1" x14ac:dyDescent="0.2">
      <c r="A758" s="9">
        <v>753</v>
      </c>
      <c r="B758" s="27">
        <f t="shared" si="66"/>
        <v>3678.5539814362483</v>
      </c>
      <c r="C758" s="27">
        <f t="shared" si="67"/>
        <v>14846.643869076697</v>
      </c>
      <c r="D758" s="28">
        <v>14.82</v>
      </c>
      <c r="E758" s="28">
        <v>14.81</v>
      </c>
      <c r="F758" s="9" t="str">
        <f t="shared" si="68"/>
        <v>Within 10 mV (calibration line)</v>
      </c>
      <c r="G758" s="27">
        <f t="shared" si="69"/>
        <v>3678.5539814362483</v>
      </c>
      <c r="H758" s="29">
        <v>4.13</v>
      </c>
      <c r="I758" s="29">
        <v>4.13</v>
      </c>
      <c r="J758" s="9" t="str">
        <f t="shared" si="70"/>
        <v>Identical</v>
      </c>
      <c r="K758" s="9" t="s">
        <v>539</v>
      </c>
      <c r="L758" s="9" t="s">
        <v>539</v>
      </c>
      <c r="M758" s="9" t="str">
        <f t="shared" si="71"/>
        <v>Same</v>
      </c>
      <c r="N758" s="30" t="s">
        <v>1436</v>
      </c>
      <c r="O758" s="30" t="s">
        <v>1435</v>
      </c>
    </row>
    <row r="759" spans="1:15" ht="15" customHeight="1" x14ac:dyDescent="0.2">
      <c r="A759" s="9">
        <v>754</v>
      </c>
      <c r="B759" s="27">
        <f t="shared" si="66"/>
        <v>3683.4391792867614</v>
      </c>
      <c r="C759" s="27">
        <f t="shared" si="67"/>
        <v>14866.360527601368</v>
      </c>
      <c r="D759" s="28">
        <v>14.84</v>
      </c>
      <c r="E759" s="28">
        <v>14.83</v>
      </c>
      <c r="F759" s="9" t="str">
        <f t="shared" si="68"/>
        <v>Within 10 mV (calibration line)</v>
      </c>
      <c r="G759" s="27">
        <f t="shared" si="69"/>
        <v>3683.4391792867614</v>
      </c>
      <c r="H759" s="29">
        <v>4.1399999999999997</v>
      </c>
      <c r="I759" s="29">
        <v>4.1399999999999997</v>
      </c>
      <c r="J759" s="9" t="str">
        <f t="shared" si="70"/>
        <v>Identical</v>
      </c>
      <c r="K759" s="9" t="s">
        <v>539</v>
      </c>
      <c r="L759" s="9" t="s">
        <v>539</v>
      </c>
      <c r="M759" s="9" t="str">
        <f t="shared" si="71"/>
        <v>Same</v>
      </c>
      <c r="N759" s="30" t="s">
        <v>1437</v>
      </c>
      <c r="O759" s="30" t="s">
        <v>1438</v>
      </c>
    </row>
    <row r="760" spans="1:15" ht="15" customHeight="1" x14ac:dyDescent="0.2">
      <c r="A760" s="9">
        <v>755</v>
      </c>
      <c r="B760" s="27">
        <f t="shared" si="66"/>
        <v>3688.3243771372745</v>
      </c>
      <c r="C760" s="27">
        <f t="shared" si="67"/>
        <v>14886.077186126038</v>
      </c>
      <c r="D760" s="28">
        <v>14.86</v>
      </c>
      <c r="E760" s="28">
        <v>14.85</v>
      </c>
      <c r="F760" s="9" t="str">
        <f t="shared" si="68"/>
        <v>Within 10 mV (calibration line)</v>
      </c>
      <c r="G760" s="27">
        <f t="shared" si="69"/>
        <v>3688.3243771372745</v>
      </c>
      <c r="H760" s="29">
        <v>4.1399999999999997</v>
      </c>
      <c r="I760" s="29">
        <v>4.1399999999999997</v>
      </c>
      <c r="J760" s="9" t="str">
        <f t="shared" si="70"/>
        <v>Identical</v>
      </c>
      <c r="K760" s="9" t="s">
        <v>539</v>
      </c>
      <c r="L760" s="9" t="s">
        <v>539</v>
      </c>
      <c r="M760" s="9" t="str">
        <f t="shared" si="71"/>
        <v>Same</v>
      </c>
      <c r="N760" s="30" t="s">
        <v>1437</v>
      </c>
      <c r="O760" s="30" t="s">
        <v>1438</v>
      </c>
    </row>
    <row r="761" spans="1:15" ht="15" customHeight="1" x14ac:dyDescent="0.2">
      <c r="A761" s="9">
        <v>756</v>
      </c>
      <c r="B761" s="27">
        <f t="shared" si="66"/>
        <v>3693.2095749877872</v>
      </c>
      <c r="C761" s="27">
        <f t="shared" si="67"/>
        <v>14905.793844650707</v>
      </c>
      <c r="D761" s="28">
        <v>14.88</v>
      </c>
      <c r="E761" s="28">
        <v>14.87</v>
      </c>
      <c r="F761" s="9" t="str">
        <f t="shared" si="68"/>
        <v>Within 10 mV (calibration line)</v>
      </c>
      <c r="G761" s="27">
        <f t="shared" si="69"/>
        <v>3693.2095749877872</v>
      </c>
      <c r="H761" s="29">
        <v>4.1500000000000004</v>
      </c>
      <c r="I761" s="29">
        <v>4.1500000000000004</v>
      </c>
      <c r="J761" s="9" t="str">
        <f t="shared" si="70"/>
        <v>Identical</v>
      </c>
      <c r="K761" s="9" t="s">
        <v>539</v>
      </c>
      <c r="L761" s="9" t="s">
        <v>539</v>
      </c>
      <c r="M761" s="9" t="str">
        <f t="shared" si="71"/>
        <v>Same</v>
      </c>
      <c r="N761" s="30" t="s">
        <v>1439</v>
      </c>
      <c r="O761" s="30" t="s">
        <v>1440</v>
      </c>
    </row>
    <row r="762" spans="1:15" ht="15" customHeight="1" x14ac:dyDescent="0.2">
      <c r="A762" s="9">
        <v>757</v>
      </c>
      <c r="B762" s="27">
        <f t="shared" si="66"/>
        <v>3698.0947728383003</v>
      </c>
      <c r="C762" s="27">
        <f t="shared" si="67"/>
        <v>14925.510503175379</v>
      </c>
      <c r="D762" s="28">
        <v>14.9</v>
      </c>
      <c r="E762" s="28">
        <v>14.89</v>
      </c>
      <c r="F762" s="9" t="str">
        <f t="shared" si="68"/>
        <v>Within 10 mV (calibration line)</v>
      </c>
      <c r="G762" s="27">
        <f t="shared" si="69"/>
        <v>3698.0947728383003</v>
      </c>
      <c r="H762" s="29">
        <v>4.1500000000000004</v>
      </c>
      <c r="I762" s="29">
        <v>4.1500000000000004</v>
      </c>
      <c r="J762" s="9" t="str">
        <f t="shared" si="70"/>
        <v>Identical</v>
      </c>
      <c r="K762" s="9" t="s">
        <v>539</v>
      </c>
      <c r="L762" s="9" t="s">
        <v>539</v>
      </c>
      <c r="M762" s="9" t="str">
        <f t="shared" si="71"/>
        <v>Same</v>
      </c>
      <c r="N762" s="30" t="s">
        <v>1439</v>
      </c>
      <c r="O762" s="30" t="s">
        <v>1440</v>
      </c>
    </row>
    <row r="763" spans="1:15" ht="15" customHeight="1" x14ac:dyDescent="0.2">
      <c r="A763" s="9">
        <v>758</v>
      </c>
      <c r="B763" s="27">
        <f t="shared" si="66"/>
        <v>3702.979970688813</v>
      </c>
      <c r="C763" s="27">
        <f t="shared" si="67"/>
        <v>14945.227161700048</v>
      </c>
      <c r="D763" s="28">
        <v>14.92</v>
      </c>
      <c r="E763" s="28">
        <v>14.91</v>
      </c>
      <c r="F763" s="9" t="str">
        <f t="shared" si="68"/>
        <v>Within 10 mV (calibration line)</v>
      </c>
      <c r="G763" s="27">
        <f t="shared" si="69"/>
        <v>3702.979970688813</v>
      </c>
      <c r="H763" s="29">
        <v>4.16</v>
      </c>
      <c r="I763" s="29">
        <v>4.16</v>
      </c>
      <c r="J763" s="9" t="str">
        <f t="shared" si="70"/>
        <v>Identical</v>
      </c>
      <c r="K763" s="9" t="s">
        <v>539</v>
      </c>
      <c r="L763" s="9" t="s">
        <v>539</v>
      </c>
      <c r="M763" s="9" t="str">
        <f t="shared" si="71"/>
        <v>Same</v>
      </c>
      <c r="N763" s="30" t="s">
        <v>1441</v>
      </c>
      <c r="O763" s="30" t="s">
        <v>1442</v>
      </c>
    </row>
    <row r="764" spans="1:15" ht="15" customHeight="1" x14ac:dyDescent="0.2">
      <c r="A764" s="9">
        <v>759</v>
      </c>
      <c r="B764" s="27">
        <f t="shared" si="66"/>
        <v>3707.8651685393261</v>
      </c>
      <c r="C764" s="27">
        <f t="shared" si="67"/>
        <v>14964.943820224718</v>
      </c>
      <c r="D764" s="28">
        <v>14.94</v>
      </c>
      <c r="E764" s="28">
        <v>14.93</v>
      </c>
      <c r="F764" s="9" t="str">
        <f t="shared" si="68"/>
        <v>Within 10 mV (calibration line)</v>
      </c>
      <c r="G764" s="27">
        <f t="shared" si="69"/>
        <v>3707.8651685393261</v>
      </c>
      <c r="H764" s="29">
        <v>4.16</v>
      </c>
      <c r="I764" s="29">
        <v>4.16</v>
      </c>
      <c r="J764" s="9" t="str">
        <f t="shared" si="70"/>
        <v>Identical</v>
      </c>
      <c r="K764" s="9" t="s">
        <v>539</v>
      </c>
      <c r="L764" s="9" t="s">
        <v>539</v>
      </c>
      <c r="M764" s="9" t="str">
        <f t="shared" si="71"/>
        <v>Same</v>
      </c>
      <c r="N764" s="30" t="s">
        <v>1441</v>
      </c>
      <c r="O764" s="30" t="s">
        <v>1442</v>
      </c>
    </row>
    <row r="765" spans="1:15" ht="15" customHeight="1" x14ac:dyDescent="0.2">
      <c r="A765" s="9">
        <v>760</v>
      </c>
      <c r="B765" s="27">
        <f t="shared" si="66"/>
        <v>3712.7503663898392</v>
      </c>
      <c r="C765" s="27">
        <f t="shared" si="67"/>
        <v>14984.660478749389</v>
      </c>
      <c r="D765" s="28">
        <v>14.96</v>
      </c>
      <c r="E765" s="28">
        <v>14.95</v>
      </c>
      <c r="F765" s="9" t="str">
        <f t="shared" si="68"/>
        <v>Within 10 mV (calibration line)</v>
      </c>
      <c r="G765" s="27">
        <f t="shared" si="69"/>
        <v>3712.7503663898392</v>
      </c>
      <c r="H765" s="29">
        <v>4.17</v>
      </c>
      <c r="I765" s="29">
        <v>4.17</v>
      </c>
      <c r="J765" s="9" t="str">
        <f t="shared" si="70"/>
        <v>Identical</v>
      </c>
      <c r="K765" s="9" t="s">
        <v>539</v>
      </c>
      <c r="L765" s="9" t="s">
        <v>539</v>
      </c>
      <c r="M765" s="9" t="str">
        <f t="shared" si="71"/>
        <v>Same</v>
      </c>
      <c r="N765" s="30" t="s">
        <v>1443</v>
      </c>
      <c r="O765" s="30" t="s">
        <v>1444</v>
      </c>
    </row>
    <row r="766" spans="1:15" ht="15" customHeight="1" x14ac:dyDescent="0.2">
      <c r="A766" s="9">
        <v>761</v>
      </c>
      <c r="B766" s="27">
        <f t="shared" si="66"/>
        <v>3717.6355642403519</v>
      </c>
      <c r="C766" s="27">
        <f t="shared" si="67"/>
        <v>15004.377137274059</v>
      </c>
      <c r="D766" s="28">
        <v>14.98</v>
      </c>
      <c r="E766" s="28">
        <v>14.97</v>
      </c>
      <c r="F766" s="9" t="str">
        <f t="shared" si="68"/>
        <v>Within 10 mV (calibration line)</v>
      </c>
      <c r="G766" s="27">
        <f t="shared" si="69"/>
        <v>3717.6355642403519</v>
      </c>
      <c r="H766" s="29">
        <v>4.17</v>
      </c>
      <c r="I766" s="29">
        <v>4.17</v>
      </c>
      <c r="J766" s="9" t="str">
        <f t="shared" si="70"/>
        <v>Identical</v>
      </c>
      <c r="K766" s="9" t="s">
        <v>539</v>
      </c>
      <c r="L766" s="9" t="s">
        <v>539</v>
      </c>
      <c r="M766" s="9" t="str">
        <f t="shared" si="71"/>
        <v>Same</v>
      </c>
      <c r="N766" s="30" t="s">
        <v>1443</v>
      </c>
      <c r="O766" s="30" t="s">
        <v>1444</v>
      </c>
    </row>
    <row r="767" spans="1:15" ht="15" customHeight="1" x14ac:dyDescent="0.2">
      <c r="A767" s="9">
        <v>762</v>
      </c>
      <c r="B767" s="27">
        <f t="shared" si="66"/>
        <v>3722.520762090865</v>
      </c>
      <c r="C767" s="27">
        <f t="shared" si="67"/>
        <v>15024.09379579873</v>
      </c>
      <c r="D767" s="28">
        <v>15</v>
      </c>
      <c r="E767" s="28">
        <v>14.99</v>
      </c>
      <c r="F767" s="9" t="str">
        <f t="shared" si="68"/>
        <v>Within 10 mV (calibration line)</v>
      </c>
      <c r="G767" s="27">
        <f t="shared" si="69"/>
        <v>3722.520762090865</v>
      </c>
      <c r="H767" s="29">
        <v>4.18</v>
      </c>
      <c r="I767" s="29">
        <v>4.18</v>
      </c>
      <c r="J767" s="9" t="str">
        <f t="shared" si="70"/>
        <v>Identical</v>
      </c>
      <c r="K767" s="9" t="s">
        <v>539</v>
      </c>
      <c r="L767" s="9" t="s">
        <v>539</v>
      </c>
      <c r="M767" s="9" t="str">
        <f t="shared" si="71"/>
        <v>Same</v>
      </c>
      <c r="N767" s="30" t="s">
        <v>1445</v>
      </c>
      <c r="O767" s="30" t="s">
        <v>1446</v>
      </c>
    </row>
    <row r="768" spans="1:15" ht="15" customHeight="1" x14ac:dyDescent="0.2">
      <c r="A768" s="9">
        <v>763</v>
      </c>
      <c r="B768" s="27">
        <f t="shared" si="66"/>
        <v>3727.4059599413781</v>
      </c>
      <c r="C768" s="27">
        <f t="shared" si="67"/>
        <v>15043.8104543234</v>
      </c>
      <c r="D768" s="28">
        <v>15.01</v>
      </c>
      <c r="E768" s="28">
        <v>15.01</v>
      </c>
      <c r="F768" s="9" t="str">
        <f t="shared" si="68"/>
        <v>Identical</v>
      </c>
      <c r="G768" s="27">
        <f t="shared" si="69"/>
        <v>3727.4059599413781</v>
      </c>
      <c r="H768" s="29">
        <v>4.18</v>
      </c>
      <c r="I768" s="29">
        <v>4.18</v>
      </c>
      <c r="J768" s="9" t="str">
        <f t="shared" si="70"/>
        <v>Identical</v>
      </c>
      <c r="K768" s="9" t="s">
        <v>539</v>
      </c>
      <c r="L768" s="9" t="s">
        <v>539</v>
      </c>
      <c r="M768" s="9" t="str">
        <f t="shared" si="71"/>
        <v>Same</v>
      </c>
      <c r="N768" s="30" t="s">
        <v>1445</v>
      </c>
      <c r="O768" s="30" t="s">
        <v>1446</v>
      </c>
    </row>
    <row r="769" spans="1:15" ht="15" customHeight="1" x14ac:dyDescent="0.2">
      <c r="A769" s="9">
        <v>764</v>
      </c>
      <c r="B769" s="27">
        <f t="shared" si="66"/>
        <v>3732.2911577918908</v>
      </c>
      <c r="C769" s="27">
        <f t="shared" si="67"/>
        <v>15063.527112848069</v>
      </c>
      <c r="D769" s="28">
        <v>15.03</v>
      </c>
      <c r="E769" s="28">
        <v>15.03</v>
      </c>
      <c r="F769" s="9" t="str">
        <f t="shared" si="68"/>
        <v>Identical</v>
      </c>
      <c r="G769" s="27">
        <f t="shared" si="69"/>
        <v>3732.2911577918908</v>
      </c>
      <c r="H769" s="29">
        <v>4.1900000000000004</v>
      </c>
      <c r="I769" s="29">
        <v>4.1900000000000004</v>
      </c>
      <c r="J769" s="9" t="str">
        <f t="shared" si="70"/>
        <v>Identical</v>
      </c>
      <c r="K769" s="9" t="s">
        <v>539</v>
      </c>
      <c r="L769" s="9" t="s">
        <v>539</v>
      </c>
      <c r="M769" s="9" t="str">
        <f t="shared" si="71"/>
        <v>Same</v>
      </c>
      <c r="N769" s="30" t="s">
        <v>1447</v>
      </c>
      <c r="O769" s="30" t="s">
        <v>1448</v>
      </c>
    </row>
    <row r="770" spans="1:15" ht="15" customHeight="1" x14ac:dyDescent="0.2">
      <c r="A770" s="9">
        <v>765</v>
      </c>
      <c r="B770" s="27">
        <f t="shared" si="66"/>
        <v>3737.1763556424039</v>
      </c>
      <c r="C770" s="27">
        <f t="shared" si="67"/>
        <v>15083.243771372741</v>
      </c>
      <c r="D770" s="28">
        <v>15.05</v>
      </c>
      <c r="E770" s="28">
        <v>15.05</v>
      </c>
      <c r="F770" s="9" t="str">
        <f t="shared" si="68"/>
        <v>Identical</v>
      </c>
      <c r="G770" s="27">
        <f t="shared" si="69"/>
        <v>3737.1763556424039</v>
      </c>
      <c r="H770" s="29">
        <v>4.2</v>
      </c>
      <c r="I770" s="29">
        <v>4.2</v>
      </c>
      <c r="J770" s="9" t="str">
        <f t="shared" si="70"/>
        <v>Identical</v>
      </c>
      <c r="K770" s="9" t="s">
        <v>539</v>
      </c>
      <c r="L770" s="9" t="s">
        <v>539</v>
      </c>
      <c r="M770" s="9" t="str">
        <f t="shared" si="71"/>
        <v>Same</v>
      </c>
      <c r="N770" s="30" t="s">
        <v>1449</v>
      </c>
      <c r="O770" s="30" t="s">
        <v>1450</v>
      </c>
    </row>
    <row r="771" spans="1:15" ht="15" customHeight="1" x14ac:dyDescent="0.2">
      <c r="A771" s="9">
        <v>766</v>
      </c>
      <c r="B771" s="27">
        <f t="shared" si="66"/>
        <v>3742.0615534929166</v>
      </c>
      <c r="C771" s="27">
        <f t="shared" si="67"/>
        <v>15102.96042989741</v>
      </c>
      <c r="D771" s="28">
        <v>15.07</v>
      </c>
      <c r="E771" s="28">
        <v>15.07</v>
      </c>
      <c r="F771" s="9" t="str">
        <f t="shared" si="68"/>
        <v>Identical</v>
      </c>
      <c r="G771" s="27">
        <f t="shared" si="69"/>
        <v>3742.0615534929166</v>
      </c>
      <c r="H771" s="29">
        <v>4.2</v>
      </c>
      <c r="I771" s="29">
        <v>4.2</v>
      </c>
      <c r="J771" s="9" t="str">
        <f t="shared" si="70"/>
        <v>Identical</v>
      </c>
      <c r="K771" s="9" t="s">
        <v>539</v>
      </c>
      <c r="L771" s="9" t="s">
        <v>539</v>
      </c>
      <c r="M771" s="9" t="str">
        <f t="shared" si="71"/>
        <v>Same</v>
      </c>
      <c r="N771" s="30" t="s">
        <v>1449</v>
      </c>
      <c r="O771" s="30" t="s">
        <v>1450</v>
      </c>
    </row>
    <row r="772" spans="1:15" ht="15" customHeight="1" x14ac:dyDescent="0.2">
      <c r="A772" s="9">
        <v>767</v>
      </c>
      <c r="B772" s="27">
        <f t="shared" si="66"/>
        <v>3746.9467513434297</v>
      </c>
      <c r="C772" s="27">
        <f t="shared" si="67"/>
        <v>15122.67708842208</v>
      </c>
      <c r="D772" s="28">
        <v>15.09</v>
      </c>
      <c r="E772" s="28">
        <v>15.09</v>
      </c>
      <c r="F772" s="9" t="str">
        <f t="shared" si="68"/>
        <v>Identical</v>
      </c>
      <c r="G772" s="27">
        <f t="shared" si="69"/>
        <v>3746.9467513434297</v>
      </c>
      <c r="H772" s="29">
        <v>4.21</v>
      </c>
      <c r="I772" s="29">
        <v>4.21</v>
      </c>
      <c r="J772" s="9" t="str">
        <f t="shared" si="70"/>
        <v>Identical</v>
      </c>
      <c r="K772" s="9" t="s">
        <v>539</v>
      </c>
      <c r="L772" s="9" t="s">
        <v>539</v>
      </c>
      <c r="M772" s="9" t="str">
        <f t="shared" si="71"/>
        <v>Same</v>
      </c>
      <c r="N772" s="30" t="s">
        <v>1451</v>
      </c>
      <c r="O772" s="30" t="s">
        <v>1452</v>
      </c>
    </row>
    <row r="773" spans="1:15" ht="15" customHeight="1" x14ac:dyDescent="0.2">
      <c r="A773" s="9">
        <v>768</v>
      </c>
      <c r="B773" s="27">
        <f t="shared" ref="B773:B836" si="72">A773/$C$3*1000</f>
        <v>3751.8319491939428</v>
      </c>
      <c r="C773" s="27">
        <f t="shared" ref="C773:C836" si="73">B773*$F$3</f>
        <v>15142.393746946751</v>
      </c>
      <c r="D773" s="28">
        <v>15.11</v>
      </c>
      <c r="E773" s="28">
        <v>15.11</v>
      </c>
      <c r="F773" s="9" t="str">
        <f t="shared" ref="F773:F836" si="74">IF(D773=E773,"Identical",IF(E773="OL","ADC full scale: now OL",IF(ABS(E773-D773)&lt;0.0105,"Within 10 mV (calibration line)",IF(AND(C773&lt;4200,ABS(E773-D773)&lt;0.0205),"-20 mV (end of old +30 mV band)",IF(C773&lt;830,"Low range fixed (F-02)","Different")))))</f>
        <v>Identical</v>
      </c>
      <c r="G773" s="27">
        <f t="shared" ref="G773:G836" si="75">B773</f>
        <v>3751.8319491939428</v>
      </c>
      <c r="H773" s="29">
        <v>4.21</v>
      </c>
      <c r="I773" s="29">
        <v>4.21</v>
      </c>
      <c r="J773" s="9" t="str">
        <f t="shared" ref="J773:J836" si="76">IF(H773=I773,"Identical",IF(I773="OL","Above 5.00 A: now OL",IF(H773="ERR (999.23)","Gap bug fixed",IF(ABS(I773-H773-0.01)&lt;0.0001,"+0.01 A (nearest step)","Different"))))</f>
        <v>Identical</v>
      </c>
      <c r="K773" s="9" t="s">
        <v>539</v>
      </c>
      <c r="L773" s="9" t="s">
        <v>539</v>
      </c>
      <c r="M773" s="9" t="str">
        <f t="shared" ref="M773:M836" si="77">IF(K773=L773,"Same","Different")</f>
        <v>Same</v>
      </c>
      <c r="N773" s="30" t="s">
        <v>1451</v>
      </c>
      <c r="O773" s="30" t="s">
        <v>1452</v>
      </c>
    </row>
    <row r="774" spans="1:15" ht="15" customHeight="1" x14ac:dyDescent="0.2">
      <c r="A774" s="9">
        <v>769</v>
      </c>
      <c r="B774" s="27">
        <f t="shared" si="72"/>
        <v>3756.7171470444555</v>
      </c>
      <c r="C774" s="27">
        <f t="shared" si="73"/>
        <v>15162.110405471421</v>
      </c>
      <c r="D774" s="28">
        <v>15.13</v>
      </c>
      <c r="E774" s="28">
        <v>15.13</v>
      </c>
      <c r="F774" s="9" t="str">
        <f t="shared" si="74"/>
        <v>Identical</v>
      </c>
      <c r="G774" s="27">
        <f t="shared" si="75"/>
        <v>3756.7171470444555</v>
      </c>
      <c r="H774" s="29">
        <v>4.22</v>
      </c>
      <c r="I774" s="29">
        <v>4.22</v>
      </c>
      <c r="J774" s="9" t="str">
        <f t="shared" si="76"/>
        <v>Identical</v>
      </c>
      <c r="K774" s="9" t="s">
        <v>539</v>
      </c>
      <c r="L774" s="9" t="s">
        <v>539</v>
      </c>
      <c r="M774" s="9" t="str">
        <f t="shared" si="77"/>
        <v>Same</v>
      </c>
      <c r="N774" s="30" t="s">
        <v>1453</v>
      </c>
      <c r="O774" s="30" t="s">
        <v>1454</v>
      </c>
    </row>
    <row r="775" spans="1:15" ht="15" customHeight="1" x14ac:dyDescent="0.2">
      <c r="A775" s="9">
        <v>770</v>
      </c>
      <c r="B775" s="27">
        <f t="shared" si="72"/>
        <v>3761.6023448949686</v>
      </c>
      <c r="C775" s="27">
        <f t="shared" si="73"/>
        <v>15181.827063996092</v>
      </c>
      <c r="D775" s="28">
        <v>15.15</v>
      </c>
      <c r="E775" s="28">
        <v>15.15</v>
      </c>
      <c r="F775" s="9" t="str">
        <f t="shared" si="74"/>
        <v>Identical</v>
      </c>
      <c r="G775" s="27">
        <f t="shared" si="75"/>
        <v>3761.6023448949686</v>
      </c>
      <c r="H775" s="29">
        <v>4.22</v>
      </c>
      <c r="I775" s="29">
        <v>4.22</v>
      </c>
      <c r="J775" s="9" t="str">
        <f t="shared" si="76"/>
        <v>Identical</v>
      </c>
      <c r="K775" s="9" t="s">
        <v>539</v>
      </c>
      <c r="L775" s="9" t="s">
        <v>539</v>
      </c>
      <c r="M775" s="9" t="str">
        <f t="shared" si="77"/>
        <v>Same</v>
      </c>
      <c r="N775" s="30" t="s">
        <v>1453</v>
      </c>
      <c r="O775" s="30" t="s">
        <v>1454</v>
      </c>
    </row>
    <row r="776" spans="1:15" ht="15" customHeight="1" x14ac:dyDescent="0.2">
      <c r="A776" s="9">
        <v>771</v>
      </c>
      <c r="B776" s="27">
        <f t="shared" si="72"/>
        <v>3766.4875427454817</v>
      </c>
      <c r="C776" s="27">
        <f t="shared" si="73"/>
        <v>15201.543722520762</v>
      </c>
      <c r="D776" s="28">
        <v>15.17</v>
      </c>
      <c r="E776" s="28">
        <v>15.17</v>
      </c>
      <c r="F776" s="9" t="str">
        <f t="shared" si="74"/>
        <v>Identical</v>
      </c>
      <c r="G776" s="27">
        <f t="shared" si="75"/>
        <v>3766.4875427454817</v>
      </c>
      <c r="H776" s="29">
        <v>4.2300000000000004</v>
      </c>
      <c r="I776" s="29">
        <v>4.2300000000000004</v>
      </c>
      <c r="J776" s="9" t="str">
        <f t="shared" si="76"/>
        <v>Identical</v>
      </c>
      <c r="K776" s="9" t="s">
        <v>539</v>
      </c>
      <c r="L776" s="9" t="s">
        <v>539</v>
      </c>
      <c r="M776" s="9" t="str">
        <f t="shared" si="77"/>
        <v>Same</v>
      </c>
      <c r="N776" s="30" t="s">
        <v>1455</v>
      </c>
      <c r="O776" s="30" t="s">
        <v>1456</v>
      </c>
    </row>
    <row r="777" spans="1:15" ht="15" customHeight="1" x14ac:dyDescent="0.2">
      <c r="A777" s="9">
        <v>772</v>
      </c>
      <c r="B777" s="27">
        <f t="shared" si="72"/>
        <v>3771.3727405959944</v>
      </c>
      <c r="C777" s="27">
        <f t="shared" si="73"/>
        <v>15221.260381045431</v>
      </c>
      <c r="D777" s="28">
        <v>15.19</v>
      </c>
      <c r="E777" s="28">
        <v>15.19</v>
      </c>
      <c r="F777" s="9" t="str">
        <f t="shared" si="74"/>
        <v>Identical</v>
      </c>
      <c r="G777" s="27">
        <f t="shared" si="75"/>
        <v>3771.3727405959944</v>
      </c>
      <c r="H777" s="29">
        <v>4.2300000000000004</v>
      </c>
      <c r="I777" s="29">
        <v>4.2300000000000004</v>
      </c>
      <c r="J777" s="9" t="str">
        <f t="shared" si="76"/>
        <v>Identical</v>
      </c>
      <c r="K777" s="9" t="s">
        <v>539</v>
      </c>
      <c r="L777" s="9" t="s">
        <v>539</v>
      </c>
      <c r="M777" s="9" t="str">
        <f t="shared" si="77"/>
        <v>Same</v>
      </c>
      <c r="N777" s="30" t="s">
        <v>1455</v>
      </c>
      <c r="O777" s="30" t="s">
        <v>1456</v>
      </c>
    </row>
    <row r="778" spans="1:15" ht="15" customHeight="1" x14ac:dyDescent="0.2">
      <c r="A778" s="9">
        <v>773</v>
      </c>
      <c r="B778" s="27">
        <f t="shared" si="72"/>
        <v>3776.2579384465075</v>
      </c>
      <c r="C778" s="27">
        <f t="shared" si="73"/>
        <v>15240.977039570103</v>
      </c>
      <c r="D778" s="28">
        <v>15.21</v>
      </c>
      <c r="E778" s="28">
        <v>15.21</v>
      </c>
      <c r="F778" s="9" t="str">
        <f t="shared" si="74"/>
        <v>Identical</v>
      </c>
      <c r="G778" s="27">
        <f t="shared" si="75"/>
        <v>3776.2579384465075</v>
      </c>
      <c r="H778" s="29">
        <v>4.24</v>
      </c>
      <c r="I778" s="29">
        <v>4.24</v>
      </c>
      <c r="J778" s="9" t="str">
        <f t="shared" si="76"/>
        <v>Identical</v>
      </c>
      <c r="K778" s="9" t="s">
        <v>539</v>
      </c>
      <c r="L778" s="9" t="s">
        <v>539</v>
      </c>
      <c r="M778" s="9" t="str">
        <f t="shared" si="77"/>
        <v>Same</v>
      </c>
      <c r="N778" s="30" t="s">
        <v>1457</v>
      </c>
      <c r="O778" s="30" t="s">
        <v>1458</v>
      </c>
    </row>
    <row r="779" spans="1:15" ht="15" customHeight="1" x14ac:dyDescent="0.2">
      <c r="A779" s="9">
        <v>774</v>
      </c>
      <c r="B779" s="27">
        <f t="shared" si="72"/>
        <v>3781.1431362970202</v>
      </c>
      <c r="C779" s="27">
        <f t="shared" si="73"/>
        <v>15260.693698094772</v>
      </c>
      <c r="D779" s="28">
        <v>15.23</v>
      </c>
      <c r="E779" s="28">
        <v>15.23</v>
      </c>
      <c r="F779" s="9" t="str">
        <f t="shared" si="74"/>
        <v>Identical</v>
      </c>
      <c r="G779" s="27">
        <f t="shared" si="75"/>
        <v>3781.1431362970202</v>
      </c>
      <c r="H779" s="29">
        <v>4.25</v>
      </c>
      <c r="I779" s="29">
        <v>4.25</v>
      </c>
      <c r="J779" s="9" t="str">
        <f t="shared" si="76"/>
        <v>Identical</v>
      </c>
      <c r="K779" s="9" t="s">
        <v>539</v>
      </c>
      <c r="L779" s="9" t="s">
        <v>539</v>
      </c>
      <c r="M779" s="9" t="str">
        <f t="shared" si="77"/>
        <v>Same</v>
      </c>
      <c r="N779" s="30" t="s">
        <v>1459</v>
      </c>
      <c r="O779" s="30" t="s">
        <v>1460</v>
      </c>
    </row>
    <row r="780" spans="1:15" ht="15" customHeight="1" x14ac:dyDescent="0.2">
      <c r="A780" s="9">
        <v>775</v>
      </c>
      <c r="B780" s="27">
        <f t="shared" si="72"/>
        <v>3786.0283341475333</v>
      </c>
      <c r="C780" s="27">
        <f t="shared" si="73"/>
        <v>15280.410356619443</v>
      </c>
      <c r="D780" s="28">
        <v>15.25</v>
      </c>
      <c r="E780" s="28">
        <v>15.25</v>
      </c>
      <c r="F780" s="9" t="str">
        <f t="shared" si="74"/>
        <v>Identical</v>
      </c>
      <c r="G780" s="27">
        <f t="shared" si="75"/>
        <v>3786.0283341475333</v>
      </c>
      <c r="H780" s="29">
        <v>4.25</v>
      </c>
      <c r="I780" s="29">
        <v>4.25</v>
      </c>
      <c r="J780" s="9" t="str">
        <f t="shared" si="76"/>
        <v>Identical</v>
      </c>
      <c r="K780" s="9" t="s">
        <v>539</v>
      </c>
      <c r="L780" s="9" t="s">
        <v>539</v>
      </c>
      <c r="M780" s="9" t="str">
        <f t="shared" si="77"/>
        <v>Same</v>
      </c>
      <c r="N780" s="30" t="s">
        <v>1459</v>
      </c>
      <c r="O780" s="30" t="s">
        <v>1460</v>
      </c>
    </row>
    <row r="781" spans="1:15" ht="15" customHeight="1" x14ac:dyDescent="0.2">
      <c r="A781" s="9">
        <v>776</v>
      </c>
      <c r="B781" s="27">
        <f t="shared" si="72"/>
        <v>3790.9135319980464</v>
      </c>
      <c r="C781" s="27">
        <f t="shared" si="73"/>
        <v>15300.127015144113</v>
      </c>
      <c r="D781" s="28">
        <v>15.27</v>
      </c>
      <c r="E781" s="28">
        <v>15.27</v>
      </c>
      <c r="F781" s="9" t="str">
        <f t="shared" si="74"/>
        <v>Identical</v>
      </c>
      <c r="G781" s="27">
        <f t="shared" si="75"/>
        <v>3790.9135319980464</v>
      </c>
      <c r="H781" s="29">
        <v>4.26</v>
      </c>
      <c r="I781" s="29">
        <v>4.26</v>
      </c>
      <c r="J781" s="9" t="str">
        <f t="shared" si="76"/>
        <v>Identical</v>
      </c>
      <c r="K781" s="9" t="s">
        <v>539</v>
      </c>
      <c r="L781" s="9" t="s">
        <v>539</v>
      </c>
      <c r="M781" s="9" t="str">
        <f t="shared" si="77"/>
        <v>Same</v>
      </c>
      <c r="N781" s="30" t="s">
        <v>1461</v>
      </c>
      <c r="O781" s="30" t="s">
        <v>1462</v>
      </c>
    </row>
    <row r="782" spans="1:15" ht="15" customHeight="1" x14ac:dyDescent="0.2">
      <c r="A782" s="9">
        <v>777</v>
      </c>
      <c r="B782" s="27">
        <f t="shared" si="72"/>
        <v>3795.7987298485591</v>
      </c>
      <c r="C782" s="27">
        <f t="shared" si="73"/>
        <v>15319.843673668784</v>
      </c>
      <c r="D782" s="28">
        <v>15.28</v>
      </c>
      <c r="E782" s="28">
        <v>15.29</v>
      </c>
      <c r="F782" s="9" t="str">
        <f t="shared" si="74"/>
        <v>Within 10 mV (calibration line)</v>
      </c>
      <c r="G782" s="27">
        <f t="shared" si="75"/>
        <v>3795.7987298485591</v>
      </c>
      <c r="H782" s="29">
        <v>4.26</v>
      </c>
      <c r="I782" s="29">
        <v>4.26</v>
      </c>
      <c r="J782" s="9" t="str">
        <f t="shared" si="76"/>
        <v>Identical</v>
      </c>
      <c r="K782" s="9" t="s">
        <v>539</v>
      </c>
      <c r="L782" s="9" t="s">
        <v>539</v>
      </c>
      <c r="M782" s="9" t="str">
        <f t="shared" si="77"/>
        <v>Same</v>
      </c>
      <c r="N782" s="30" t="s">
        <v>1461</v>
      </c>
      <c r="O782" s="30" t="s">
        <v>1462</v>
      </c>
    </row>
    <row r="783" spans="1:15" ht="15" customHeight="1" x14ac:dyDescent="0.2">
      <c r="A783" s="9">
        <v>778</v>
      </c>
      <c r="B783" s="27">
        <f t="shared" si="72"/>
        <v>3800.6839276990722</v>
      </c>
      <c r="C783" s="27">
        <f t="shared" si="73"/>
        <v>15339.560332193454</v>
      </c>
      <c r="D783" s="28">
        <v>15.3</v>
      </c>
      <c r="E783" s="28">
        <v>15.31</v>
      </c>
      <c r="F783" s="9" t="str">
        <f t="shared" si="74"/>
        <v>Within 10 mV (calibration line)</v>
      </c>
      <c r="G783" s="27">
        <f t="shared" si="75"/>
        <v>3800.6839276990722</v>
      </c>
      <c r="H783" s="29">
        <v>4.2699999999999996</v>
      </c>
      <c r="I783" s="29">
        <v>4.2699999999999996</v>
      </c>
      <c r="J783" s="9" t="str">
        <f t="shared" si="76"/>
        <v>Identical</v>
      </c>
      <c r="K783" s="9" t="s">
        <v>539</v>
      </c>
      <c r="L783" s="9" t="s">
        <v>539</v>
      </c>
      <c r="M783" s="9" t="str">
        <f t="shared" si="77"/>
        <v>Same</v>
      </c>
      <c r="N783" s="30" t="s">
        <v>1463</v>
      </c>
      <c r="O783" s="30" t="s">
        <v>1464</v>
      </c>
    </row>
    <row r="784" spans="1:15" ht="15" customHeight="1" x14ac:dyDescent="0.2">
      <c r="A784" s="9">
        <v>779</v>
      </c>
      <c r="B784" s="27">
        <f t="shared" si="72"/>
        <v>3805.5691255495854</v>
      </c>
      <c r="C784" s="27">
        <f t="shared" si="73"/>
        <v>15359.276990718125</v>
      </c>
      <c r="D784" s="28">
        <v>15.32</v>
      </c>
      <c r="E784" s="28">
        <v>15.33</v>
      </c>
      <c r="F784" s="9" t="str">
        <f t="shared" si="74"/>
        <v>Within 10 mV (calibration line)</v>
      </c>
      <c r="G784" s="27">
        <f t="shared" si="75"/>
        <v>3805.5691255495854</v>
      </c>
      <c r="H784" s="29">
        <v>4.2699999999999996</v>
      </c>
      <c r="I784" s="29">
        <v>4.2699999999999996</v>
      </c>
      <c r="J784" s="9" t="str">
        <f t="shared" si="76"/>
        <v>Identical</v>
      </c>
      <c r="K784" s="9" t="s">
        <v>539</v>
      </c>
      <c r="L784" s="9" t="s">
        <v>539</v>
      </c>
      <c r="M784" s="9" t="str">
        <f t="shared" si="77"/>
        <v>Same</v>
      </c>
      <c r="N784" s="30" t="s">
        <v>1463</v>
      </c>
      <c r="O784" s="30" t="s">
        <v>1464</v>
      </c>
    </row>
    <row r="785" spans="1:15" ht="15" customHeight="1" x14ac:dyDescent="0.2">
      <c r="A785" s="9">
        <v>780</v>
      </c>
      <c r="B785" s="27">
        <f t="shared" si="72"/>
        <v>3810.454323400098</v>
      </c>
      <c r="C785" s="27">
        <f t="shared" si="73"/>
        <v>15378.993649242793</v>
      </c>
      <c r="D785" s="28">
        <v>15.34</v>
      </c>
      <c r="E785" s="28">
        <v>15.35</v>
      </c>
      <c r="F785" s="9" t="str">
        <f t="shared" si="74"/>
        <v>Within 10 mV (calibration line)</v>
      </c>
      <c r="G785" s="27">
        <f t="shared" si="75"/>
        <v>3810.454323400098</v>
      </c>
      <c r="H785" s="29">
        <v>4.28</v>
      </c>
      <c r="I785" s="29">
        <v>4.28</v>
      </c>
      <c r="J785" s="9" t="str">
        <f t="shared" si="76"/>
        <v>Identical</v>
      </c>
      <c r="K785" s="9" t="s">
        <v>539</v>
      </c>
      <c r="L785" s="9" t="s">
        <v>539</v>
      </c>
      <c r="M785" s="9" t="str">
        <f t="shared" si="77"/>
        <v>Same</v>
      </c>
      <c r="N785" s="30" t="s">
        <v>1465</v>
      </c>
      <c r="O785" s="30" t="s">
        <v>1466</v>
      </c>
    </row>
    <row r="786" spans="1:15" ht="15" customHeight="1" x14ac:dyDescent="0.2">
      <c r="A786" s="9">
        <v>781</v>
      </c>
      <c r="B786" s="27">
        <f t="shared" si="72"/>
        <v>3815.3395212506111</v>
      </c>
      <c r="C786" s="27">
        <f t="shared" si="73"/>
        <v>15398.710307767466</v>
      </c>
      <c r="D786" s="28">
        <v>15.36</v>
      </c>
      <c r="E786" s="28">
        <v>15.36</v>
      </c>
      <c r="F786" s="9" t="str">
        <f t="shared" si="74"/>
        <v>Identical</v>
      </c>
      <c r="G786" s="27">
        <f t="shared" si="75"/>
        <v>3815.3395212506111</v>
      </c>
      <c r="H786" s="29">
        <v>4.28</v>
      </c>
      <c r="I786" s="29">
        <v>4.28</v>
      </c>
      <c r="J786" s="9" t="str">
        <f t="shared" si="76"/>
        <v>Identical</v>
      </c>
      <c r="K786" s="9" t="s">
        <v>539</v>
      </c>
      <c r="L786" s="9" t="s">
        <v>539</v>
      </c>
      <c r="M786" s="9" t="str">
        <f t="shared" si="77"/>
        <v>Same</v>
      </c>
      <c r="N786" s="30" t="s">
        <v>1465</v>
      </c>
      <c r="O786" s="30" t="s">
        <v>1466</v>
      </c>
    </row>
    <row r="787" spans="1:15" ht="15" customHeight="1" x14ac:dyDescent="0.2">
      <c r="A787" s="9">
        <v>782</v>
      </c>
      <c r="B787" s="27">
        <f t="shared" si="72"/>
        <v>3820.2247191011238</v>
      </c>
      <c r="C787" s="27">
        <f t="shared" si="73"/>
        <v>15418.426966292134</v>
      </c>
      <c r="D787" s="28">
        <v>15.38</v>
      </c>
      <c r="E787" s="28">
        <v>15.38</v>
      </c>
      <c r="F787" s="9" t="str">
        <f t="shared" si="74"/>
        <v>Identical</v>
      </c>
      <c r="G787" s="27">
        <f t="shared" si="75"/>
        <v>3820.2247191011238</v>
      </c>
      <c r="H787" s="29">
        <v>4.29</v>
      </c>
      <c r="I787" s="29">
        <v>4.29</v>
      </c>
      <c r="J787" s="9" t="str">
        <f t="shared" si="76"/>
        <v>Identical</v>
      </c>
      <c r="K787" s="9" t="s">
        <v>539</v>
      </c>
      <c r="L787" s="9" t="s">
        <v>539</v>
      </c>
      <c r="M787" s="9" t="str">
        <f t="shared" si="77"/>
        <v>Same</v>
      </c>
      <c r="N787" s="30" t="s">
        <v>1467</v>
      </c>
      <c r="O787" s="30" t="s">
        <v>1468</v>
      </c>
    </row>
    <row r="788" spans="1:15" ht="15" customHeight="1" x14ac:dyDescent="0.2">
      <c r="A788" s="9">
        <v>783</v>
      </c>
      <c r="B788" s="27">
        <f t="shared" si="72"/>
        <v>3825.1099169516369</v>
      </c>
      <c r="C788" s="27">
        <f t="shared" si="73"/>
        <v>15438.143624816805</v>
      </c>
      <c r="D788" s="28">
        <v>15.4</v>
      </c>
      <c r="E788" s="28">
        <v>15.4</v>
      </c>
      <c r="F788" s="9" t="str">
        <f t="shared" si="74"/>
        <v>Identical</v>
      </c>
      <c r="G788" s="27">
        <f t="shared" si="75"/>
        <v>3825.1099169516369</v>
      </c>
      <c r="H788" s="29">
        <v>4.29</v>
      </c>
      <c r="I788" s="29">
        <v>4.29</v>
      </c>
      <c r="J788" s="9" t="str">
        <f t="shared" si="76"/>
        <v>Identical</v>
      </c>
      <c r="K788" s="9" t="s">
        <v>539</v>
      </c>
      <c r="L788" s="9" t="s">
        <v>539</v>
      </c>
      <c r="M788" s="9" t="str">
        <f t="shared" si="77"/>
        <v>Same</v>
      </c>
      <c r="N788" s="30" t="s">
        <v>1467</v>
      </c>
      <c r="O788" s="30" t="s">
        <v>1468</v>
      </c>
    </row>
    <row r="789" spans="1:15" ht="15" customHeight="1" x14ac:dyDescent="0.2">
      <c r="A789" s="9">
        <v>784</v>
      </c>
      <c r="B789" s="27">
        <f t="shared" si="72"/>
        <v>3829.9951148021496</v>
      </c>
      <c r="C789" s="27">
        <f t="shared" si="73"/>
        <v>15457.860283341473</v>
      </c>
      <c r="D789" s="28">
        <v>15.42</v>
      </c>
      <c r="E789" s="28">
        <v>15.42</v>
      </c>
      <c r="F789" s="9" t="str">
        <f t="shared" si="74"/>
        <v>Identical</v>
      </c>
      <c r="G789" s="27">
        <f t="shared" si="75"/>
        <v>3829.9951148021496</v>
      </c>
      <c r="H789" s="29">
        <v>4.3</v>
      </c>
      <c r="I789" s="29">
        <v>4.3</v>
      </c>
      <c r="J789" s="9" t="str">
        <f t="shared" si="76"/>
        <v>Identical</v>
      </c>
      <c r="K789" s="9" t="s">
        <v>539</v>
      </c>
      <c r="L789" s="9" t="s">
        <v>539</v>
      </c>
      <c r="M789" s="9" t="str">
        <f t="shared" si="77"/>
        <v>Same</v>
      </c>
      <c r="N789" s="30" t="s">
        <v>1469</v>
      </c>
      <c r="O789" s="30" t="s">
        <v>1470</v>
      </c>
    </row>
    <row r="790" spans="1:15" ht="15" customHeight="1" x14ac:dyDescent="0.2">
      <c r="A790" s="9">
        <v>785</v>
      </c>
      <c r="B790" s="27">
        <f t="shared" si="72"/>
        <v>3834.8803126526623</v>
      </c>
      <c r="C790" s="27">
        <f t="shared" si="73"/>
        <v>15477.576941866144</v>
      </c>
      <c r="D790" s="28">
        <v>15.44</v>
      </c>
      <c r="E790" s="28">
        <v>15.44</v>
      </c>
      <c r="F790" s="9" t="str">
        <f t="shared" si="74"/>
        <v>Identical</v>
      </c>
      <c r="G790" s="27">
        <f t="shared" si="75"/>
        <v>3834.8803126526623</v>
      </c>
      <c r="H790" s="29">
        <v>4.3</v>
      </c>
      <c r="I790" s="29">
        <v>4.3099999999999996</v>
      </c>
      <c r="J790" s="9" t="str">
        <f t="shared" si="76"/>
        <v>+0.01 A (nearest step)</v>
      </c>
      <c r="K790" s="9" t="s">
        <v>539</v>
      </c>
      <c r="L790" s="9" t="s">
        <v>539</v>
      </c>
      <c r="M790" s="9" t="str">
        <f t="shared" si="77"/>
        <v>Same</v>
      </c>
      <c r="N790" s="30" t="s">
        <v>1469</v>
      </c>
      <c r="O790" s="30" t="s">
        <v>1471</v>
      </c>
    </row>
    <row r="791" spans="1:15" ht="15" customHeight="1" x14ac:dyDescent="0.2">
      <c r="A791" s="9">
        <v>786</v>
      </c>
      <c r="B791" s="27">
        <f t="shared" si="72"/>
        <v>3839.7655105031754</v>
      </c>
      <c r="C791" s="27">
        <f t="shared" si="73"/>
        <v>15497.293600390814</v>
      </c>
      <c r="D791" s="28">
        <v>15.46</v>
      </c>
      <c r="E791" s="28">
        <v>15.46</v>
      </c>
      <c r="F791" s="9" t="str">
        <f t="shared" si="74"/>
        <v>Identical</v>
      </c>
      <c r="G791" s="27">
        <f t="shared" si="75"/>
        <v>3839.7655105031754</v>
      </c>
      <c r="H791" s="29">
        <v>4.3099999999999996</v>
      </c>
      <c r="I791" s="29">
        <v>4.3099999999999996</v>
      </c>
      <c r="J791" s="9" t="str">
        <f t="shared" si="76"/>
        <v>Identical</v>
      </c>
      <c r="K791" s="9" t="s">
        <v>539</v>
      </c>
      <c r="L791" s="9" t="s">
        <v>539</v>
      </c>
      <c r="M791" s="9" t="str">
        <f t="shared" si="77"/>
        <v>Same</v>
      </c>
      <c r="N791" s="30" t="s">
        <v>1472</v>
      </c>
      <c r="O791" s="30" t="s">
        <v>1471</v>
      </c>
    </row>
    <row r="792" spans="1:15" ht="15" customHeight="1" x14ac:dyDescent="0.2">
      <c r="A792" s="9">
        <v>787</v>
      </c>
      <c r="B792" s="27">
        <f t="shared" si="72"/>
        <v>3844.6507083536885</v>
      </c>
      <c r="C792" s="27">
        <f t="shared" si="73"/>
        <v>15517.010258915485</v>
      </c>
      <c r="D792" s="28">
        <v>15.48</v>
      </c>
      <c r="E792" s="28">
        <v>15.48</v>
      </c>
      <c r="F792" s="9" t="str">
        <f t="shared" si="74"/>
        <v>Identical</v>
      </c>
      <c r="G792" s="27">
        <f t="shared" si="75"/>
        <v>3844.6507083536885</v>
      </c>
      <c r="H792" s="29">
        <v>4.32</v>
      </c>
      <c r="I792" s="29">
        <v>4.32</v>
      </c>
      <c r="J792" s="9" t="str">
        <f t="shared" si="76"/>
        <v>Identical</v>
      </c>
      <c r="K792" s="9" t="s">
        <v>539</v>
      </c>
      <c r="L792" s="9" t="s">
        <v>539</v>
      </c>
      <c r="M792" s="9" t="str">
        <f t="shared" si="77"/>
        <v>Same</v>
      </c>
      <c r="N792" s="30" t="s">
        <v>1473</v>
      </c>
      <c r="O792" s="30" t="s">
        <v>1474</v>
      </c>
    </row>
    <row r="793" spans="1:15" ht="15" customHeight="1" x14ac:dyDescent="0.2">
      <c r="A793" s="9">
        <v>788</v>
      </c>
      <c r="B793" s="27">
        <f t="shared" si="72"/>
        <v>3849.5359062042012</v>
      </c>
      <c r="C793" s="27">
        <f t="shared" si="73"/>
        <v>15536.726917440154</v>
      </c>
      <c r="D793" s="28">
        <v>15.5</v>
      </c>
      <c r="E793" s="28">
        <v>15.5</v>
      </c>
      <c r="F793" s="9" t="str">
        <f t="shared" si="74"/>
        <v>Identical</v>
      </c>
      <c r="G793" s="27">
        <f t="shared" si="75"/>
        <v>3849.5359062042012</v>
      </c>
      <c r="H793" s="29">
        <v>4.32</v>
      </c>
      <c r="I793" s="29">
        <v>4.32</v>
      </c>
      <c r="J793" s="9" t="str">
        <f t="shared" si="76"/>
        <v>Identical</v>
      </c>
      <c r="K793" s="9" t="s">
        <v>539</v>
      </c>
      <c r="L793" s="9" t="s">
        <v>539</v>
      </c>
      <c r="M793" s="9" t="str">
        <f t="shared" si="77"/>
        <v>Same</v>
      </c>
      <c r="N793" s="30" t="s">
        <v>1473</v>
      </c>
      <c r="O793" s="30" t="s">
        <v>1474</v>
      </c>
    </row>
    <row r="794" spans="1:15" ht="15" customHeight="1" x14ac:dyDescent="0.2">
      <c r="A794" s="9">
        <v>789</v>
      </c>
      <c r="B794" s="27">
        <f t="shared" si="72"/>
        <v>3854.4211040547143</v>
      </c>
      <c r="C794" s="27">
        <f t="shared" si="73"/>
        <v>15556.443575964826</v>
      </c>
      <c r="D794" s="28">
        <v>15.52</v>
      </c>
      <c r="E794" s="28">
        <v>15.52</v>
      </c>
      <c r="F794" s="9" t="str">
        <f t="shared" si="74"/>
        <v>Identical</v>
      </c>
      <c r="G794" s="27">
        <f t="shared" si="75"/>
        <v>3854.4211040547143</v>
      </c>
      <c r="H794" s="29">
        <v>4.33</v>
      </c>
      <c r="I794" s="29">
        <v>4.33</v>
      </c>
      <c r="J794" s="9" t="str">
        <f t="shared" si="76"/>
        <v>Identical</v>
      </c>
      <c r="K794" s="9" t="s">
        <v>539</v>
      </c>
      <c r="L794" s="9" t="s">
        <v>539</v>
      </c>
      <c r="M794" s="9" t="str">
        <f t="shared" si="77"/>
        <v>Same</v>
      </c>
      <c r="N794" s="30" t="s">
        <v>1475</v>
      </c>
      <c r="O794" s="30" t="s">
        <v>1476</v>
      </c>
    </row>
    <row r="795" spans="1:15" ht="15" customHeight="1" x14ac:dyDescent="0.2">
      <c r="A795" s="9">
        <v>790</v>
      </c>
      <c r="B795" s="27">
        <f t="shared" si="72"/>
        <v>3859.306301905227</v>
      </c>
      <c r="C795" s="27">
        <f t="shared" si="73"/>
        <v>15576.160234489495</v>
      </c>
      <c r="D795" s="28">
        <v>15.54</v>
      </c>
      <c r="E795" s="28">
        <v>15.54</v>
      </c>
      <c r="F795" s="9" t="str">
        <f t="shared" si="74"/>
        <v>Identical</v>
      </c>
      <c r="G795" s="27">
        <f t="shared" si="75"/>
        <v>3859.306301905227</v>
      </c>
      <c r="H795" s="29">
        <v>4.33</v>
      </c>
      <c r="I795" s="29">
        <v>4.33</v>
      </c>
      <c r="J795" s="9" t="str">
        <f t="shared" si="76"/>
        <v>Identical</v>
      </c>
      <c r="K795" s="9" t="s">
        <v>539</v>
      </c>
      <c r="L795" s="9" t="s">
        <v>539</v>
      </c>
      <c r="M795" s="9" t="str">
        <f t="shared" si="77"/>
        <v>Same</v>
      </c>
      <c r="N795" s="30" t="s">
        <v>1475</v>
      </c>
      <c r="O795" s="30" t="s">
        <v>1476</v>
      </c>
    </row>
    <row r="796" spans="1:15" ht="15" customHeight="1" x14ac:dyDescent="0.2">
      <c r="A796" s="9">
        <v>791</v>
      </c>
      <c r="B796" s="27">
        <f t="shared" si="72"/>
        <v>3864.1914997557401</v>
      </c>
      <c r="C796" s="27">
        <f t="shared" si="73"/>
        <v>15595.876893014165</v>
      </c>
      <c r="D796" s="28">
        <v>15.56</v>
      </c>
      <c r="E796" s="28">
        <v>15.56</v>
      </c>
      <c r="F796" s="9" t="str">
        <f t="shared" si="74"/>
        <v>Identical</v>
      </c>
      <c r="G796" s="27">
        <f t="shared" si="75"/>
        <v>3864.1914997557401</v>
      </c>
      <c r="H796" s="29">
        <v>4.34</v>
      </c>
      <c r="I796" s="29">
        <v>4.34</v>
      </c>
      <c r="J796" s="9" t="str">
        <f t="shared" si="76"/>
        <v>Identical</v>
      </c>
      <c r="K796" s="9" t="s">
        <v>539</v>
      </c>
      <c r="L796" s="9" t="s">
        <v>539</v>
      </c>
      <c r="M796" s="9" t="str">
        <f t="shared" si="77"/>
        <v>Same</v>
      </c>
      <c r="N796" s="30" t="s">
        <v>1477</v>
      </c>
      <c r="O796" s="30" t="s">
        <v>1478</v>
      </c>
    </row>
    <row r="797" spans="1:15" ht="15" customHeight="1" x14ac:dyDescent="0.2">
      <c r="A797" s="9">
        <v>792</v>
      </c>
      <c r="B797" s="27">
        <f t="shared" si="72"/>
        <v>3869.0766976062532</v>
      </c>
      <c r="C797" s="27">
        <f t="shared" si="73"/>
        <v>15615.593551538836</v>
      </c>
      <c r="D797" s="28">
        <v>15.58</v>
      </c>
      <c r="E797" s="28">
        <v>15.58</v>
      </c>
      <c r="F797" s="9" t="str">
        <f t="shared" si="74"/>
        <v>Identical</v>
      </c>
      <c r="G797" s="27">
        <f t="shared" si="75"/>
        <v>3869.0766976062532</v>
      </c>
      <c r="H797" s="29">
        <v>4.34</v>
      </c>
      <c r="I797" s="29">
        <v>4.34</v>
      </c>
      <c r="J797" s="9" t="str">
        <f t="shared" si="76"/>
        <v>Identical</v>
      </c>
      <c r="K797" s="9" t="s">
        <v>539</v>
      </c>
      <c r="L797" s="9" t="s">
        <v>539</v>
      </c>
      <c r="M797" s="9" t="str">
        <f t="shared" si="77"/>
        <v>Same</v>
      </c>
      <c r="N797" s="30" t="s">
        <v>1477</v>
      </c>
      <c r="O797" s="30" t="s">
        <v>1478</v>
      </c>
    </row>
    <row r="798" spans="1:15" ht="15" customHeight="1" x14ac:dyDescent="0.2">
      <c r="A798" s="9">
        <v>793</v>
      </c>
      <c r="B798" s="27">
        <f t="shared" si="72"/>
        <v>3873.9618954567659</v>
      </c>
      <c r="C798" s="27">
        <f t="shared" si="73"/>
        <v>15635.310210063506</v>
      </c>
      <c r="D798" s="28">
        <v>15.6</v>
      </c>
      <c r="E798" s="28">
        <v>15.6</v>
      </c>
      <c r="F798" s="9" t="str">
        <f t="shared" si="74"/>
        <v>Identical</v>
      </c>
      <c r="G798" s="27">
        <f t="shared" si="75"/>
        <v>3873.9618954567659</v>
      </c>
      <c r="H798" s="29">
        <v>4.3499999999999996</v>
      </c>
      <c r="I798" s="29">
        <v>4.3499999999999996</v>
      </c>
      <c r="J798" s="9" t="str">
        <f t="shared" si="76"/>
        <v>Identical</v>
      </c>
      <c r="K798" s="9" t="s">
        <v>539</v>
      </c>
      <c r="L798" s="9" t="s">
        <v>539</v>
      </c>
      <c r="M798" s="9" t="str">
        <f t="shared" si="77"/>
        <v>Same</v>
      </c>
      <c r="N798" s="30" t="s">
        <v>1479</v>
      </c>
      <c r="O798" s="30" t="s">
        <v>1480</v>
      </c>
    </row>
    <row r="799" spans="1:15" ht="15" customHeight="1" x14ac:dyDescent="0.2">
      <c r="A799" s="9">
        <v>794</v>
      </c>
      <c r="B799" s="27">
        <f t="shared" si="72"/>
        <v>3878.847093307279</v>
      </c>
      <c r="C799" s="27">
        <f t="shared" si="73"/>
        <v>15655.026868588177</v>
      </c>
      <c r="D799" s="28">
        <v>15.62</v>
      </c>
      <c r="E799" s="28">
        <v>15.62</v>
      </c>
      <c r="F799" s="9" t="str">
        <f t="shared" si="74"/>
        <v>Identical</v>
      </c>
      <c r="G799" s="27">
        <f t="shared" si="75"/>
        <v>3878.847093307279</v>
      </c>
      <c r="H799" s="29">
        <v>4.3499999999999996</v>
      </c>
      <c r="I799" s="29">
        <v>4.3499999999999996</v>
      </c>
      <c r="J799" s="9" t="str">
        <f t="shared" si="76"/>
        <v>Identical</v>
      </c>
      <c r="K799" s="9" t="s">
        <v>539</v>
      </c>
      <c r="L799" s="9" t="s">
        <v>539</v>
      </c>
      <c r="M799" s="9" t="str">
        <f t="shared" si="77"/>
        <v>Same</v>
      </c>
      <c r="N799" s="30" t="s">
        <v>1479</v>
      </c>
      <c r="O799" s="30" t="s">
        <v>1480</v>
      </c>
    </row>
    <row r="800" spans="1:15" ht="15" customHeight="1" x14ac:dyDescent="0.2">
      <c r="A800" s="9">
        <v>795</v>
      </c>
      <c r="B800" s="27">
        <f t="shared" si="72"/>
        <v>3883.7322911577921</v>
      </c>
      <c r="C800" s="27">
        <f t="shared" si="73"/>
        <v>15674.743527112847</v>
      </c>
      <c r="D800" s="28">
        <v>15.64</v>
      </c>
      <c r="E800" s="28">
        <v>15.64</v>
      </c>
      <c r="F800" s="9" t="str">
        <f t="shared" si="74"/>
        <v>Identical</v>
      </c>
      <c r="G800" s="27">
        <f t="shared" si="75"/>
        <v>3883.7322911577921</v>
      </c>
      <c r="H800" s="29">
        <v>4.3600000000000003</v>
      </c>
      <c r="I800" s="29">
        <v>4.3600000000000003</v>
      </c>
      <c r="J800" s="9" t="str">
        <f t="shared" si="76"/>
        <v>Identical</v>
      </c>
      <c r="K800" s="9" t="s">
        <v>539</v>
      </c>
      <c r="L800" s="9" t="s">
        <v>539</v>
      </c>
      <c r="M800" s="9" t="str">
        <f t="shared" si="77"/>
        <v>Same</v>
      </c>
      <c r="N800" s="30" t="s">
        <v>1481</v>
      </c>
      <c r="O800" s="30" t="s">
        <v>1482</v>
      </c>
    </row>
    <row r="801" spans="1:15" ht="15" customHeight="1" x14ac:dyDescent="0.2">
      <c r="A801" s="9">
        <v>796</v>
      </c>
      <c r="B801" s="27">
        <f t="shared" si="72"/>
        <v>3888.6174890083048</v>
      </c>
      <c r="C801" s="27">
        <f t="shared" si="73"/>
        <v>15694.460185637516</v>
      </c>
      <c r="D801" s="28">
        <v>15.66</v>
      </c>
      <c r="E801" s="28">
        <v>15.66</v>
      </c>
      <c r="F801" s="9" t="str">
        <f t="shared" si="74"/>
        <v>Identical</v>
      </c>
      <c r="G801" s="27">
        <f t="shared" si="75"/>
        <v>3888.6174890083048</v>
      </c>
      <c r="H801" s="29">
        <v>4.3600000000000003</v>
      </c>
      <c r="I801" s="29">
        <v>4.37</v>
      </c>
      <c r="J801" s="9" t="str">
        <f t="shared" si="76"/>
        <v>+0.01 A (nearest step)</v>
      </c>
      <c r="K801" s="9" t="s">
        <v>539</v>
      </c>
      <c r="L801" s="9" t="s">
        <v>539</v>
      </c>
      <c r="M801" s="9" t="str">
        <f t="shared" si="77"/>
        <v>Same</v>
      </c>
      <c r="N801" s="30" t="s">
        <v>1481</v>
      </c>
      <c r="O801" s="30" t="s">
        <v>1483</v>
      </c>
    </row>
    <row r="802" spans="1:15" ht="15" customHeight="1" x14ac:dyDescent="0.2">
      <c r="A802" s="9">
        <v>797</v>
      </c>
      <c r="B802" s="27">
        <f t="shared" si="72"/>
        <v>3893.5026868588179</v>
      </c>
      <c r="C802" s="27">
        <f t="shared" si="73"/>
        <v>15714.176844162188</v>
      </c>
      <c r="D802" s="28">
        <v>15.68</v>
      </c>
      <c r="E802" s="28">
        <v>15.68</v>
      </c>
      <c r="F802" s="9" t="str">
        <f t="shared" si="74"/>
        <v>Identical</v>
      </c>
      <c r="G802" s="27">
        <f t="shared" si="75"/>
        <v>3893.5026868588179</v>
      </c>
      <c r="H802" s="29">
        <v>4.37</v>
      </c>
      <c r="I802" s="29">
        <v>4.37</v>
      </c>
      <c r="J802" s="9" t="str">
        <f t="shared" si="76"/>
        <v>Identical</v>
      </c>
      <c r="K802" s="9" t="s">
        <v>539</v>
      </c>
      <c r="L802" s="9" t="s">
        <v>539</v>
      </c>
      <c r="M802" s="9" t="str">
        <f t="shared" si="77"/>
        <v>Same</v>
      </c>
      <c r="N802" s="30" t="s">
        <v>1484</v>
      </c>
      <c r="O802" s="30" t="s">
        <v>1483</v>
      </c>
    </row>
    <row r="803" spans="1:15" ht="15" customHeight="1" x14ac:dyDescent="0.2">
      <c r="A803" s="9">
        <v>798</v>
      </c>
      <c r="B803" s="27">
        <f t="shared" si="72"/>
        <v>3898.3878847093306</v>
      </c>
      <c r="C803" s="27">
        <f t="shared" si="73"/>
        <v>15733.893502686857</v>
      </c>
      <c r="D803" s="28">
        <v>15.7</v>
      </c>
      <c r="E803" s="28">
        <v>15.7</v>
      </c>
      <c r="F803" s="9" t="str">
        <f t="shared" si="74"/>
        <v>Identical</v>
      </c>
      <c r="G803" s="27">
        <f t="shared" si="75"/>
        <v>3898.3878847093306</v>
      </c>
      <c r="H803" s="29">
        <v>4.38</v>
      </c>
      <c r="I803" s="29">
        <v>4.38</v>
      </c>
      <c r="J803" s="9" t="str">
        <f t="shared" si="76"/>
        <v>Identical</v>
      </c>
      <c r="K803" s="9" t="s">
        <v>539</v>
      </c>
      <c r="L803" s="9" t="s">
        <v>539</v>
      </c>
      <c r="M803" s="9" t="str">
        <f t="shared" si="77"/>
        <v>Same</v>
      </c>
      <c r="N803" s="30" t="s">
        <v>1485</v>
      </c>
      <c r="O803" s="30" t="s">
        <v>1486</v>
      </c>
    </row>
    <row r="804" spans="1:15" ht="15" customHeight="1" x14ac:dyDescent="0.2">
      <c r="A804" s="9">
        <v>799</v>
      </c>
      <c r="B804" s="27">
        <f t="shared" si="72"/>
        <v>3903.2730825598437</v>
      </c>
      <c r="C804" s="27">
        <f t="shared" si="73"/>
        <v>15753.610161211527</v>
      </c>
      <c r="D804" s="28">
        <v>15.72</v>
      </c>
      <c r="E804" s="28">
        <v>15.72</v>
      </c>
      <c r="F804" s="9" t="str">
        <f t="shared" si="74"/>
        <v>Identical</v>
      </c>
      <c r="G804" s="27">
        <f t="shared" si="75"/>
        <v>3903.2730825598437</v>
      </c>
      <c r="H804" s="29">
        <v>4.38</v>
      </c>
      <c r="I804" s="29">
        <v>4.38</v>
      </c>
      <c r="J804" s="9" t="str">
        <f t="shared" si="76"/>
        <v>Identical</v>
      </c>
      <c r="K804" s="9" t="s">
        <v>539</v>
      </c>
      <c r="L804" s="9" t="s">
        <v>539</v>
      </c>
      <c r="M804" s="9" t="str">
        <f t="shared" si="77"/>
        <v>Same</v>
      </c>
      <c r="N804" s="30" t="s">
        <v>1485</v>
      </c>
      <c r="O804" s="30" t="s">
        <v>1486</v>
      </c>
    </row>
    <row r="805" spans="1:15" ht="15" customHeight="1" x14ac:dyDescent="0.2">
      <c r="A805" s="9">
        <v>800</v>
      </c>
      <c r="B805" s="27">
        <f t="shared" si="72"/>
        <v>3908.1582804103568</v>
      </c>
      <c r="C805" s="27">
        <f t="shared" si="73"/>
        <v>15773.326819736199</v>
      </c>
      <c r="D805" s="28">
        <v>15.74</v>
      </c>
      <c r="E805" s="28">
        <v>15.74</v>
      </c>
      <c r="F805" s="9" t="str">
        <f t="shared" si="74"/>
        <v>Identical</v>
      </c>
      <c r="G805" s="27">
        <f t="shared" si="75"/>
        <v>3908.1582804103568</v>
      </c>
      <c r="H805" s="29">
        <v>4.3899999999999997</v>
      </c>
      <c r="I805" s="29">
        <v>4.3899999999999997</v>
      </c>
      <c r="J805" s="9" t="str">
        <f t="shared" si="76"/>
        <v>Identical</v>
      </c>
      <c r="K805" s="9" t="s">
        <v>539</v>
      </c>
      <c r="L805" s="9" t="s">
        <v>539</v>
      </c>
      <c r="M805" s="9" t="str">
        <f t="shared" si="77"/>
        <v>Same</v>
      </c>
      <c r="N805" s="30" t="s">
        <v>1487</v>
      </c>
      <c r="O805" s="30" t="s">
        <v>1488</v>
      </c>
    </row>
    <row r="806" spans="1:15" ht="15" customHeight="1" x14ac:dyDescent="0.2">
      <c r="A806" s="9">
        <v>801</v>
      </c>
      <c r="B806" s="27">
        <f t="shared" si="72"/>
        <v>3913.0434782608695</v>
      </c>
      <c r="C806" s="27">
        <f t="shared" si="73"/>
        <v>15793.043478260868</v>
      </c>
      <c r="D806" s="28">
        <v>15.76</v>
      </c>
      <c r="E806" s="28">
        <v>15.76</v>
      </c>
      <c r="F806" s="9" t="str">
        <f t="shared" si="74"/>
        <v>Identical</v>
      </c>
      <c r="G806" s="27">
        <f t="shared" si="75"/>
        <v>3913.0434782608695</v>
      </c>
      <c r="H806" s="29">
        <v>4.3899999999999997</v>
      </c>
      <c r="I806" s="29">
        <v>4.3899999999999997</v>
      </c>
      <c r="J806" s="9" t="str">
        <f t="shared" si="76"/>
        <v>Identical</v>
      </c>
      <c r="K806" s="9" t="s">
        <v>539</v>
      </c>
      <c r="L806" s="9" t="s">
        <v>539</v>
      </c>
      <c r="M806" s="9" t="str">
        <f t="shared" si="77"/>
        <v>Same</v>
      </c>
      <c r="N806" s="30" t="s">
        <v>1487</v>
      </c>
      <c r="O806" s="30" t="s">
        <v>1488</v>
      </c>
    </row>
    <row r="807" spans="1:15" ht="15" customHeight="1" x14ac:dyDescent="0.2">
      <c r="A807" s="9">
        <v>802</v>
      </c>
      <c r="B807" s="27">
        <f t="shared" si="72"/>
        <v>3917.9286761113826</v>
      </c>
      <c r="C807" s="27">
        <f t="shared" si="73"/>
        <v>15812.760136785539</v>
      </c>
      <c r="D807" s="28">
        <v>15.78</v>
      </c>
      <c r="E807" s="28">
        <v>15.78</v>
      </c>
      <c r="F807" s="9" t="str">
        <f t="shared" si="74"/>
        <v>Identical</v>
      </c>
      <c r="G807" s="27">
        <f t="shared" si="75"/>
        <v>3917.9286761113826</v>
      </c>
      <c r="H807" s="29">
        <v>4.4000000000000004</v>
      </c>
      <c r="I807" s="29">
        <v>4.4000000000000004</v>
      </c>
      <c r="J807" s="9" t="str">
        <f t="shared" si="76"/>
        <v>Identical</v>
      </c>
      <c r="K807" s="9" t="s">
        <v>539</v>
      </c>
      <c r="L807" s="9" t="s">
        <v>539</v>
      </c>
      <c r="M807" s="9" t="str">
        <f t="shared" si="77"/>
        <v>Same</v>
      </c>
      <c r="N807" s="30" t="s">
        <v>1489</v>
      </c>
      <c r="O807" s="30" t="s">
        <v>1490</v>
      </c>
    </row>
    <row r="808" spans="1:15" ht="15" customHeight="1" x14ac:dyDescent="0.2">
      <c r="A808" s="9">
        <v>803</v>
      </c>
      <c r="B808" s="27">
        <f t="shared" si="72"/>
        <v>3922.8138739618958</v>
      </c>
      <c r="C808" s="27">
        <f t="shared" si="73"/>
        <v>15832.476795310209</v>
      </c>
      <c r="D808" s="28">
        <v>15.8</v>
      </c>
      <c r="E808" s="28">
        <v>15.8</v>
      </c>
      <c r="F808" s="9" t="str">
        <f t="shared" si="74"/>
        <v>Identical</v>
      </c>
      <c r="G808" s="27">
        <f t="shared" si="75"/>
        <v>3922.8138739618958</v>
      </c>
      <c r="H808" s="29">
        <v>4.4000000000000004</v>
      </c>
      <c r="I808" s="29">
        <v>4.4000000000000004</v>
      </c>
      <c r="J808" s="9" t="str">
        <f t="shared" si="76"/>
        <v>Identical</v>
      </c>
      <c r="K808" s="9" t="s">
        <v>539</v>
      </c>
      <c r="L808" s="9" t="s">
        <v>539</v>
      </c>
      <c r="M808" s="9" t="str">
        <f t="shared" si="77"/>
        <v>Same</v>
      </c>
      <c r="N808" s="30" t="s">
        <v>1489</v>
      </c>
      <c r="O808" s="30" t="s">
        <v>1490</v>
      </c>
    </row>
    <row r="809" spans="1:15" ht="15" customHeight="1" x14ac:dyDescent="0.2">
      <c r="A809" s="9">
        <v>804</v>
      </c>
      <c r="B809" s="27">
        <f t="shared" si="72"/>
        <v>3927.6990718124084</v>
      </c>
      <c r="C809" s="27">
        <f t="shared" si="73"/>
        <v>15852.19345383488</v>
      </c>
      <c r="D809" s="28">
        <v>15.82</v>
      </c>
      <c r="E809" s="28">
        <v>15.82</v>
      </c>
      <c r="F809" s="9" t="str">
        <f t="shared" si="74"/>
        <v>Identical</v>
      </c>
      <c r="G809" s="27">
        <f t="shared" si="75"/>
        <v>3927.6990718124084</v>
      </c>
      <c r="H809" s="29">
        <v>4.41</v>
      </c>
      <c r="I809" s="29">
        <v>4.41</v>
      </c>
      <c r="J809" s="9" t="str">
        <f t="shared" si="76"/>
        <v>Identical</v>
      </c>
      <c r="K809" s="9" t="s">
        <v>539</v>
      </c>
      <c r="L809" s="9" t="s">
        <v>539</v>
      </c>
      <c r="M809" s="9" t="str">
        <f t="shared" si="77"/>
        <v>Same</v>
      </c>
      <c r="N809" s="30" t="s">
        <v>1491</v>
      </c>
      <c r="O809" s="30" t="s">
        <v>1492</v>
      </c>
    </row>
    <row r="810" spans="1:15" ht="15" customHeight="1" x14ac:dyDescent="0.2">
      <c r="A810" s="9">
        <v>805</v>
      </c>
      <c r="B810" s="27">
        <f t="shared" si="72"/>
        <v>3932.5842696629215</v>
      </c>
      <c r="C810" s="27">
        <f t="shared" si="73"/>
        <v>15871.91011235955</v>
      </c>
      <c r="D810" s="28">
        <v>15.84</v>
      </c>
      <c r="E810" s="28">
        <v>15.84</v>
      </c>
      <c r="F810" s="9" t="str">
        <f t="shared" si="74"/>
        <v>Identical</v>
      </c>
      <c r="G810" s="27">
        <f t="shared" si="75"/>
        <v>3932.5842696629215</v>
      </c>
      <c r="H810" s="29">
        <v>4.41</v>
      </c>
      <c r="I810" s="29">
        <v>4.42</v>
      </c>
      <c r="J810" s="9" t="str">
        <f t="shared" si="76"/>
        <v>+0.01 A (nearest step)</v>
      </c>
      <c r="K810" s="9" t="s">
        <v>539</v>
      </c>
      <c r="L810" s="9" t="s">
        <v>539</v>
      </c>
      <c r="M810" s="9" t="str">
        <f t="shared" si="77"/>
        <v>Same</v>
      </c>
      <c r="N810" s="30" t="s">
        <v>1491</v>
      </c>
      <c r="O810" s="30" t="s">
        <v>1493</v>
      </c>
    </row>
    <row r="811" spans="1:15" ht="15" customHeight="1" x14ac:dyDescent="0.2">
      <c r="A811" s="9">
        <v>806</v>
      </c>
      <c r="B811" s="27">
        <f t="shared" si="72"/>
        <v>3937.4694675134342</v>
      </c>
      <c r="C811" s="27">
        <f t="shared" si="73"/>
        <v>15891.626770884219</v>
      </c>
      <c r="D811" s="28">
        <v>15.86</v>
      </c>
      <c r="E811" s="28">
        <v>15.86</v>
      </c>
      <c r="F811" s="9" t="str">
        <f t="shared" si="74"/>
        <v>Identical</v>
      </c>
      <c r="G811" s="27">
        <f t="shared" si="75"/>
        <v>3937.4694675134342</v>
      </c>
      <c r="H811" s="29">
        <v>4.42</v>
      </c>
      <c r="I811" s="29">
        <v>4.42</v>
      </c>
      <c r="J811" s="9" t="str">
        <f t="shared" si="76"/>
        <v>Identical</v>
      </c>
      <c r="K811" s="9" t="s">
        <v>539</v>
      </c>
      <c r="L811" s="9" t="s">
        <v>539</v>
      </c>
      <c r="M811" s="9" t="str">
        <f t="shared" si="77"/>
        <v>Same</v>
      </c>
      <c r="N811" s="30" t="s">
        <v>1494</v>
      </c>
      <c r="O811" s="30" t="s">
        <v>1493</v>
      </c>
    </row>
    <row r="812" spans="1:15" ht="15" customHeight="1" x14ac:dyDescent="0.2">
      <c r="A812" s="9">
        <v>807</v>
      </c>
      <c r="B812" s="27">
        <f t="shared" si="72"/>
        <v>3942.3546653639473</v>
      </c>
      <c r="C812" s="27">
        <f t="shared" si="73"/>
        <v>15911.343429408889</v>
      </c>
      <c r="D812" s="28">
        <v>15.88</v>
      </c>
      <c r="E812" s="28">
        <v>15.88</v>
      </c>
      <c r="F812" s="9" t="str">
        <f t="shared" si="74"/>
        <v>Identical</v>
      </c>
      <c r="G812" s="27">
        <f t="shared" si="75"/>
        <v>3942.3546653639473</v>
      </c>
      <c r="H812" s="29">
        <v>4.43</v>
      </c>
      <c r="I812" s="29">
        <v>4.43</v>
      </c>
      <c r="J812" s="9" t="str">
        <f t="shared" si="76"/>
        <v>Identical</v>
      </c>
      <c r="K812" s="9" t="s">
        <v>539</v>
      </c>
      <c r="L812" s="9" t="s">
        <v>539</v>
      </c>
      <c r="M812" s="9" t="str">
        <f t="shared" si="77"/>
        <v>Same</v>
      </c>
      <c r="N812" s="30" t="s">
        <v>1495</v>
      </c>
      <c r="O812" s="30" t="s">
        <v>1496</v>
      </c>
    </row>
    <row r="813" spans="1:15" ht="15" customHeight="1" x14ac:dyDescent="0.2">
      <c r="A813" s="9">
        <v>808</v>
      </c>
      <c r="B813" s="27">
        <f t="shared" si="72"/>
        <v>3947.2398632144605</v>
      </c>
      <c r="C813" s="27">
        <f t="shared" si="73"/>
        <v>15931.060087933562</v>
      </c>
      <c r="D813" s="28">
        <v>15.9</v>
      </c>
      <c r="E813" s="28">
        <v>15.89</v>
      </c>
      <c r="F813" s="9" t="str">
        <f t="shared" si="74"/>
        <v>Within 10 mV (calibration line)</v>
      </c>
      <c r="G813" s="27">
        <f t="shared" si="75"/>
        <v>3947.2398632144605</v>
      </c>
      <c r="H813" s="29">
        <v>4.43</v>
      </c>
      <c r="I813" s="29">
        <v>4.43</v>
      </c>
      <c r="J813" s="9" t="str">
        <f t="shared" si="76"/>
        <v>Identical</v>
      </c>
      <c r="K813" s="9" t="s">
        <v>539</v>
      </c>
      <c r="L813" s="9" t="s">
        <v>539</v>
      </c>
      <c r="M813" s="9" t="str">
        <f t="shared" si="77"/>
        <v>Same</v>
      </c>
      <c r="N813" s="30" t="s">
        <v>1495</v>
      </c>
      <c r="O813" s="30" t="s">
        <v>1496</v>
      </c>
    </row>
    <row r="814" spans="1:15" ht="15" customHeight="1" x14ac:dyDescent="0.2">
      <c r="A814" s="9">
        <v>809</v>
      </c>
      <c r="B814" s="27">
        <f t="shared" si="72"/>
        <v>3952.1250610649731</v>
      </c>
      <c r="C814" s="27">
        <f t="shared" si="73"/>
        <v>15950.77674645823</v>
      </c>
      <c r="D814" s="28">
        <v>15.92</v>
      </c>
      <c r="E814" s="28">
        <v>15.91</v>
      </c>
      <c r="F814" s="9" t="str">
        <f t="shared" si="74"/>
        <v>Within 10 mV (calibration line)</v>
      </c>
      <c r="G814" s="27">
        <f t="shared" si="75"/>
        <v>3952.1250610649731</v>
      </c>
      <c r="H814" s="29">
        <v>4.4400000000000004</v>
      </c>
      <c r="I814" s="29">
        <v>4.4400000000000004</v>
      </c>
      <c r="J814" s="9" t="str">
        <f t="shared" si="76"/>
        <v>Identical</v>
      </c>
      <c r="K814" s="9" t="s">
        <v>539</v>
      </c>
      <c r="L814" s="9" t="s">
        <v>539</v>
      </c>
      <c r="M814" s="9" t="str">
        <f t="shared" si="77"/>
        <v>Same</v>
      </c>
      <c r="N814" s="30" t="s">
        <v>1497</v>
      </c>
      <c r="O814" s="30" t="s">
        <v>1498</v>
      </c>
    </row>
    <row r="815" spans="1:15" ht="15" customHeight="1" x14ac:dyDescent="0.2">
      <c r="A815" s="9">
        <v>810</v>
      </c>
      <c r="B815" s="27">
        <f t="shared" si="72"/>
        <v>3957.0102589154862</v>
      </c>
      <c r="C815" s="27">
        <f t="shared" si="73"/>
        <v>15970.493404982901</v>
      </c>
      <c r="D815" s="28">
        <v>15.94</v>
      </c>
      <c r="E815" s="28">
        <v>15.93</v>
      </c>
      <c r="F815" s="9" t="str">
        <f t="shared" si="74"/>
        <v>Within 10 mV (calibration line)</v>
      </c>
      <c r="G815" s="27">
        <f t="shared" si="75"/>
        <v>3957.0102589154862</v>
      </c>
      <c r="H815" s="29">
        <v>4.4400000000000004</v>
      </c>
      <c r="I815" s="29">
        <v>4.4400000000000004</v>
      </c>
      <c r="J815" s="9" t="str">
        <f t="shared" si="76"/>
        <v>Identical</v>
      </c>
      <c r="K815" s="9" t="s">
        <v>539</v>
      </c>
      <c r="L815" s="9" t="s">
        <v>539</v>
      </c>
      <c r="M815" s="9" t="str">
        <f t="shared" si="77"/>
        <v>Same</v>
      </c>
      <c r="N815" s="30" t="s">
        <v>1497</v>
      </c>
      <c r="O815" s="30" t="s">
        <v>1498</v>
      </c>
    </row>
    <row r="816" spans="1:15" ht="15" customHeight="1" x14ac:dyDescent="0.2">
      <c r="A816" s="9">
        <v>811</v>
      </c>
      <c r="B816" s="27">
        <f t="shared" si="72"/>
        <v>3961.8954567659994</v>
      </c>
      <c r="C816" s="27">
        <f t="shared" si="73"/>
        <v>15990.210063507571</v>
      </c>
      <c r="D816" s="28">
        <v>15.96</v>
      </c>
      <c r="E816" s="28">
        <v>15.95</v>
      </c>
      <c r="F816" s="9" t="str">
        <f t="shared" si="74"/>
        <v>Within 10 mV (calibration line)</v>
      </c>
      <c r="G816" s="27">
        <f t="shared" si="75"/>
        <v>3961.8954567659994</v>
      </c>
      <c r="H816" s="29">
        <v>4.45</v>
      </c>
      <c r="I816" s="29">
        <v>4.45</v>
      </c>
      <c r="J816" s="9" t="str">
        <f t="shared" si="76"/>
        <v>Identical</v>
      </c>
      <c r="K816" s="9" t="s">
        <v>539</v>
      </c>
      <c r="L816" s="9" t="s">
        <v>539</v>
      </c>
      <c r="M816" s="9" t="str">
        <f t="shared" si="77"/>
        <v>Same</v>
      </c>
      <c r="N816" s="30" t="s">
        <v>1499</v>
      </c>
      <c r="O816" s="30" t="s">
        <v>1500</v>
      </c>
    </row>
    <row r="817" spans="1:15" ht="15" customHeight="1" x14ac:dyDescent="0.2">
      <c r="A817" s="9">
        <v>812</v>
      </c>
      <c r="B817" s="27">
        <f t="shared" si="72"/>
        <v>3966.780654616512</v>
      </c>
      <c r="C817" s="27">
        <f t="shared" si="73"/>
        <v>16009.926722032242</v>
      </c>
      <c r="D817" s="28">
        <v>15.97</v>
      </c>
      <c r="E817" s="28">
        <v>15.97</v>
      </c>
      <c r="F817" s="9" t="str">
        <f t="shared" si="74"/>
        <v>Identical</v>
      </c>
      <c r="G817" s="27">
        <f t="shared" si="75"/>
        <v>3966.780654616512</v>
      </c>
      <c r="H817" s="29">
        <v>4.45</v>
      </c>
      <c r="I817" s="29">
        <v>4.45</v>
      </c>
      <c r="J817" s="9" t="str">
        <f t="shared" si="76"/>
        <v>Identical</v>
      </c>
      <c r="K817" s="9" t="s">
        <v>539</v>
      </c>
      <c r="L817" s="9" t="s">
        <v>539</v>
      </c>
      <c r="M817" s="9" t="str">
        <f t="shared" si="77"/>
        <v>Same</v>
      </c>
      <c r="N817" s="30" t="s">
        <v>1499</v>
      </c>
      <c r="O817" s="30" t="s">
        <v>1500</v>
      </c>
    </row>
    <row r="818" spans="1:15" ht="15" customHeight="1" x14ac:dyDescent="0.2">
      <c r="A818" s="9">
        <v>813</v>
      </c>
      <c r="B818" s="27">
        <f t="shared" si="72"/>
        <v>3971.6658524670252</v>
      </c>
      <c r="C818" s="27">
        <f t="shared" si="73"/>
        <v>16029.643380556912</v>
      </c>
      <c r="D818" s="28">
        <v>15.99</v>
      </c>
      <c r="E818" s="28">
        <v>15.99</v>
      </c>
      <c r="F818" s="9" t="str">
        <f t="shared" si="74"/>
        <v>Identical</v>
      </c>
      <c r="G818" s="27">
        <f t="shared" si="75"/>
        <v>3971.6658524670252</v>
      </c>
      <c r="H818" s="29">
        <v>4.46</v>
      </c>
      <c r="I818" s="29">
        <v>4.46</v>
      </c>
      <c r="J818" s="9" t="str">
        <f t="shared" si="76"/>
        <v>Identical</v>
      </c>
      <c r="K818" s="9" t="s">
        <v>539</v>
      </c>
      <c r="L818" s="9" t="s">
        <v>539</v>
      </c>
      <c r="M818" s="9" t="str">
        <f t="shared" si="77"/>
        <v>Same</v>
      </c>
      <c r="N818" s="30" t="s">
        <v>1501</v>
      </c>
      <c r="O818" s="30" t="s">
        <v>1502</v>
      </c>
    </row>
    <row r="819" spans="1:15" ht="15" customHeight="1" x14ac:dyDescent="0.2">
      <c r="A819" s="9">
        <v>814</v>
      </c>
      <c r="B819" s="27">
        <f t="shared" si="72"/>
        <v>3976.5510503175378</v>
      </c>
      <c r="C819" s="27">
        <f t="shared" si="73"/>
        <v>16049.360039081581</v>
      </c>
      <c r="D819" s="28">
        <v>16</v>
      </c>
      <c r="E819" s="28">
        <v>16.010000000000002</v>
      </c>
      <c r="F819" s="9" t="str">
        <f t="shared" si="74"/>
        <v>Within 10 mV (calibration line)</v>
      </c>
      <c r="G819" s="27">
        <f t="shared" si="75"/>
        <v>3976.5510503175378</v>
      </c>
      <c r="H819" s="29">
        <v>4.46</v>
      </c>
      <c r="I819" s="29">
        <v>4.46</v>
      </c>
      <c r="J819" s="9" t="str">
        <f t="shared" si="76"/>
        <v>Identical</v>
      </c>
      <c r="K819" s="9" t="s">
        <v>539</v>
      </c>
      <c r="L819" s="9" t="s">
        <v>539</v>
      </c>
      <c r="M819" s="9" t="str">
        <f t="shared" si="77"/>
        <v>Same</v>
      </c>
      <c r="N819" s="30" t="s">
        <v>1501</v>
      </c>
      <c r="O819" s="30" t="s">
        <v>1502</v>
      </c>
    </row>
    <row r="820" spans="1:15" ht="15" customHeight="1" x14ac:dyDescent="0.2">
      <c r="A820" s="9">
        <v>815</v>
      </c>
      <c r="B820" s="27">
        <f t="shared" si="72"/>
        <v>3981.436248168051</v>
      </c>
      <c r="C820" s="27">
        <f t="shared" si="73"/>
        <v>16069.076697606251</v>
      </c>
      <c r="D820" s="28">
        <v>16.02</v>
      </c>
      <c r="E820" s="28">
        <v>16.03</v>
      </c>
      <c r="F820" s="9" t="str">
        <f t="shared" si="74"/>
        <v>Within 10 mV (calibration line)</v>
      </c>
      <c r="G820" s="27">
        <f t="shared" si="75"/>
        <v>3981.436248168051</v>
      </c>
      <c r="H820" s="29">
        <v>4.47</v>
      </c>
      <c r="I820" s="29">
        <v>4.47</v>
      </c>
      <c r="J820" s="9" t="str">
        <f t="shared" si="76"/>
        <v>Identical</v>
      </c>
      <c r="K820" s="9" t="s">
        <v>539</v>
      </c>
      <c r="L820" s="9" t="s">
        <v>539</v>
      </c>
      <c r="M820" s="9" t="str">
        <f t="shared" si="77"/>
        <v>Same</v>
      </c>
      <c r="N820" s="30" t="s">
        <v>1503</v>
      </c>
      <c r="O820" s="30" t="s">
        <v>1504</v>
      </c>
    </row>
    <row r="821" spans="1:15" ht="15" customHeight="1" x14ac:dyDescent="0.2">
      <c r="A821" s="9">
        <v>816</v>
      </c>
      <c r="B821" s="27">
        <f t="shared" si="72"/>
        <v>3986.3214460185641</v>
      </c>
      <c r="C821" s="27">
        <f t="shared" si="73"/>
        <v>16088.793356130924</v>
      </c>
      <c r="D821" s="28">
        <v>16.04</v>
      </c>
      <c r="E821" s="28">
        <v>16.05</v>
      </c>
      <c r="F821" s="9" t="str">
        <f t="shared" si="74"/>
        <v>Within 10 mV (calibration line)</v>
      </c>
      <c r="G821" s="27">
        <f t="shared" si="75"/>
        <v>3986.3214460185641</v>
      </c>
      <c r="H821" s="29">
        <v>4.47</v>
      </c>
      <c r="I821" s="29">
        <v>4.47</v>
      </c>
      <c r="J821" s="9" t="str">
        <f t="shared" si="76"/>
        <v>Identical</v>
      </c>
      <c r="K821" s="9" t="s">
        <v>539</v>
      </c>
      <c r="L821" s="9" t="s">
        <v>539</v>
      </c>
      <c r="M821" s="9" t="str">
        <f t="shared" si="77"/>
        <v>Same</v>
      </c>
      <c r="N821" s="30" t="s">
        <v>1503</v>
      </c>
      <c r="O821" s="30" t="s">
        <v>1504</v>
      </c>
    </row>
    <row r="822" spans="1:15" ht="15" customHeight="1" x14ac:dyDescent="0.2">
      <c r="A822" s="9">
        <v>817</v>
      </c>
      <c r="B822" s="27">
        <f t="shared" si="72"/>
        <v>3991.2066438690767</v>
      </c>
      <c r="C822" s="27">
        <f t="shared" si="73"/>
        <v>16108.510014655592</v>
      </c>
      <c r="D822" s="28">
        <v>16.059999999999999</v>
      </c>
      <c r="E822" s="28">
        <v>16.07</v>
      </c>
      <c r="F822" s="9" t="str">
        <f t="shared" si="74"/>
        <v>Within 10 mV (calibration line)</v>
      </c>
      <c r="G822" s="27">
        <f t="shared" si="75"/>
        <v>3991.2066438690767</v>
      </c>
      <c r="H822" s="29">
        <v>4.4800000000000004</v>
      </c>
      <c r="I822" s="29">
        <v>4.4800000000000004</v>
      </c>
      <c r="J822" s="9" t="str">
        <f t="shared" si="76"/>
        <v>Identical</v>
      </c>
      <c r="K822" s="9" t="s">
        <v>539</v>
      </c>
      <c r="L822" s="9" t="s">
        <v>539</v>
      </c>
      <c r="M822" s="9" t="str">
        <f t="shared" si="77"/>
        <v>Same</v>
      </c>
      <c r="N822" s="30" t="s">
        <v>1505</v>
      </c>
      <c r="O822" s="30" t="s">
        <v>1506</v>
      </c>
    </row>
    <row r="823" spans="1:15" ht="15" customHeight="1" x14ac:dyDescent="0.2">
      <c r="A823" s="9">
        <v>818</v>
      </c>
      <c r="B823" s="27">
        <f t="shared" si="72"/>
        <v>3996.0918417195899</v>
      </c>
      <c r="C823" s="27">
        <f t="shared" si="73"/>
        <v>16128.226673180263</v>
      </c>
      <c r="D823" s="28">
        <v>16.079999999999998</v>
      </c>
      <c r="E823" s="28">
        <v>16.09</v>
      </c>
      <c r="F823" s="9" t="str">
        <f t="shared" si="74"/>
        <v>Within 10 mV (calibration line)</v>
      </c>
      <c r="G823" s="27">
        <f t="shared" si="75"/>
        <v>3996.0918417195899</v>
      </c>
      <c r="H823" s="29">
        <v>4.49</v>
      </c>
      <c r="I823" s="29">
        <v>4.49</v>
      </c>
      <c r="J823" s="9" t="str">
        <f t="shared" si="76"/>
        <v>Identical</v>
      </c>
      <c r="K823" s="9" t="s">
        <v>539</v>
      </c>
      <c r="L823" s="9" t="s">
        <v>539</v>
      </c>
      <c r="M823" s="9" t="str">
        <f t="shared" si="77"/>
        <v>Same</v>
      </c>
      <c r="N823" s="30" t="s">
        <v>1507</v>
      </c>
      <c r="O823" s="30" t="s">
        <v>1508</v>
      </c>
    </row>
    <row r="824" spans="1:15" ht="15" customHeight="1" x14ac:dyDescent="0.2">
      <c r="A824" s="9">
        <v>819</v>
      </c>
      <c r="B824" s="27">
        <f t="shared" si="72"/>
        <v>4000.9770395701025</v>
      </c>
      <c r="C824" s="27">
        <f t="shared" si="73"/>
        <v>16147.943331704932</v>
      </c>
      <c r="D824" s="28">
        <v>16.100000000000001</v>
      </c>
      <c r="E824" s="28">
        <v>16.11</v>
      </c>
      <c r="F824" s="9" t="str">
        <f t="shared" si="74"/>
        <v>Within 10 mV (calibration line)</v>
      </c>
      <c r="G824" s="27">
        <f t="shared" si="75"/>
        <v>4000.9770395701025</v>
      </c>
      <c r="H824" s="29">
        <v>4.49</v>
      </c>
      <c r="I824" s="29">
        <v>4.49</v>
      </c>
      <c r="J824" s="9" t="str">
        <f t="shared" si="76"/>
        <v>Identical</v>
      </c>
      <c r="K824" s="9" t="s">
        <v>539</v>
      </c>
      <c r="L824" s="9" t="s">
        <v>539</v>
      </c>
      <c r="M824" s="9" t="str">
        <f t="shared" si="77"/>
        <v>Same</v>
      </c>
      <c r="N824" s="30" t="s">
        <v>1507</v>
      </c>
      <c r="O824" s="30" t="s">
        <v>1508</v>
      </c>
    </row>
    <row r="825" spans="1:15" ht="15" customHeight="1" x14ac:dyDescent="0.2">
      <c r="A825" s="9">
        <v>820</v>
      </c>
      <c r="B825" s="27">
        <f t="shared" si="72"/>
        <v>4005.8622374206161</v>
      </c>
      <c r="C825" s="27">
        <f t="shared" si="73"/>
        <v>16167.659990229606</v>
      </c>
      <c r="D825" s="28">
        <v>16.12</v>
      </c>
      <c r="E825" s="28">
        <v>16.13</v>
      </c>
      <c r="F825" s="9" t="str">
        <f t="shared" si="74"/>
        <v>Within 10 mV (calibration line)</v>
      </c>
      <c r="G825" s="27">
        <f t="shared" si="75"/>
        <v>4005.8622374206161</v>
      </c>
      <c r="H825" s="29">
        <v>4.5</v>
      </c>
      <c r="I825" s="29">
        <v>4.5</v>
      </c>
      <c r="J825" s="9" t="str">
        <f t="shared" si="76"/>
        <v>Identical</v>
      </c>
      <c r="K825" s="9" t="s">
        <v>539</v>
      </c>
      <c r="L825" s="9" t="s">
        <v>539</v>
      </c>
      <c r="M825" s="9" t="str">
        <f t="shared" si="77"/>
        <v>Same</v>
      </c>
      <c r="N825" s="30" t="s">
        <v>1509</v>
      </c>
      <c r="O825" s="30" t="s">
        <v>1510</v>
      </c>
    </row>
    <row r="826" spans="1:15" ht="15" customHeight="1" x14ac:dyDescent="0.2">
      <c r="A826" s="9">
        <v>821</v>
      </c>
      <c r="B826" s="27">
        <f t="shared" si="72"/>
        <v>4010.7474352711288</v>
      </c>
      <c r="C826" s="27">
        <f t="shared" si="73"/>
        <v>16187.376648754274</v>
      </c>
      <c r="D826" s="28">
        <v>16.14</v>
      </c>
      <c r="E826" s="28">
        <v>16.149999999999999</v>
      </c>
      <c r="F826" s="9" t="str">
        <f t="shared" si="74"/>
        <v>Within 10 mV (calibration line)</v>
      </c>
      <c r="G826" s="27">
        <f t="shared" si="75"/>
        <v>4010.7474352711288</v>
      </c>
      <c r="H826" s="29">
        <v>4.5</v>
      </c>
      <c r="I826" s="29">
        <v>4.5</v>
      </c>
      <c r="J826" s="9" t="str">
        <f t="shared" si="76"/>
        <v>Identical</v>
      </c>
      <c r="K826" s="9" t="s">
        <v>539</v>
      </c>
      <c r="L826" s="9" t="s">
        <v>539</v>
      </c>
      <c r="M826" s="9" t="str">
        <f t="shared" si="77"/>
        <v>Same</v>
      </c>
      <c r="N826" s="30" t="s">
        <v>1509</v>
      </c>
      <c r="O826" s="30" t="s">
        <v>1510</v>
      </c>
    </row>
    <row r="827" spans="1:15" ht="15" customHeight="1" x14ac:dyDescent="0.2">
      <c r="A827" s="9">
        <v>822</v>
      </c>
      <c r="B827" s="27">
        <f t="shared" si="72"/>
        <v>4015.6326331216414</v>
      </c>
      <c r="C827" s="27">
        <f t="shared" si="73"/>
        <v>16207.093307278943</v>
      </c>
      <c r="D827" s="28">
        <v>16.16</v>
      </c>
      <c r="E827" s="28">
        <v>16.170000000000002</v>
      </c>
      <c r="F827" s="9" t="str">
        <f t="shared" si="74"/>
        <v>Within 10 mV (calibration line)</v>
      </c>
      <c r="G827" s="27">
        <f t="shared" si="75"/>
        <v>4015.6326331216414</v>
      </c>
      <c r="H827" s="29">
        <v>4.51</v>
      </c>
      <c r="I827" s="29">
        <v>4.51</v>
      </c>
      <c r="J827" s="9" t="str">
        <f t="shared" si="76"/>
        <v>Identical</v>
      </c>
      <c r="K827" s="9" t="s">
        <v>539</v>
      </c>
      <c r="L827" s="9" t="s">
        <v>539</v>
      </c>
      <c r="M827" s="9" t="str">
        <f t="shared" si="77"/>
        <v>Same</v>
      </c>
      <c r="N827" s="30" t="s">
        <v>1511</v>
      </c>
      <c r="O827" s="30" t="s">
        <v>1512</v>
      </c>
    </row>
    <row r="828" spans="1:15" ht="15" customHeight="1" x14ac:dyDescent="0.2">
      <c r="A828" s="9">
        <v>823</v>
      </c>
      <c r="B828" s="27">
        <f t="shared" si="72"/>
        <v>4020.517830972155</v>
      </c>
      <c r="C828" s="27">
        <f t="shared" si="73"/>
        <v>16226.809965803615</v>
      </c>
      <c r="D828" s="28">
        <v>16.18</v>
      </c>
      <c r="E828" s="28">
        <v>16.190000000000001</v>
      </c>
      <c r="F828" s="9" t="str">
        <f t="shared" si="74"/>
        <v>Within 10 mV (calibration line)</v>
      </c>
      <c r="G828" s="27">
        <f t="shared" si="75"/>
        <v>4020.517830972155</v>
      </c>
      <c r="H828" s="29">
        <v>4.51</v>
      </c>
      <c r="I828" s="29">
        <v>4.51</v>
      </c>
      <c r="J828" s="9" t="str">
        <f t="shared" si="76"/>
        <v>Identical</v>
      </c>
      <c r="K828" s="9" t="s">
        <v>539</v>
      </c>
      <c r="L828" s="9" t="s">
        <v>539</v>
      </c>
      <c r="M828" s="9" t="str">
        <f t="shared" si="77"/>
        <v>Same</v>
      </c>
      <c r="N828" s="30" t="s">
        <v>1511</v>
      </c>
      <c r="O828" s="30" t="s">
        <v>1512</v>
      </c>
    </row>
    <row r="829" spans="1:15" ht="15" customHeight="1" x14ac:dyDescent="0.2">
      <c r="A829" s="9">
        <v>824</v>
      </c>
      <c r="B829" s="27">
        <f t="shared" si="72"/>
        <v>4025.4030288226677</v>
      </c>
      <c r="C829" s="27">
        <f t="shared" si="73"/>
        <v>16246.526624328286</v>
      </c>
      <c r="D829" s="28">
        <v>16.2</v>
      </c>
      <c r="E829" s="28">
        <v>16.21</v>
      </c>
      <c r="F829" s="9" t="str">
        <f t="shared" si="74"/>
        <v>Within 10 mV (calibration line)</v>
      </c>
      <c r="G829" s="27">
        <f t="shared" si="75"/>
        <v>4025.4030288226677</v>
      </c>
      <c r="H829" s="29">
        <v>4.5199999999999996</v>
      </c>
      <c r="I829" s="29">
        <v>4.5199999999999996</v>
      </c>
      <c r="J829" s="9" t="str">
        <f t="shared" si="76"/>
        <v>Identical</v>
      </c>
      <c r="K829" s="9" t="s">
        <v>539</v>
      </c>
      <c r="L829" s="9" t="s">
        <v>539</v>
      </c>
      <c r="M829" s="9" t="str">
        <f t="shared" si="77"/>
        <v>Same</v>
      </c>
      <c r="N829" s="30" t="s">
        <v>1513</v>
      </c>
      <c r="O829" s="30" t="s">
        <v>1514</v>
      </c>
    </row>
    <row r="830" spans="1:15" ht="15" customHeight="1" x14ac:dyDescent="0.2">
      <c r="A830" s="9">
        <v>825</v>
      </c>
      <c r="B830" s="27">
        <f t="shared" si="72"/>
        <v>4030.2882266731804</v>
      </c>
      <c r="C830" s="27">
        <f t="shared" si="73"/>
        <v>16266.243282852955</v>
      </c>
      <c r="D830" s="28">
        <v>16.22</v>
      </c>
      <c r="E830" s="28">
        <v>16.23</v>
      </c>
      <c r="F830" s="9" t="str">
        <f t="shared" si="74"/>
        <v>Within 10 mV (calibration line)</v>
      </c>
      <c r="G830" s="27">
        <f t="shared" si="75"/>
        <v>4030.2882266731804</v>
      </c>
      <c r="H830" s="29">
        <v>4.5199999999999996</v>
      </c>
      <c r="I830" s="29">
        <v>4.5199999999999996</v>
      </c>
      <c r="J830" s="9" t="str">
        <f t="shared" si="76"/>
        <v>Identical</v>
      </c>
      <c r="K830" s="9" t="s">
        <v>539</v>
      </c>
      <c r="L830" s="9" t="s">
        <v>539</v>
      </c>
      <c r="M830" s="9" t="str">
        <f t="shared" si="77"/>
        <v>Same</v>
      </c>
      <c r="N830" s="30" t="s">
        <v>1513</v>
      </c>
      <c r="O830" s="30" t="s">
        <v>1514</v>
      </c>
    </row>
    <row r="831" spans="1:15" ht="15" customHeight="1" x14ac:dyDescent="0.2">
      <c r="A831" s="9">
        <v>826</v>
      </c>
      <c r="B831" s="27">
        <f t="shared" si="72"/>
        <v>4035.1734245236939</v>
      </c>
      <c r="C831" s="27">
        <f t="shared" si="73"/>
        <v>16285.959941377627</v>
      </c>
      <c r="D831" s="28">
        <v>16.239999999999998</v>
      </c>
      <c r="E831" s="28">
        <v>16.25</v>
      </c>
      <c r="F831" s="9" t="str">
        <f t="shared" si="74"/>
        <v>Within 10 mV (calibration line)</v>
      </c>
      <c r="G831" s="27">
        <f t="shared" si="75"/>
        <v>4035.1734245236939</v>
      </c>
      <c r="H831" s="29">
        <v>4.53</v>
      </c>
      <c r="I831" s="29">
        <v>4.53</v>
      </c>
      <c r="J831" s="9" t="str">
        <f t="shared" si="76"/>
        <v>Identical</v>
      </c>
      <c r="K831" s="9" t="s">
        <v>539</v>
      </c>
      <c r="L831" s="9" t="s">
        <v>539</v>
      </c>
      <c r="M831" s="9" t="str">
        <f t="shared" si="77"/>
        <v>Same</v>
      </c>
      <c r="N831" s="30" t="s">
        <v>1515</v>
      </c>
      <c r="O831" s="30" t="s">
        <v>1516</v>
      </c>
    </row>
    <row r="832" spans="1:15" ht="15" customHeight="1" x14ac:dyDescent="0.2">
      <c r="A832" s="9">
        <v>827</v>
      </c>
      <c r="B832" s="27">
        <f t="shared" si="72"/>
        <v>4040.0586223742066</v>
      </c>
      <c r="C832" s="27">
        <f t="shared" si="73"/>
        <v>16305.676599902295</v>
      </c>
      <c r="D832" s="28">
        <v>16.260000000000002</v>
      </c>
      <c r="E832" s="28">
        <v>16.27</v>
      </c>
      <c r="F832" s="9" t="str">
        <f t="shared" si="74"/>
        <v>Within 10 mV (calibration line)</v>
      </c>
      <c r="G832" s="27">
        <f t="shared" si="75"/>
        <v>4040.0586223742066</v>
      </c>
      <c r="H832" s="29">
        <v>4.54</v>
      </c>
      <c r="I832" s="29">
        <v>4.54</v>
      </c>
      <c r="J832" s="9" t="str">
        <f t="shared" si="76"/>
        <v>Identical</v>
      </c>
      <c r="K832" s="9" t="s">
        <v>539</v>
      </c>
      <c r="L832" s="9" t="s">
        <v>539</v>
      </c>
      <c r="M832" s="9" t="str">
        <f t="shared" si="77"/>
        <v>Same</v>
      </c>
      <c r="N832" s="30" t="s">
        <v>1517</v>
      </c>
      <c r="O832" s="30" t="s">
        <v>1518</v>
      </c>
    </row>
    <row r="833" spans="1:15" ht="15" customHeight="1" x14ac:dyDescent="0.2">
      <c r="A833" s="9">
        <v>828</v>
      </c>
      <c r="B833" s="27">
        <f t="shared" si="72"/>
        <v>4044.9438202247193</v>
      </c>
      <c r="C833" s="27">
        <f t="shared" si="73"/>
        <v>16325.393258426966</v>
      </c>
      <c r="D833" s="28">
        <v>16.28</v>
      </c>
      <c r="E833" s="28">
        <v>16.29</v>
      </c>
      <c r="F833" s="9" t="str">
        <f t="shared" si="74"/>
        <v>Within 10 mV (calibration line)</v>
      </c>
      <c r="G833" s="27">
        <f t="shared" si="75"/>
        <v>4044.9438202247193</v>
      </c>
      <c r="H833" s="29">
        <v>4.54</v>
      </c>
      <c r="I833" s="29">
        <v>4.54</v>
      </c>
      <c r="J833" s="9" t="str">
        <f t="shared" si="76"/>
        <v>Identical</v>
      </c>
      <c r="K833" s="9" t="s">
        <v>539</v>
      </c>
      <c r="L833" s="9" t="s">
        <v>539</v>
      </c>
      <c r="M833" s="9" t="str">
        <f t="shared" si="77"/>
        <v>Same</v>
      </c>
      <c r="N833" s="30" t="s">
        <v>1517</v>
      </c>
      <c r="O833" s="30" t="s">
        <v>1518</v>
      </c>
    </row>
    <row r="834" spans="1:15" ht="15" customHeight="1" x14ac:dyDescent="0.2">
      <c r="A834" s="9">
        <v>829</v>
      </c>
      <c r="B834" s="27">
        <f t="shared" si="72"/>
        <v>4049.8290180752319</v>
      </c>
      <c r="C834" s="27">
        <f t="shared" si="73"/>
        <v>16345.109916951635</v>
      </c>
      <c r="D834" s="28">
        <v>16.3</v>
      </c>
      <c r="E834" s="28">
        <v>16.309999999999999</v>
      </c>
      <c r="F834" s="9" t="str">
        <f t="shared" si="74"/>
        <v>Within 10 mV (calibration line)</v>
      </c>
      <c r="G834" s="27">
        <f t="shared" si="75"/>
        <v>4049.8290180752319</v>
      </c>
      <c r="H834" s="29">
        <v>4.55</v>
      </c>
      <c r="I834" s="29">
        <v>4.55</v>
      </c>
      <c r="J834" s="9" t="str">
        <f t="shared" si="76"/>
        <v>Identical</v>
      </c>
      <c r="K834" s="9" t="s">
        <v>539</v>
      </c>
      <c r="L834" s="9" t="s">
        <v>539</v>
      </c>
      <c r="M834" s="9" t="str">
        <f t="shared" si="77"/>
        <v>Same</v>
      </c>
      <c r="N834" s="30" t="s">
        <v>1519</v>
      </c>
      <c r="O834" s="30" t="s">
        <v>1520</v>
      </c>
    </row>
    <row r="835" spans="1:15" ht="15" customHeight="1" x14ac:dyDescent="0.2">
      <c r="A835" s="9">
        <v>830</v>
      </c>
      <c r="B835" s="27">
        <f t="shared" si="72"/>
        <v>4054.7142159257455</v>
      </c>
      <c r="C835" s="27">
        <f t="shared" si="73"/>
        <v>16364.826575476307</v>
      </c>
      <c r="D835" s="28">
        <v>16.32</v>
      </c>
      <c r="E835" s="28">
        <v>16.329999999999998</v>
      </c>
      <c r="F835" s="9" t="str">
        <f t="shared" si="74"/>
        <v>Within 10 mV (calibration line)</v>
      </c>
      <c r="G835" s="27">
        <f t="shared" si="75"/>
        <v>4054.7142159257455</v>
      </c>
      <c r="H835" s="29">
        <v>4.55</v>
      </c>
      <c r="I835" s="29">
        <v>4.55</v>
      </c>
      <c r="J835" s="9" t="str">
        <f t="shared" si="76"/>
        <v>Identical</v>
      </c>
      <c r="K835" s="9" t="s">
        <v>539</v>
      </c>
      <c r="L835" s="9" t="s">
        <v>539</v>
      </c>
      <c r="M835" s="9" t="str">
        <f t="shared" si="77"/>
        <v>Same</v>
      </c>
      <c r="N835" s="30" t="s">
        <v>1519</v>
      </c>
      <c r="O835" s="30" t="s">
        <v>1520</v>
      </c>
    </row>
    <row r="836" spans="1:15" ht="15" customHeight="1" x14ac:dyDescent="0.2">
      <c r="A836" s="9">
        <v>831</v>
      </c>
      <c r="B836" s="27">
        <f t="shared" si="72"/>
        <v>4059.5994137762582</v>
      </c>
      <c r="C836" s="27">
        <f t="shared" si="73"/>
        <v>16384.543234000976</v>
      </c>
      <c r="D836" s="28">
        <v>16.34</v>
      </c>
      <c r="E836" s="28">
        <v>16.350000000000001</v>
      </c>
      <c r="F836" s="9" t="str">
        <f t="shared" si="74"/>
        <v>Within 10 mV (calibration line)</v>
      </c>
      <c r="G836" s="27">
        <f t="shared" si="75"/>
        <v>4059.5994137762582</v>
      </c>
      <c r="H836" s="29">
        <v>4.5599999999999996</v>
      </c>
      <c r="I836" s="29">
        <v>4.5599999999999996</v>
      </c>
      <c r="J836" s="9" t="str">
        <f t="shared" si="76"/>
        <v>Identical</v>
      </c>
      <c r="K836" s="9" t="s">
        <v>539</v>
      </c>
      <c r="L836" s="9" t="s">
        <v>539</v>
      </c>
      <c r="M836" s="9" t="str">
        <f t="shared" si="77"/>
        <v>Same</v>
      </c>
      <c r="N836" s="30" t="s">
        <v>1521</v>
      </c>
      <c r="O836" s="30" t="s">
        <v>1522</v>
      </c>
    </row>
    <row r="837" spans="1:15" ht="15" customHeight="1" x14ac:dyDescent="0.2">
      <c r="A837" s="9">
        <v>832</v>
      </c>
      <c r="B837" s="27">
        <f t="shared" ref="B837:B900" si="78">A837/$C$3*1000</f>
        <v>4064.4846116267709</v>
      </c>
      <c r="C837" s="27">
        <f t="shared" ref="C837:C900" si="79">B837*$F$3</f>
        <v>16404.259892525646</v>
      </c>
      <c r="D837" s="28">
        <v>16.36</v>
      </c>
      <c r="E837" s="28">
        <v>16.37</v>
      </c>
      <c r="F837" s="9" t="str">
        <f t="shared" ref="F837:F900" si="80">IF(D837=E837,"Identical",IF(E837="OL","ADC full scale: now OL",IF(ABS(E837-D837)&lt;0.0105,"Within 10 mV (calibration line)",IF(AND(C837&lt;4200,ABS(E837-D837)&lt;0.0205),"-20 mV (end of old +30 mV band)",IF(C837&lt;830,"Low range fixed (F-02)","Different")))))</f>
        <v>Within 10 mV (calibration line)</v>
      </c>
      <c r="G837" s="27">
        <f t="shared" ref="G837:G900" si="81">B837</f>
        <v>4064.4846116267709</v>
      </c>
      <c r="H837" s="29">
        <v>4.5599999999999996</v>
      </c>
      <c r="I837" s="29">
        <v>4.5599999999999996</v>
      </c>
      <c r="J837" s="9" t="str">
        <f t="shared" ref="J837:J900" si="82">IF(H837=I837,"Identical",IF(I837="OL","Above 5.00 A: now OL",IF(H837="ERR (999.23)","Gap bug fixed",IF(ABS(I837-H837-0.01)&lt;0.0001,"+0.01 A (nearest step)","Different"))))</f>
        <v>Identical</v>
      </c>
      <c r="K837" s="9" t="s">
        <v>539</v>
      </c>
      <c r="L837" s="9" t="s">
        <v>539</v>
      </c>
      <c r="M837" s="9" t="str">
        <f t="shared" ref="M837:M900" si="83">IF(K837=L837,"Same","Different")</f>
        <v>Same</v>
      </c>
      <c r="N837" s="30" t="s">
        <v>1521</v>
      </c>
      <c r="O837" s="30" t="s">
        <v>1522</v>
      </c>
    </row>
    <row r="838" spans="1:15" ht="15" customHeight="1" x14ac:dyDescent="0.2">
      <c r="A838" s="9">
        <v>833</v>
      </c>
      <c r="B838" s="27">
        <f t="shared" si="78"/>
        <v>4069.3698094772844</v>
      </c>
      <c r="C838" s="27">
        <f t="shared" si="79"/>
        <v>16423.976551050317</v>
      </c>
      <c r="D838" s="28">
        <v>16.38</v>
      </c>
      <c r="E838" s="28">
        <v>16.39</v>
      </c>
      <c r="F838" s="9" t="str">
        <f t="shared" si="80"/>
        <v>Within 10 mV (calibration line)</v>
      </c>
      <c r="G838" s="27">
        <f t="shared" si="81"/>
        <v>4069.3698094772844</v>
      </c>
      <c r="H838" s="29">
        <v>4.57</v>
      </c>
      <c r="I838" s="29">
        <v>4.57</v>
      </c>
      <c r="J838" s="9" t="str">
        <f t="shared" si="82"/>
        <v>Identical</v>
      </c>
      <c r="K838" s="9" t="s">
        <v>539</v>
      </c>
      <c r="L838" s="9" t="s">
        <v>539</v>
      </c>
      <c r="M838" s="9" t="str">
        <f t="shared" si="83"/>
        <v>Same</v>
      </c>
      <c r="N838" s="30" t="s">
        <v>1523</v>
      </c>
      <c r="O838" s="30" t="s">
        <v>1524</v>
      </c>
    </row>
    <row r="839" spans="1:15" ht="15" customHeight="1" x14ac:dyDescent="0.2">
      <c r="A839" s="9">
        <v>834</v>
      </c>
      <c r="B839" s="27">
        <f t="shared" si="78"/>
        <v>4074.2550073277971</v>
      </c>
      <c r="C839" s="27">
        <f t="shared" si="79"/>
        <v>16443.693209574987</v>
      </c>
      <c r="D839" s="28">
        <v>16.399999999999999</v>
      </c>
      <c r="E839" s="28">
        <v>16.41</v>
      </c>
      <c r="F839" s="9" t="str">
        <f t="shared" si="80"/>
        <v>Within 10 mV (calibration line)</v>
      </c>
      <c r="G839" s="27">
        <f t="shared" si="81"/>
        <v>4074.2550073277971</v>
      </c>
      <c r="H839" s="29">
        <v>4.57</v>
      </c>
      <c r="I839" s="29">
        <v>4.57</v>
      </c>
      <c r="J839" s="9" t="str">
        <f t="shared" si="82"/>
        <v>Identical</v>
      </c>
      <c r="K839" s="9" t="s">
        <v>539</v>
      </c>
      <c r="L839" s="9" t="s">
        <v>539</v>
      </c>
      <c r="M839" s="9" t="str">
        <f t="shared" si="83"/>
        <v>Same</v>
      </c>
      <c r="N839" s="30" t="s">
        <v>1523</v>
      </c>
      <c r="O839" s="30" t="s">
        <v>1524</v>
      </c>
    </row>
    <row r="840" spans="1:15" ht="15" customHeight="1" x14ac:dyDescent="0.2">
      <c r="A840" s="9">
        <v>835</v>
      </c>
      <c r="B840" s="27">
        <f t="shared" si="78"/>
        <v>4079.1402051783098</v>
      </c>
      <c r="C840" s="27">
        <f t="shared" si="79"/>
        <v>16463.409868099658</v>
      </c>
      <c r="D840" s="28">
        <v>16.420000000000002</v>
      </c>
      <c r="E840" s="28">
        <v>16.420000000000002</v>
      </c>
      <c r="F840" s="9" t="str">
        <f t="shared" si="80"/>
        <v>Identical</v>
      </c>
      <c r="G840" s="27">
        <f t="shared" si="81"/>
        <v>4079.1402051783098</v>
      </c>
      <c r="H840" s="29">
        <v>4.58</v>
      </c>
      <c r="I840" s="29">
        <v>4.58</v>
      </c>
      <c r="J840" s="9" t="str">
        <f t="shared" si="82"/>
        <v>Identical</v>
      </c>
      <c r="K840" s="9" t="s">
        <v>539</v>
      </c>
      <c r="L840" s="9" t="s">
        <v>539</v>
      </c>
      <c r="M840" s="9" t="str">
        <f t="shared" si="83"/>
        <v>Same</v>
      </c>
      <c r="N840" s="30" t="s">
        <v>1525</v>
      </c>
      <c r="O840" s="30" t="s">
        <v>1526</v>
      </c>
    </row>
    <row r="841" spans="1:15" ht="15" customHeight="1" x14ac:dyDescent="0.2">
      <c r="A841" s="9">
        <v>836</v>
      </c>
      <c r="B841" s="27">
        <f t="shared" si="78"/>
        <v>4084.0254030288233</v>
      </c>
      <c r="C841" s="27">
        <f t="shared" si="79"/>
        <v>16483.126526624328</v>
      </c>
      <c r="D841" s="28">
        <v>16.440000000000001</v>
      </c>
      <c r="E841" s="28">
        <v>16.440000000000001</v>
      </c>
      <c r="F841" s="9" t="str">
        <f t="shared" si="80"/>
        <v>Identical</v>
      </c>
      <c r="G841" s="27">
        <f t="shared" si="81"/>
        <v>4084.0254030288233</v>
      </c>
      <c r="H841" s="29">
        <v>4.59</v>
      </c>
      <c r="I841" s="29">
        <v>4.59</v>
      </c>
      <c r="J841" s="9" t="str">
        <f t="shared" si="82"/>
        <v>Identical</v>
      </c>
      <c r="K841" s="9" t="s">
        <v>539</v>
      </c>
      <c r="L841" s="9" t="s">
        <v>539</v>
      </c>
      <c r="M841" s="9" t="str">
        <f t="shared" si="83"/>
        <v>Same</v>
      </c>
      <c r="N841" s="30" t="s">
        <v>1527</v>
      </c>
      <c r="O841" s="30" t="s">
        <v>1528</v>
      </c>
    </row>
    <row r="842" spans="1:15" ht="15" customHeight="1" x14ac:dyDescent="0.2">
      <c r="A842" s="9">
        <v>837</v>
      </c>
      <c r="B842" s="27">
        <f t="shared" si="78"/>
        <v>4088.910600879336</v>
      </c>
      <c r="C842" s="27">
        <f t="shared" si="79"/>
        <v>16502.843185148999</v>
      </c>
      <c r="D842" s="28">
        <v>16.46</v>
      </c>
      <c r="E842" s="28">
        <v>16.46</v>
      </c>
      <c r="F842" s="9" t="str">
        <f t="shared" si="80"/>
        <v>Identical</v>
      </c>
      <c r="G842" s="27">
        <f t="shared" si="81"/>
        <v>4088.910600879336</v>
      </c>
      <c r="H842" s="29">
        <v>4.59</v>
      </c>
      <c r="I842" s="29">
        <v>4.59</v>
      </c>
      <c r="J842" s="9" t="str">
        <f t="shared" si="82"/>
        <v>Identical</v>
      </c>
      <c r="K842" s="9" t="s">
        <v>539</v>
      </c>
      <c r="L842" s="9" t="s">
        <v>539</v>
      </c>
      <c r="M842" s="9" t="str">
        <f t="shared" si="83"/>
        <v>Same</v>
      </c>
      <c r="N842" s="30" t="s">
        <v>1527</v>
      </c>
      <c r="O842" s="30" t="s">
        <v>1528</v>
      </c>
    </row>
    <row r="843" spans="1:15" ht="15" customHeight="1" x14ac:dyDescent="0.2">
      <c r="A843" s="9">
        <v>838</v>
      </c>
      <c r="B843" s="27">
        <f t="shared" si="78"/>
        <v>4093.7957987298487</v>
      </c>
      <c r="C843" s="27">
        <f t="shared" si="79"/>
        <v>16522.559843673669</v>
      </c>
      <c r="D843" s="28">
        <v>16.48</v>
      </c>
      <c r="E843" s="28">
        <v>16.48</v>
      </c>
      <c r="F843" s="9" t="str">
        <f t="shared" si="80"/>
        <v>Identical</v>
      </c>
      <c r="G843" s="27">
        <f t="shared" si="81"/>
        <v>4093.7957987298487</v>
      </c>
      <c r="H843" s="29">
        <v>4.5999999999999996</v>
      </c>
      <c r="I843" s="29">
        <v>4.5999999999999996</v>
      </c>
      <c r="J843" s="9" t="str">
        <f t="shared" si="82"/>
        <v>Identical</v>
      </c>
      <c r="K843" s="9" t="s">
        <v>539</v>
      </c>
      <c r="L843" s="9" t="s">
        <v>539</v>
      </c>
      <c r="M843" s="9" t="str">
        <f t="shared" si="83"/>
        <v>Same</v>
      </c>
      <c r="N843" s="30" t="s">
        <v>1529</v>
      </c>
      <c r="O843" s="30" t="s">
        <v>1530</v>
      </c>
    </row>
    <row r="844" spans="1:15" ht="15" customHeight="1" x14ac:dyDescent="0.2">
      <c r="A844" s="9">
        <v>839</v>
      </c>
      <c r="B844" s="27">
        <f t="shared" si="78"/>
        <v>4098.6809965803623</v>
      </c>
      <c r="C844" s="27">
        <f t="shared" si="79"/>
        <v>16542.27650219834</v>
      </c>
      <c r="D844" s="28">
        <v>16.5</v>
      </c>
      <c r="E844" s="28">
        <v>16.5</v>
      </c>
      <c r="F844" s="9" t="str">
        <f t="shared" si="80"/>
        <v>Identical</v>
      </c>
      <c r="G844" s="27">
        <f t="shared" si="81"/>
        <v>4098.6809965803623</v>
      </c>
      <c r="H844" s="29">
        <v>4.5999999999999996</v>
      </c>
      <c r="I844" s="29">
        <v>4.5999999999999996</v>
      </c>
      <c r="J844" s="9" t="str">
        <f t="shared" si="82"/>
        <v>Identical</v>
      </c>
      <c r="K844" s="9" t="s">
        <v>539</v>
      </c>
      <c r="L844" s="9" t="s">
        <v>539</v>
      </c>
      <c r="M844" s="9" t="str">
        <f t="shared" si="83"/>
        <v>Same</v>
      </c>
      <c r="N844" s="30" t="s">
        <v>1529</v>
      </c>
      <c r="O844" s="30" t="s">
        <v>1530</v>
      </c>
    </row>
    <row r="845" spans="1:15" ht="15" customHeight="1" x14ac:dyDescent="0.2">
      <c r="A845" s="9">
        <v>840</v>
      </c>
      <c r="B845" s="27">
        <f t="shared" si="78"/>
        <v>4103.5661944308749</v>
      </c>
      <c r="C845" s="27">
        <f t="shared" si="79"/>
        <v>16561.99316072301</v>
      </c>
      <c r="D845" s="28">
        <v>16.52</v>
      </c>
      <c r="E845" s="28">
        <v>16.52</v>
      </c>
      <c r="F845" s="9" t="str">
        <f t="shared" si="80"/>
        <v>Identical</v>
      </c>
      <c r="G845" s="27">
        <f t="shared" si="81"/>
        <v>4103.5661944308749</v>
      </c>
      <c r="H845" s="29">
        <v>4.6100000000000003</v>
      </c>
      <c r="I845" s="29">
        <v>4.6100000000000003</v>
      </c>
      <c r="J845" s="9" t="str">
        <f t="shared" si="82"/>
        <v>Identical</v>
      </c>
      <c r="K845" s="9" t="s">
        <v>539</v>
      </c>
      <c r="L845" s="9" t="s">
        <v>539</v>
      </c>
      <c r="M845" s="9" t="str">
        <f t="shared" si="83"/>
        <v>Same</v>
      </c>
      <c r="N845" s="30" t="s">
        <v>1531</v>
      </c>
      <c r="O845" s="30" t="s">
        <v>1532</v>
      </c>
    </row>
    <row r="846" spans="1:15" ht="15" customHeight="1" x14ac:dyDescent="0.2">
      <c r="A846" s="9">
        <v>841</v>
      </c>
      <c r="B846" s="27">
        <f t="shared" si="78"/>
        <v>4108.4513922813876</v>
      </c>
      <c r="C846" s="27">
        <f t="shared" si="79"/>
        <v>16581.709819247677</v>
      </c>
      <c r="D846" s="28">
        <v>16.54</v>
      </c>
      <c r="E846" s="28">
        <v>16.54</v>
      </c>
      <c r="F846" s="9" t="str">
        <f t="shared" si="80"/>
        <v>Identical</v>
      </c>
      <c r="G846" s="27">
        <f t="shared" si="81"/>
        <v>4108.4513922813876</v>
      </c>
      <c r="H846" s="29">
        <v>4.6100000000000003</v>
      </c>
      <c r="I846" s="29">
        <v>4.6100000000000003</v>
      </c>
      <c r="J846" s="9" t="str">
        <f t="shared" si="82"/>
        <v>Identical</v>
      </c>
      <c r="K846" s="9" t="s">
        <v>539</v>
      </c>
      <c r="L846" s="9" t="s">
        <v>539</v>
      </c>
      <c r="M846" s="9" t="str">
        <f t="shared" si="83"/>
        <v>Same</v>
      </c>
      <c r="N846" s="30" t="s">
        <v>1531</v>
      </c>
      <c r="O846" s="30" t="s">
        <v>1532</v>
      </c>
    </row>
    <row r="847" spans="1:15" ht="15" customHeight="1" x14ac:dyDescent="0.2">
      <c r="A847" s="9">
        <v>842</v>
      </c>
      <c r="B847" s="27">
        <f t="shared" si="78"/>
        <v>4113.3365901319012</v>
      </c>
      <c r="C847" s="27">
        <f t="shared" si="79"/>
        <v>16601.426477772351</v>
      </c>
      <c r="D847" s="28">
        <v>16.559999999999999</v>
      </c>
      <c r="E847" s="28">
        <v>16.559999999999999</v>
      </c>
      <c r="F847" s="9" t="str">
        <f t="shared" si="80"/>
        <v>Identical</v>
      </c>
      <c r="G847" s="27">
        <f t="shared" si="81"/>
        <v>4113.3365901319012</v>
      </c>
      <c r="H847" s="29">
        <v>4.62</v>
      </c>
      <c r="I847" s="29">
        <v>4.62</v>
      </c>
      <c r="J847" s="9" t="str">
        <f t="shared" si="82"/>
        <v>Identical</v>
      </c>
      <c r="K847" s="9" t="s">
        <v>539</v>
      </c>
      <c r="L847" s="9" t="s">
        <v>539</v>
      </c>
      <c r="M847" s="9" t="str">
        <f t="shared" si="83"/>
        <v>Same</v>
      </c>
      <c r="N847" s="30" t="s">
        <v>1533</v>
      </c>
      <c r="O847" s="30" t="s">
        <v>1534</v>
      </c>
    </row>
    <row r="848" spans="1:15" ht="15" customHeight="1" x14ac:dyDescent="0.2">
      <c r="A848" s="9">
        <v>843</v>
      </c>
      <c r="B848" s="27">
        <f t="shared" si="78"/>
        <v>4118.2217879824138</v>
      </c>
      <c r="C848" s="27">
        <f t="shared" si="79"/>
        <v>16621.143136297022</v>
      </c>
      <c r="D848" s="28">
        <v>16.579999999999998</v>
      </c>
      <c r="E848" s="28">
        <v>16.579999999999998</v>
      </c>
      <c r="F848" s="9" t="str">
        <f t="shared" si="80"/>
        <v>Identical</v>
      </c>
      <c r="G848" s="27">
        <f t="shared" si="81"/>
        <v>4118.2217879824138</v>
      </c>
      <c r="H848" s="29">
        <v>4.62</v>
      </c>
      <c r="I848" s="29">
        <v>4.62</v>
      </c>
      <c r="J848" s="9" t="str">
        <f t="shared" si="82"/>
        <v>Identical</v>
      </c>
      <c r="K848" s="9" t="s">
        <v>539</v>
      </c>
      <c r="L848" s="9" t="s">
        <v>539</v>
      </c>
      <c r="M848" s="9" t="str">
        <f t="shared" si="83"/>
        <v>Same</v>
      </c>
      <c r="N848" s="30" t="s">
        <v>1533</v>
      </c>
      <c r="O848" s="30" t="s">
        <v>1534</v>
      </c>
    </row>
    <row r="849" spans="1:15" ht="15" customHeight="1" x14ac:dyDescent="0.2">
      <c r="A849" s="9">
        <v>844</v>
      </c>
      <c r="B849" s="27">
        <f t="shared" si="78"/>
        <v>4123.1069858329265</v>
      </c>
      <c r="C849" s="27">
        <f t="shared" si="79"/>
        <v>16640.859794821688</v>
      </c>
      <c r="D849" s="28">
        <v>16.600000000000001</v>
      </c>
      <c r="E849" s="28">
        <v>16.600000000000001</v>
      </c>
      <c r="F849" s="9" t="str">
        <f t="shared" si="80"/>
        <v>Identical</v>
      </c>
      <c r="G849" s="27">
        <f t="shared" si="81"/>
        <v>4123.1069858329265</v>
      </c>
      <c r="H849" s="29">
        <v>4.63</v>
      </c>
      <c r="I849" s="29">
        <v>4.63</v>
      </c>
      <c r="J849" s="9" t="str">
        <f t="shared" si="82"/>
        <v>Identical</v>
      </c>
      <c r="K849" s="9" t="s">
        <v>539</v>
      </c>
      <c r="L849" s="9" t="s">
        <v>539</v>
      </c>
      <c r="M849" s="9" t="str">
        <f t="shared" si="83"/>
        <v>Same</v>
      </c>
      <c r="N849" s="30" t="s">
        <v>1535</v>
      </c>
      <c r="O849" s="30" t="s">
        <v>1536</v>
      </c>
    </row>
    <row r="850" spans="1:15" ht="15" customHeight="1" x14ac:dyDescent="0.2">
      <c r="A850" s="9">
        <v>845</v>
      </c>
      <c r="B850" s="27">
        <f t="shared" si="78"/>
        <v>4127.9921836834392</v>
      </c>
      <c r="C850" s="27">
        <f t="shared" si="79"/>
        <v>16660.576453346359</v>
      </c>
      <c r="D850" s="28">
        <v>16.62</v>
      </c>
      <c r="E850" s="28">
        <v>16.62</v>
      </c>
      <c r="F850" s="9" t="str">
        <f t="shared" si="80"/>
        <v>Identical</v>
      </c>
      <c r="G850" s="27">
        <f t="shared" si="81"/>
        <v>4127.9921836834392</v>
      </c>
      <c r="H850" s="29">
        <v>4.63</v>
      </c>
      <c r="I850" s="29">
        <v>4.6399999999999997</v>
      </c>
      <c r="J850" s="9" t="str">
        <f t="shared" si="82"/>
        <v>+0.01 A (nearest step)</v>
      </c>
      <c r="K850" s="9" t="s">
        <v>539</v>
      </c>
      <c r="L850" s="9" t="s">
        <v>539</v>
      </c>
      <c r="M850" s="9" t="str">
        <f t="shared" si="83"/>
        <v>Same</v>
      </c>
      <c r="N850" s="30" t="s">
        <v>1535</v>
      </c>
      <c r="O850" s="30" t="s">
        <v>1537</v>
      </c>
    </row>
    <row r="851" spans="1:15" ht="15" customHeight="1" x14ac:dyDescent="0.2">
      <c r="A851" s="9">
        <v>846</v>
      </c>
      <c r="B851" s="27">
        <f t="shared" si="78"/>
        <v>4132.8773815339528</v>
      </c>
      <c r="C851" s="27">
        <f t="shared" si="79"/>
        <v>16680.293111871033</v>
      </c>
      <c r="D851" s="28">
        <v>16.64</v>
      </c>
      <c r="E851" s="28">
        <v>16.64</v>
      </c>
      <c r="F851" s="9" t="str">
        <f t="shared" si="80"/>
        <v>Identical</v>
      </c>
      <c r="G851" s="27">
        <f t="shared" si="81"/>
        <v>4132.8773815339528</v>
      </c>
      <c r="H851" s="29">
        <v>4.6399999999999997</v>
      </c>
      <c r="I851" s="29">
        <v>4.6399999999999997</v>
      </c>
      <c r="J851" s="9" t="str">
        <f t="shared" si="82"/>
        <v>Identical</v>
      </c>
      <c r="K851" s="9" t="s">
        <v>539</v>
      </c>
      <c r="L851" s="9" t="s">
        <v>539</v>
      </c>
      <c r="M851" s="9" t="str">
        <f t="shared" si="83"/>
        <v>Same</v>
      </c>
      <c r="N851" s="30" t="s">
        <v>1538</v>
      </c>
      <c r="O851" s="30" t="s">
        <v>1537</v>
      </c>
    </row>
    <row r="852" spans="1:15" ht="15" customHeight="1" x14ac:dyDescent="0.2">
      <c r="A852" s="9">
        <v>847</v>
      </c>
      <c r="B852" s="27">
        <f t="shared" si="78"/>
        <v>4137.7625793844654</v>
      </c>
      <c r="C852" s="27">
        <f t="shared" si="79"/>
        <v>16700.0097703957</v>
      </c>
      <c r="D852" s="28">
        <v>16.66</v>
      </c>
      <c r="E852" s="28">
        <v>16.66</v>
      </c>
      <c r="F852" s="9" t="str">
        <f t="shared" si="80"/>
        <v>Identical</v>
      </c>
      <c r="G852" s="27">
        <f t="shared" si="81"/>
        <v>4137.7625793844654</v>
      </c>
      <c r="H852" s="29">
        <v>4.6500000000000004</v>
      </c>
      <c r="I852" s="29">
        <v>4.6500000000000004</v>
      </c>
      <c r="J852" s="9" t="str">
        <f t="shared" si="82"/>
        <v>Identical</v>
      </c>
      <c r="K852" s="9" t="s">
        <v>539</v>
      </c>
      <c r="L852" s="9" t="s">
        <v>539</v>
      </c>
      <c r="M852" s="9" t="str">
        <f t="shared" si="83"/>
        <v>Same</v>
      </c>
      <c r="N852" s="30" t="s">
        <v>1539</v>
      </c>
      <c r="O852" s="30" t="s">
        <v>1540</v>
      </c>
    </row>
    <row r="853" spans="1:15" ht="15" customHeight="1" x14ac:dyDescent="0.2">
      <c r="A853" s="9">
        <v>848</v>
      </c>
      <c r="B853" s="27">
        <f t="shared" si="78"/>
        <v>4142.6477772349781</v>
      </c>
      <c r="C853" s="27">
        <f t="shared" si="79"/>
        <v>16719.72642892037</v>
      </c>
      <c r="D853" s="28">
        <v>16.670000000000002</v>
      </c>
      <c r="E853" s="28">
        <v>16.68</v>
      </c>
      <c r="F853" s="9" t="str">
        <f t="shared" si="80"/>
        <v>Within 10 mV (calibration line)</v>
      </c>
      <c r="G853" s="27">
        <f t="shared" si="81"/>
        <v>4142.6477772349781</v>
      </c>
      <c r="H853" s="29">
        <v>4.6500000000000004</v>
      </c>
      <c r="I853" s="29">
        <v>4.6500000000000004</v>
      </c>
      <c r="J853" s="9" t="str">
        <f t="shared" si="82"/>
        <v>Identical</v>
      </c>
      <c r="K853" s="9" t="s">
        <v>539</v>
      </c>
      <c r="L853" s="9" t="s">
        <v>539</v>
      </c>
      <c r="M853" s="9" t="str">
        <f t="shared" si="83"/>
        <v>Same</v>
      </c>
      <c r="N853" s="30" t="s">
        <v>1539</v>
      </c>
      <c r="O853" s="30" t="s">
        <v>1540</v>
      </c>
    </row>
    <row r="854" spans="1:15" ht="15" customHeight="1" x14ac:dyDescent="0.2">
      <c r="A854" s="9">
        <v>849</v>
      </c>
      <c r="B854" s="27">
        <f t="shared" si="78"/>
        <v>4147.5329750854917</v>
      </c>
      <c r="C854" s="27">
        <f t="shared" si="79"/>
        <v>16739.443087445041</v>
      </c>
      <c r="D854" s="28">
        <v>16.690000000000001</v>
      </c>
      <c r="E854" s="28">
        <v>16.7</v>
      </c>
      <c r="F854" s="9" t="str">
        <f t="shared" si="80"/>
        <v>Within 10 mV (calibration line)</v>
      </c>
      <c r="G854" s="27">
        <f t="shared" si="81"/>
        <v>4147.5329750854917</v>
      </c>
      <c r="H854" s="29">
        <v>4.66</v>
      </c>
      <c r="I854" s="29">
        <v>4.66</v>
      </c>
      <c r="J854" s="9" t="str">
        <f t="shared" si="82"/>
        <v>Identical</v>
      </c>
      <c r="K854" s="9" t="s">
        <v>539</v>
      </c>
      <c r="L854" s="9" t="s">
        <v>539</v>
      </c>
      <c r="M854" s="9" t="str">
        <f t="shared" si="83"/>
        <v>Same</v>
      </c>
      <c r="N854" s="30" t="s">
        <v>1541</v>
      </c>
      <c r="O854" s="30" t="s">
        <v>1542</v>
      </c>
    </row>
    <row r="855" spans="1:15" ht="15" customHeight="1" x14ac:dyDescent="0.2">
      <c r="A855" s="9">
        <v>850</v>
      </c>
      <c r="B855" s="27">
        <f t="shared" si="78"/>
        <v>4152.4181729360043</v>
      </c>
      <c r="C855" s="27">
        <f t="shared" si="79"/>
        <v>16759.159745969711</v>
      </c>
      <c r="D855" s="28">
        <v>16.71</v>
      </c>
      <c r="E855" s="28">
        <v>16.72</v>
      </c>
      <c r="F855" s="9" t="str">
        <f t="shared" si="80"/>
        <v>Within 10 mV (calibration line)</v>
      </c>
      <c r="G855" s="27">
        <f t="shared" si="81"/>
        <v>4152.4181729360043</v>
      </c>
      <c r="H855" s="29">
        <v>4.66</v>
      </c>
      <c r="I855" s="29">
        <v>4.66</v>
      </c>
      <c r="J855" s="9" t="str">
        <f t="shared" si="82"/>
        <v>Identical</v>
      </c>
      <c r="K855" s="9" t="s">
        <v>539</v>
      </c>
      <c r="L855" s="9" t="s">
        <v>539</v>
      </c>
      <c r="M855" s="9" t="str">
        <f t="shared" si="83"/>
        <v>Same</v>
      </c>
      <c r="N855" s="30" t="s">
        <v>1541</v>
      </c>
      <c r="O855" s="30" t="s">
        <v>1542</v>
      </c>
    </row>
    <row r="856" spans="1:15" ht="15" customHeight="1" x14ac:dyDescent="0.2">
      <c r="A856" s="9">
        <v>851</v>
      </c>
      <c r="B856" s="27">
        <f t="shared" si="78"/>
        <v>4157.303370786517</v>
      </c>
      <c r="C856" s="27">
        <f t="shared" si="79"/>
        <v>16778.876404494382</v>
      </c>
      <c r="D856" s="28">
        <v>16.73</v>
      </c>
      <c r="E856" s="28">
        <v>16.739999999999998</v>
      </c>
      <c r="F856" s="9" t="str">
        <f t="shared" si="80"/>
        <v>Within 10 mV (calibration line)</v>
      </c>
      <c r="G856" s="27">
        <f t="shared" si="81"/>
        <v>4157.303370786517</v>
      </c>
      <c r="H856" s="29">
        <v>4.67</v>
      </c>
      <c r="I856" s="29">
        <v>4.67</v>
      </c>
      <c r="J856" s="9" t="str">
        <f t="shared" si="82"/>
        <v>Identical</v>
      </c>
      <c r="K856" s="9" t="s">
        <v>539</v>
      </c>
      <c r="L856" s="9" t="s">
        <v>539</v>
      </c>
      <c r="M856" s="9" t="str">
        <f t="shared" si="83"/>
        <v>Same</v>
      </c>
      <c r="N856" s="30" t="s">
        <v>1543</v>
      </c>
      <c r="O856" s="30" t="s">
        <v>1544</v>
      </c>
    </row>
    <row r="857" spans="1:15" ht="15" customHeight="1" x14ac:dyDescent="0.2">
      <c r="A857" s="9">
        <v>852</v>
      </c>
      <c r="B857" s="27">
        <f t="shared" si="78"/>
        <v>4162.1885686370306</v>
      </c>
      <c r="C857" s="27">
        <f t="shared" si="79"/>
        <v>16798.593063019052</v>
      </c>
      <c r="D857" s="28">
        <v>16.75</v>
      </c>
      <c r="E857" s="28">
        <v>16.760000000000002</v>
      </c>
      <c r="F857" s="9" t="str">
        <f t="shared" si="80"/>
        <v>Within 10 mV (calibration line)</v>
      </c>
      <c r="G857" s="27">
        <f t="shared" si="81"/>
        <v>4162.1885686370306</v>
      </c>
      <c r="H857" s="29">
        <v>4.67</v>
      </c>
      <c r="I857" s="29">
        <v>4.67</v>
      </c>
      <c r="J857" s="9" t="str">
        <f t="shared" si="82"/>
        <v>Identical</v>
      </c>
      <c r="K857" s="9" t="s">
        <v>539</v>
      </c>
      <c r="L857" s="9" t="s">
        <v>539</v>
      </c>
      <c r="M857" s="9" t="str">
        <f t="shared" si="83"/>
        <v>Same</v>
      </c>
      <c r="N857" s="30" t="s">
        <v>1543</v>
      </c>
      <c r="O857" s="30" t="s">
        <v>1544</v>
      </c>
    </row>
    <row r="858" spans="1:15" ht="15" customHeight="1" x14ac:dyDescent="0.2">
      <c r="A858" s="9">
        <v>853</v>
      </c>
      <c r="B858" s="27">
        <f t="shared" si="78"/>
        <v>4167.0737664875433</v>
      </c>
      <c r="C858" s="27">
        <f t="shared" si="79"/>
        <v>16818.309721543723</v>
      </c>
      <c r="D858" s="28">
        <v>16.77</v>
      </c>
      <c r="E858" s="28">
        <v>16.78</v>
      </c>
      <c r="F858" s="9" t="str">
        <f t="shared" si="80"/>
        <v>Within 10 mV (calibration line)</v>
      </c>
      <c r="G858" s="27">
        <f t="shared" si="81"/>
        <v>4167.0737664875433</v>
      </c>
      <c r="H858" s="29">
        <v>4.68</v>
      </c>
      <c r="I858" s="29">
        <v>4.68</v>
      </c>
      <c r="J858" s="9" t="str">
        <f t="shared" si="82"/>
        <v>Identical</v>
      </c>
      <c r="K858" s="9" t="s">
        <v>539</v>
      </c>
      <c r="L858" s="9" t="s">
        <v>539</v>
      </c>
      <c r="M858" s="9" t="str">
        <f t="shared" si="83"/>
        <v>Same</v>
      </c>
      <c r="N858" s="30" t="s">
        <v>1545</v>
      </c>
      <c r="O858" s="30" t="s">
        <v>1546</v>
      </c>
    </row>
    <row r="859" spans="1:15" ht="15" customHeight="1" x14ac:dyDescent="0.2">
      <c r="A859" s="9">
        <v>854</v>
      </c>
      <c r="B859" s="27">
        <f t="shared" si="78"/>
        <v>4171.9589643380559</v>
      </c>
      <c r="C859" s="27">
        <f t="shared" si="79"/>
        <v>16838.026380068393</v>
      </c>
      <c r="D859" s="28">
        <v>16.79</v>
      </c>
      <c r="E859" s="28">
        <v>16.8</v>
      </c>
      <c r="F859" s="9" t="str">
        <f t="shared" si="80"/>
        <v>Within 10 mV (calibration line)</v>
      </c>
      <c r="G859" s="27">
        <f t="shared" si="81"/>
        <v>4171.9589643380559</v>
      </c>
      <c r="H859" s="29">
        <v>4.68</v>
      </c>
      <c r="I859" s="29">
        <v>4.68</v>
      </c>
      <c r="J859" s="9" t="str">
        <f t="shared" si="82"/>
        <v>Identical</v>
      </c>
      <c r="K859" s="9" t="s">
        <v>539</v>
      </c>
      <c r="L859" s="9" t="s">
        <v>539</v>
      </c>
      <c r="M859" s="9" t="str">
        <f t="shared" si="83"/>
        <v>Same</v>
      </c>
      <c r="N859" s="30" t="s">
        <v>1545</v>
      </c>
      <c r="O859" s="30" t="s">
        <v>1546</v>
      </c>
    </row>
    <row r="860" spans="1:15" ht="15" customHeight="1" x14ac:dyDescent="0.2">
      <c r="A860" s="9">
        <v>855</v>
      </c>
      <c r="B860" s="27">
        <f t="shared" si="78"/>
        <v>4176.8441621885695</v>
      </c>
      <c r="C860" s="27">
        <f t="shared" si="79"/>
        <v>16857.743038593064</v>
      </c>
      <c r="D860" s="28">
        <v>16.809999999999999</v>
      </c>
      <c r="E860" s="28">
        <v>16.82</v>
      </c>
      <c r="F860" s="9" t="str">
        <f t="shared" si="80"/>
        <v>Within 10 mV (calibration line)</v>
      </c>
      <c r="G860" s="27">
        <f t="shared" si="81"/>
        <v>4176.8441621885695</v>
      </c>
      <c r="H860" s="29">
        <v>4.6900000000000004</v>
      </c>
      <c r="I860" s="29">
        <v>4.6900000000000004</v>
      </c>
      <c r="J860" s="9" t="str">
        <f t="shared" si="82"/>
        <v>Identical</v>
      </c>
      <c r="K860" s="9" t="s">
        <v>539</v>
      </c>
      <c r="L860" s="9" t="s">
        <v>539</v>
      </c>
      <c r="M860" s="9" t="str">
        <f t="shared" si="83"/>
        <v>Same</v>
      </c>
      <c r="N860" s="30" t="s">
        <v>1547</v>
      </c>
      <c r="O860" s="30" t="s">
        <v>1548</v>
      </c>
    </row>
    <row r="861" spans="1:15" ht="15" customHeight="1" x14ac:dyDescent="0.2">
      <c r="A861" s="9">
        <v>856</v>
      </c>
      <c r="B861" s="27">
        <f t="shared" si="78"/>
        <v>4181.7293600390822</v>
      </c>
      <c r="C861" s="27">
        <f t="shared" si="79"/>
        <v>16877.459697117734</v>
      </c>
      <c r="D861" s="28">
        <v>16.829999999999998</v>
      </c>
      <c r="E861" s="28">
        <v>16.84</v>
      </c>
      <c r="F861" s="9" t="str">
        <f t="shared" si="80"/>
        <v>Within 10 mV (calibration line)</v>
      </c>
      <c r="G861" s="27">
        <f t="shared" si="81"/>
        <v>4181.7293600390822</v>
      </c>
      <c r="H861" s="29">
        <v>4.6900000000000004</v>
      </c>
      <c r="I861" s="29">
        <v>4.7</v>
      </c>
      <c r="J861" s="9" t="str">
        <f t="shared" si="82"/>
        <v>+0.01 A (nearest step)</v>
      </c>
      <c r="K861" s="9" t="s">
        <v>539</v>
      </c>
      <c r="L861" s="9" t="s">
        <v>539</v>
      </c>
      <c r="M861" s="9" t="str">
        <f t="shared" si="83"/>
        <v>Same</v>
      </c>
      <c r="N861" s="30" t="s">
        <v>1547</v>
      </c>
      <c r="O861" s="30" t="s">
        <v>1549</v>
      </c>
    </row>
    <row r="862" spans="1:15" ht="15" customHeight="1" x14ac:dyDescent="0.2">
      <c r="A862" s="9">
        <v>857</v>
      </c>
      <c r="B862" s="27">
        <f t="shared" si="78"/>
        <v>4186.6145578895948</v>
      </c>
      <c r="C862" s="27">
        <f t="shared" si="79"/>
        <v>16897.176355642405</v>
      </c>
      <c r="D862" s="28">
        <v>16.850000000000001</v>
      </c>
      <c r="E862" s="28">
        <v>16.86</v>
      </c>
      <c r="F862" s="9" t="str">
        <f t="shared" si="80"/>
        <v>Within 10 mV (calibration line)</v>
      </c>
      <c r="G862" s="27">
        <f t="shared" si="81"/>
        <v>4186.6145578895948</v>
      </c>
      <c r="H862" s="29">
        <v>4.7</v>
      </c>
      <c r="I862" s="29">
        <v>4.7</v>
      </c>
      <c r="J862" s="9" t="str">
        <f t="shared" si="82"/>
        <v>Identical</v>
      </c>
      <c r="K862" s="9" t="s">
        <v>539</v>
      </c>
      <c r="L862" s="9" t="s">
        <v>539</v>
      </c>
      <c r="M862" s="9" t="str">
        <f t="shared" si="83"/>
        <v>Same</v>
      </c>
      <c r="N862" s="30" t="s">
        <v>1550</v>
      </c>
      <c r="O862" s="30" t="s">
        <v>1549</v>
      </c>
    </row>
    <row r="863" spans="1:15" ht="15" customHeight="1" x14ac:dyDescent="0.2">
      <c r="A863" s="9">
        <v>858</v>
      </c>
      <c r="B863" s="27">
        <f t="shared" si="78"/>
        <v>4191.4997557401084</v>
      </c>
      <c r="C863" s="27">
        <f t="shared" si="79"/>
        <v>16916.893014167075</v>
      </c>
      <c r="D863" s="28">
        <v>16.87</v>
      </c>
      <c r="E863" s="28">
        <v>16.88</v>
      </c>
      <c r="F863" s="9" t="str">
        <f t="shared" si="80"/>
        <v>Within 10 mV (calibration line)</v>
      </c>
      <c r="G863" s="27">
        <f t="shared" si="81"/>
        <v>4191.4997557401084</v>
      </c>
      <c r="H863" s="29">
        <v>4.71</v>
      </c>
      <c r="I863" s="29">
        <v>4.71</v>
      </c>
      <c r="J863" s="9" t="str">
        <f t="shared" si="82"/>
        <v>Identical</v>
      </c>
      <c r="K863" s="9" t="s">
        <v>539</v>
      </c>
      <c r="L863" s="9" t="s">
        <v>539</v>
      </c>
      <c r="M863" s="9" t="str">
        <f t="shared" si="83"/>
        <v>Same</v>
      </c>
      <c r="N863" s="30" t="s">
        <v>1551</v>
      </c>
      <c r="O863" s="30" t="s">
        <v>1552</v>
      </c>
    </row>
    <row r="864" spans="1:15" ht="15" customHeight="1" x14ac:dyDescent="0.2">
      <c r="A864" s="9">
        <v>859</v>
      </c>
      <c r="B864" s="27">
        <f t="shared" si="78"/>
        <v>4196.3849535906211</v>
      </c>
      <c r="C864" s="27">
        <f t="shared" si="79"/>
        <v>16936.609672691746</v>
      </c>
      <c r="D864" s="28">
        <v>16.89</v>
      </c>
      <c r="E864" s="28">
        <v>16.899999999999999</v>
      </c>
      <c r="F864" s="9" t="str">
        <f t="shared" si="80"/>
        <v>Within 10 mV (calibration line)</v>
      </c>
      <c r="G864" s="27">
        <f t="shared" si="81"/>
        <v>4196.3849535906211</v>
      </c>
      <c r="H864" s="29">
        <v>4.71</v>
      </c>
      <c r="I864" s="29">
        <v>4.71</v>
      </c>
      <c r="J864" s="9" t="str">
        <f t="shared" si="82"/>
        <v>Identical</v>
      </c>
      <c r="K864" s="9" t="s">
        <v>539</v>
      </c>
      <c r="L864" s="9" t="s">
        <v>539</v>
      </c>
      <c r="M864" s="9" t="str">
        <f t="shared" si="83"/>
        <v>Same</v>
      </c>
      <c r="N864" s="30" t="s">
        <v>1551</v>
      </c>
      <c r="O864" s="30" t="s">
        <v>1552</v>
      </c>
    </row>
    <row r="865" spans="1:15" ht="15" customHeight="1" x14ac:dyDescent="0.2">
      <c r="A865" s="9">
        <v>860</v>
      </c>
      <c r="B865" s="27">
        <f t="shared" si="78"/>
        <v>4201.2701514411337</v>
      </c>
      <c r="C865" s="27">
        <f t="shared" si="79"/>
        <v>16956.326331216413</v>
      </c>
      <c r="D865" s="28">
        <v>16.91</v>
      </c>
      <c r="E865" s="28">
        <v>16.920000000000002</v>
      </c>
      <c r="F865" s="9" t="str">
        <f t="shared" si="80"/>
        <v>Within 10 mV (calibration line)</v>
      </c>
      <c r="G865" s="27">
        <f t="shared" si="81"/>
        <v>4201.2701514411337</v>
      </c>
      <c r="H865" s="29">
        <v>4.72</v>
      </c>
      <c r="I865" s="29">
        <v>4.72</v>
      </c>
      <c r="J865" s="9" t="str">
        <f t="shared" si="82"/>
        <v>Identical</v>
      </c>
      <c r="K865" s="9" t="s">
        <v>539</v>
      </c>
      <c r="L865" s="9" t="s">
        <v>539</v>
      </c>
      <c r="M865" s="9" t="str">
        <f t="shared" si="83"/>
        <v>Same</v>
      </c>
      <c r="N865" s="30" t="s">
        <v>1553</v>
      </c>
      <c r="O865" s="30" t="s">
        <v>1554</v>
      </c>
    </row>
    <row r="866" spans="1:15" ht="15" customHeight="1" x14ac:dyDescent="0.2">
      <c r="A866" s="9">
        <v>861</v>
      </c>
      <c r="B866" s="27">
        <f t="shared" si="78"/>
        <v>4206.1553492916464</v>
      </c>
      <c r="C866" s="27">
        <f t="shared" si="79"/>
        <v>16976.042989741083</v>
      </c>
      <c r="D866" s="28">
        <v>16.93</v>
      </c>
      <c r="E866" s="28">
        <v>16.940000000000001</v>
      </c>
      <c r="F866" s="9" t="str">
        <f t="shared" si="80"/>
        <v>Within 10 mV (calibration line)</v>
      </c>
      <c r="G866" s="27">
        <f t="shared" si="81"/>
        <v>4206.1553492916464</v>
      </c>
      <c r="H866" s="29">
        <v>4.72</v>
      </c>
      <c r="I866" s="29">
        <v>4.72</v>
      </c>
      <c r="J866" s="9" t="str">
        <f t="shared" si="82"/>
        <v>Identical</v>
      </c>
      <c r="K866" s="9" t="s">
        <v>539</v>
      </c>
      <c r="L866" s="9" t="s">
        <v>539</v>
      </c>
      <c r="M866" s="9" t="str">
        <f t="shared" si="83"/>
        <v>Same</v>
      </c>
      <c r="N866" s="30" t="s">
        <v>1553</v>
      </c>
      <c r="O866" s="30" t="s">
        <v>1554</v>
      </c>
    </row>
    <row r="867" spans="1:15" ht="15" customHeight="1" x14ac:dyDescent="0.2">
      <c r="A867" s="9">
        <v>862</v>
      </c>
      <c r="B867" s="27">
        <f t="shared" si="78"/>
        <v>4211.04054714216</v>
      </c>
      <c r="C867" s="27">
        <f t="shared" si="79"/>
        <v>16995.759648265757</v>
      </c>
      <c r="D867" s="28">
        <v>16.95</v>
      </c>
      <c r="E867" s="28">
        <v>16.96</v>
      </c>
      <c r="F867" s="9" t="str">
        <f t="shared" si="80"/>
        <v>Within 10 mV (calibration line)</v>
      </c>
      <c r="G867" s="27">
        <f t="shared" si="81"/>
        <v>4211.04054714216</v>
      </c>
      <c r="H867" s="29">
        <v>4.7300000000000004</v>
      </c>
      <c r="I867" s="29">
        <v>4.7300000000000004</v>
      </c>
      <c r="J867" s="9" t="str">
        <f t="shared" si="82"/>
        <v>Identical</v>
      </c>
      <c r="K867" s="9" t="s">
        <v>539</v>
      </c>
      <c r="L867" s="9" t="s">
        <v>539</v>
      </c>
      <c r="M867" s="9" t="str">
        <f t="shared" si="83"/>
        <v>Same</v>
      </c>
      <c r="N867" s="30" t="s">
        <v>1555</v>
      </c>
      <c r="O867" s="30" t="s">
        <v>1556</v>
      </c>
    </row>
    <row r="868" spans="1:15" ht="15" customHeight="1" x14ac:dyDescent="0.2">
      <c r="A868" s="9">
        <v>863</v>
      </c>
      <c r="B868" s="27">
        <f t="shared" si="78"/>
        <v>4215.9257449926727</v>
      </c>
      <c r="C868" s="27">
        <f t="shared" si="79"/>
        <v>17015.476306790424</v>
      </c>
      <c r="D868" s="28">
        <v>16.97</v>
      </c>
      <c r="E868" s="28">
        <v>16.97</v>
      </c>
      <c r="F868" s="9" t="str">
        <f t="shared" si="80"/>
        <v>Identical</v>
      </c>
      <c r="G868" s="27">
        <f t="shared" si="81"/>
        <v>4215.9257449926727</v>
      </c>
      <c r="H868" s="29">
        <v>4.7300000000000004</v>
      </c>
      <c r="I868" s="29">
        <v>4.7300000000000004</v>
      </c>
      <c r="J868" s="9" t="str">
        <f t="shared" si="82"/>
        <v>Identical</v>
      </c>
      <c r="K868" s="9" t="s">
        <v>539</v>
      </c>
      <c r="L868" s="9" t="s">
        <v>539</v>
      </c>
      <c r="M868" s="9" t="str">
        <f t="shared" si="83"/>
        <v>Same</v>
      </c>
      <c r="N868" s="30" t="s">
        <v>1555</v>
      </c>
      <c r="O868" s="30" t="s">
        <v>1556</v>
      </c>
    </row>
    <row r="869" spans="1:15" ht="15" customHeight="1" x14ac:dyDescent="0.2">
      <c r="A869" s="9">
        <v>864</v>
      </c>
      <c r="B869" s="27">
        <f t="shared" si="78"/>
        <v>4220.8109428431853</v>
      </c>
      <c r="C869" s="27">
        <f t="shared" si="79"/>
        <v>17035.192965315095</v>
      </c>
      <c r="D869" s="28">
        <v>16.989999999999998</v>
      </c>
      <c r="E869" s="28">
        <v>16.989999999999998</v>
      </c>
      <c r="F869" s="9" t="str">
        <f t="shared" si="80"/>
        <v>Identical</v>
      </c>
      <c r="G869" s="27">
        <f t="shared" si="81"/>
        <v>4220.8109428431853</v>
      </c>
      <c r="H869" s="29">
        <v>4.74</v>
      </c>
      <c r="I869" s="29">
        <v>4.74</v>
      </c>
      <c r="J869" s="9" t="str">
        <f t="shared" si="82"/>
        <v>Identical</v>
      </c>
      <c r="K869" s="9" t="s">
        <v>539</v>
      </c>
      <c r="L869" s="9" t="s">
        <v>539</v>
      </c>
      <c r="M869" s="9" t="str">
        <f t="shared" si="83"/>
        <v>Same</v>
      </c>
      <c r="N869" s="30" t="s">
        <v>1557</v>
      </c>
      <c r="O869" s="30" t="s">
        <v>1558</v>
      </c>
    </row>
    <row r="870" spans="1:15" ht="15" customHeight="1" x14ac:dyDescent="0.2">
      <c r="A870" s="9">
        <v>865</v>
      </c>
      <c r="B870" s="27">
        <f t="shared" si="78"/>
        <v>4225.6961406936989</v>
      </c>
      <c r="C870" s="27">
        <f t="shared" si="79"/>
        <v>17054.909623839769</v>
      </c>
      <c r="D870" s="28">
        <v>17.010000000000002</v>
      </c>
      <c r="E870" s="28">
        <v>17.010000000000002</v>
      </c>
      <c r="F870" s="9" t="str">
        <f t="shared" si="80"/>
        <v>Identical</v>
      </c>
      <c r="G870" s="27">
        <f t="shared" si="81"/>
        <v>4225.6961406936989</v>
      </c>
      <c r="H870" s="29">
        <v>4.74</v>
      </c>
      <c r="I870" s="29">
        <v>4.74</v>
      </c>
      <c r="J870" s="9" t="str">
        <f t="shared" si="82"/>
        <v>Identical</v>
      </c>
      <c r="K870" s="9" t="s">
        <v>539</v>
      </c>
      <c r="L870" s="9" t="s">
        <v>539</v>
      </c>
      <c r="M870" s="9" t="str">
        <f t="shared" si="83"/>
        <v>Same</v>
      </c>
      <c r="N870" s="30" t="s">
        <v>1557</v>
      </c>
      <c r="O870" s="30" t="s">
        <v>1558</v>
      </c>
    </row>
    <row r="871" spans="1:15" ht="15" customHeight="1" x14ac:dyDescent="0.2">
      <c r="A871" s="9">
        <v>866</v>
      </c>
      <c r="B871" s="27">
        <f t="shared" si="78"/>
        <v>4230.5813385442116</v>
      </c>
      <c r="C871" s="27">
        <f t="shared" si="79"/>
        <v>17074.626282364436</v>
      </c>
      <c r="D871" s="28">
        <v>17.03</v>
      </c>
      <c r="E871" s="28">
        <v>17.03</v>
      </c>
      <c r="F871" s="9" t="str">
        <f t="shared" si="80"/>
        <v>Identical</v>
      </c>
      <c r="G871" s="27">
        <f t="shared" si="81"/>
        <v>4230.5813385442116</v>
      </c>
      <c r="H871" s="29">
        <v>4.75</v>
      </c>
      <c r="I871" s="29">
        <v>4.75</v>
      </c>
      <c r="J871" s="9" t="str">
        <f t="shared" si="82"/>
        <v>Identical</v>
      </c>
      <c r="K871" s="9" t="s">
        <v>539</v>
      </c>
      <c r="L871" s="9" t="s">
        <v>539</v>
      </c>
      <c r="M871" s="9" t="str">
        <f t="shared" si="83"/>
        <v>Same</v>
      </c>
      <c r="N871" s="30" t="s">
        <v>1559</v>
      </c>
      <c r="O871" s="30" t="s">
        <v>1560</v>
      </c>
    </row>
    <row r="872" spans="1:15" ht="15" customHeight="1" x14ac:dyDescent="0.2">
      <c r="A872" s="9">
        <v>867</v>
      </c>
      <c r="B872" s="27">
        <f t="shared" si="78"/>
        <v>4235.4665363947242</v>
      </c>
      <c r="C872" s="27">
        <f t="shared" si="79"/>
        <v>17094.342940889106</v>
      </c>
      <c r="D872" s="28">
        <v>17.05</v>
      </c>
      <c r="E872" s="28">
        <v>17.05</v>
      </c>
      <c r="F872" s="9" t="str">
        <f t="shared" si="80"/>
        <v>Identical</v>
      </c>
      <c r="G872" s="27">
        <f t="shared" si="81"/>
        <v>4235.4665363947242</v>
      </c>
      <c r="H872" s="29">
        <v>4.75</v>
      </c>
      <c r="I872" s="29">
        <v>4.75</v>
      </c>
      <c r="J872" s="9" t="str">
        <f t="shared" si="82"/>
        <v>Identical</v>
      </c>
      <c r="K872" s="9" t="s">
        <v>539</v>
      </c>
      <c r="L872" s="9" t="s">
        <v>539</v>
      </c>
      <c r="M872" s="9" t="str">
        <f t="shared" si="83"/>
        <v>Same</v>
      </c>
      <c r="N872" s="30" t="s">
        <v>1559</v>
      </c>
      <c r="O872" s="30" t="s">
        <v>1560</v>
      </c>
    </row>
    <row r="873" spans="1:15" ht="15" customHeight="1" x14ac:dyDescent="0.2">
      <c r="A873" s="9">
        <v>868</v>
      </c>
      <c r="B873" s="27">
        <f t="shared" si="78"/>
        <v>4240.3517342452378</v>
      </c>
      <c r="C873" s="27">
        <f t="shared" si="79"/>
        <v>17114.059599413777</v>
      </c>
      <c r="D873" s="28">
        <v>17.07</v>
      </c>
      <c r="E873" s="28">
        <v>17.07</v>
      </c>
      <c r="F873" s="9" t="str">
        <f t="shared" si="80"/>
        <v>Identical</v>
      </c>
      <c r="G873" s="27">
        <f t="shared" si="81"/>
        <v>4240.3517342452378</v>
      </c>
      <c r="H873" s="29">
        <v>4.76</v>
      </c>
      <c r="I873" s="29">
        <v>4.76</v>
      </c>
      <c r="J873" s="9" t="str">
        <f t="shared" si="82"/>
        <v>Identical</v>
      </c>
      <c r="K873" s="9" t="s">
        <v>539</v>
      </c>
      <c r="L873" s="9" t="s">
        <v>539</v>
      </c>
      <c r="M873" s="9" t="str">
        <f t="shared" si="83"/>
        <v>Same</v>
      </c>
      <c r="N873" s="30" t="s">
        <v>1561</v>
      </c>
      <c r="O873" s="30" t="s">
        <v>1562</v>
      </c>
    </row>
    <row r="874" spans="1:15" ht="15" customHeight="1" x14ac:dyDescent="0.2">
      <c r="A874" s="9">
        <v>869</v>
      </c>
      <c r="B874" s="27">
        <f t="shared" si="78"/>
        <v>4245.2369320957505</v>
      </c>
      <c r="C874" s="27">
        <f t="shared" si="79"/>
        <v>17133.776257938447</v>
      </c>
      <c r="D874" s="28">
        <v>17.09</v>
      </c>
      <c r="E874" s="28">
        <v>17.09</v>
      </c>
      <c r="F874" s="9" t="str">
        <f t="shared" si="80"/>
        <v>Identical</v>
      </c>
      <c r="G874" s="27">
        <f t="shared" si="81"/>
        <v>4245.2369320957505</v>
      </c>
      <c r="H874" s="29">
        <v>4.7699999999999996</v>
      </c>
      <c r="I874" s="29">
        <v>4.7699999999999996</v>
      </c>
      <c r="J874" s="9" t="str">
        <f t="shared" si="82"/>
        <v>Identical</v>
      </c>
      <c r="K874" s="9" t="s">
        <v>539</v>
      </c>
      <c r="L874" s="9" t="s">
        <v>539</v>
      </c>
      <c r="M874" s="9" t="str">
        <f t="shared" si="83"/>
        <v>Same</v>
      </c>
      <c r="N874" s="30" t="s">
        <v>1563</v>
      </c>
      <c r="O874" s="30" t="s">
        <v>1564</v>
      </c>
    </row>
    <row r="875" spans="1:15" ht="15" customHeight="1" x14ac:dyDescent="0.2">
      <c r="A875" s="9">
        <v>870</v>
      </c>
      <c r="B875" s="27">
        <f t="shared" si="78"/>
        <v>4250.1221299462632</v>
      </c>
      <c r="C875" s="27">
        <f t="shared" si="79"/>
        <v>17153.492916463118</v>
      </c>
      <c r="D875" s="28">
        <v>17.11</v>
      </c>
      <c r="E875" s="28">
        <v>17.11</v>
      </c>
      <c r="F875" s="9" t="str">
        <f t="shared" si="80"/>
        <v>Identical</v>
      </c>
      <c r="G875" s="27">
        <f t="shared" si="81"/>
        <v>4250.1221299462632</v>
      </c>
      <c r="H875" s="29">
        <v>4.7699999999999996</v>
      </c>
      <c r="I875" s="29">
        <v>4.7699999999999996</v>
      </c>
      <c r="J875" s="9" t="str">
        <f t="shared" si="82"/>
        <v>Identical</v>
      </c>
      <c r="K875" s="9" t="s">
        <v>539</v>
      </c>
      <c r="L875" s="9" t="s">
        <v>539</v>
      </c>
      <c r="M875" s="9" t="str">
        <f t="shared" si="83"/>
        <v>Same</v>
      </c>
      <c r="N875" s="30" t="s">
        <v>1563</v>
      </c>
      <c r="O875" s="30" t="s">
        <v>1564</v>
      </c>
    </row>
    <row r="876" spans="1:15" ht="15" customHeight="1" x14ac:dyDescent="0.2">
      <c r="A876" s="9">
        <v>871</v>
      </c>
      <c r="B876" s="27">
        <f t="shared" si="78"/>
        <v>4255.0073277967767</v>
      </c>
      <c r="C876" s="27">
        <f t="shared" si="79"/>
        <v>17173.209574987788</v>
      </c>
      <c r="D876" s="28">
        <v>17.13</v>
      </c>
      <c r="E876" s="28">
        <v>17.13</v>
      </c>
      <c r="F876" s="9" t="str">
        <f t="shared" si="80"/>
        <v>Identical</v>
      </c>
      <c r="G876" s="27">
        <f t="shared" si="81"/>
        <v>4255.0073277967767</v>
      </c>
      <c r="H876" s="29">
        <v>4.78</v>
      </c>
      <c r="I876" s="29">
        <v>4.78</v>
      </c>
      <c r="J876" s="9" t="str">
        <f t="shared" si="82"/>
        <v>Identical</v>
      </c>
      <c r="K876" s="9" t="s">
        <v>539</v>
      </c>
      <c r="L876" s="9" t="s">
        <v>539</v>
      </c>
      <c r="M876" s="9" t="str">
        <f t="shared" si="83"/>
        <v>Same</v>
      </c>
      <c r="N876" s="30" t="s">
        <v>1565</v>
      </c>
      <c r="O876" s="30" t="s">
        <v>1566</v>
      </c>
    </row>
    <row r="877" spans="1:15" ht="15" customHeight="1" x14ac:dyDescent="0.2">
      <c r="A877" s="9">
        <v>872</v>
      </c>
      <c r="B877" s="27">
        <f t="shared" si="78"/>
        <v>4259.8925256472894</v>
      </c>
      <c r="C877" s="27">
        <f t="shared" si="79"/>
        <v>17192.926233512459</v>
      </c>
      <c r="D877" s="28">
        <v>17.149999999999999</v>
      </c>
      <c r="E877" s="28">
        <v>17.149999999999999</v>
      </c>
      <c r="F877" s="9" t="str">
        <f t="shared" si="80"/>
        <v>Identical</v>
      </c>
      <c r="G877" s="27">
        <f t="shared" si="81"/>
        <v>4259.8925256472894</v>
      </c>
      <c r="H877" s="29">
        <v>4.78</v>
      </c>
      <c r="I877" s="29">
        <v>4.78</v>
      </c>
      <c r="J877" s="9" t="str">
        <f t="shared" si="82"/>
        <v>Identical</v>
      </c>
      <c r="K877" s="9" t="s">
        <v>539</v>
      </c>
      <c r="L877" s="9" t="s">
        <v>539</v>
      </c>
      <c r="M877" s="9" t="str">
        <f t="shared" si="83"/>
        <v>Same</v>
      </c>
      <c r="N877" s="30" t="s">
        <v>1565</v>
      </c>
      <c r="O877" s="30" t="s">
        <v>1566</v>
      </c>
    </row>
    <row r="878" spans="1:15" ht="15" customHeight="1" x14ac:dyDescent="0.2">
      <c r="A878" s="9">
        <v>873</v>
      </c>
      <c r="B878" s="27">
        <f t="shared" si="78"/>
        <v>4264.7777234978021</v>
      </c>
      <c r="C878" s="27">
        <f t="shared" si="79"/>
        <v>17212.642892037129</v>
      </c>
      <c r="D878" s="28">
        <v>17.170000000000002</v>
      </c>
      <c r="E878" s="28">
        <v>17.170000000000002</v>
      </c>
      <c r="F878" s="9" t="str">
        <f t="shared" si="80"/>
        <v>Identical</v>
      </c>
      <c r="G878" s="27">
        <f t="shared" si="81"/>
        <v>4264.7777234978021</v>
      </c>
      <c r="H878" s="29">
        <v>4.79</v>
      </c>
      <c r="I878" s="29">
        <v>4.79</v>
      </c>
      <c r="J878" s="9" t="str">
        <f t="shared" si="82"/>
        <v>Identical</v>
      </c>
      <c r="K878" s="9" t="s">
        <v>539</v>
      </c>
      <c r="L878" s="9" t="s">
        <v>539</v>
      </c>
      <c r="M878" s="9" t="str">
        <f t="shared" si="83"/>
        <v>Same</v>
      </c>
      <c r="N878" s="30" t="s">
        <v>1567</v>
      </c>
      <c r="O878" s="30" t="s">
        <v>1568</v>
      </c>
    </row>
    <row r="879" spans="1:15" ht="15" customHeight="1" x14ac:dyDescent="0.2">
      <c r="A879" s="9">
        <v>874</v>
      </c>
      <c r="B879" s="27">
        <f t="shared" si="78"/>
        <v>4269.6629213483156</v>
      </c>
      <c r="C879" s="27">
        <f t="shared" si="79"/>
        <v>17232.3595505618</v>
      </c>
      <c r="D879" s="28">
        <v>17.190000000000001</v>
      </c>
      <c r="E879" s="28">
        <v>17.190000000000001</v>
      </c>
      <c r="F879" s="9" t="str">
        <f t="shared" si="80"/>
        <v>Identical</v>
      </c>
      <c r="G879" s="27">
        <f t="shared" si="81"/>
        <v>4269.6629213483156</v>
      </c>
      <c r="H879" s="29">
        <v>4.79</v>
      </c>
      <c r="I879" s="29">
        <v>4.79</v>
      </c>
      <c r="J879" s="9" t="str">
        <f t="shared" si="82"/>
        <v>Identical</v>
      </c>
      <c r="K879" s="9" t="s">
        <v>539</v>
      </c>
      <c r="L879" s="9" t="s">
        <v>539</v>
      </c>
      <c r="M879" s="9" t="str">
        <f t="shared" si="83"/>
        <v>Same</v>
      </c>
      <c r="N879" s="30" t="s">
        <v>1567</v>
      </c>
      <c r="O879" s="30" t="s">
        <v>1568</v>
      </c>
    </row>
    <row r="880" spans="1:15" ht="15" customHeight="1" x14ac:dyDescent="0.2">
      <c r="A880" s="9">
        <v>875</v>
      </c>
      <c r="B880" s="27">
        <f t="shared" si="78"/>
        <v>4274.5481191988283</v>
      </c>
      <c r="C880" s="27">
        <f t="shared" si="79"/>
        <v>17252.07620908647</v>
      </c>
      <c r="D880" s="28">
        <v>17.21</v>
      </c>
      <c r="E880" s="28">
        <v>17.21</v>
      </c>
      <c r="F880" s="9" t="str">
        <f t="shared" si="80"/>
        <v>Identical</v>
      </c>
      <c r="G880" s="27">
        <f t="shared" si="81"/>
        <v>4274.5481191988283</v>
      </c>
      <c r="H880" s="29">
        <v>4.8</v>
      </c>
      <c r="I880" s="29">
        <v>4.8</v>
      </c>
      <c r="J880" s="9" t="str">
        <f t="shared" si="82"/>
        <v>Identical</v>
      </c>
      <c r="K880" s="9" t="s">
        <v>539</v>
      </c>
      <c r="L880" s="9" t="s">
        <v>539</v>
      </c>
      <c r="M880" s="9" t="str">
        <f t="shared" si="83"/>
        <v>Same</v>
      </c>
      <c r="N880" s="30" t="s">
        <v>1569</v>
      </c>
      <c r="O880" s="30" t="s">
        <v>1570</v>
      </c>
    </row>
    <row r="881" spans="1:15" ht="15" customHeight="1" x14ac:dyDescent="0.2">
      <c r="A881" s="9">
        <v>876</v>
      </c>
      <c r="B881" s="27">
        <f t="shared" si="78"/>
        <v>4279.433317049341</v>
      </c>
      <c r="C881" s="27">
        <f t="shared" si="79"/>
        <v>17271.792867611137</v>
      </c>
      <c r="D881" s="28">
        <v>17.23</v>
      </c>
      <c r="E881" s="28">
        <v>17.23</v>
      </c>
      <c r="F881" s="9" t="str">
        <f t="shared" si="80"/>
        <v>Identical</v>
      </c>
      <c r="G881" s="27">
        <f t="shared" si="81"/>
        <v>4279.433317049341</v>
      </c>
      <c r="H881" s="29">
        <v>4.8</v>
      </c>
      <c r="I881" s="29">
        <v>4.8</v>
      </c>
      <c r="J881" s="9" t="str">
        <f t="shared" si="82"/>
        <v>Identical</v>
      </c>
      <c r="K881" s="9" t="s">
        <v>539</v>
      </c>
      <c r="L881" s="9" t="s">
        <v>539</v>
      </c>
      <c r="M881" s="9" t="str">
        <f t="shared" si="83"/>
        <v>Same</v>
      </c>
      <c r="N881" s="30" t="s">
        <v>1569</v>
      </c>
      <c r="O881" s="30" t="s">
        <v>1570</v>
      </c>
    </row>
    <row r="882" spans="1:15" ht="15" customHeight="1" x14ac:dyDescent="0.2">
      <c r="A882" s="9">
        <v>877</v>
      </c>
      <c r="B882" s="27">
        <f t="shared" si="78"/>
        <v>4284.3185148998537</v>
      </c>
      <c r="C882" s="27">
        <f t="shared" si="79"/>
        <v>17291.509526135807</v>
      </c>
      <c r="D882" s="28">
        <v>17.25</v>
      </c>
      <c r="E882" s="28">
        <v>17.25</v>
      </c>
      <c r="F882" s="9" t="str">
        <f t="shared" si="80"/>
        <v>Identical</v>
      </c>
      <c r="G882" s="27">
        <f t="shared" si="81"/>
        <v>4284.3185148998537</v>
      </c>
      <c r="H882" s="29">
        <v>4.8099999999999996</v>
      </c>
      <c r="I882" s="29">
        <v>4.8099999999999996</v>
      </c>
      <c r="J882" s="9" t="str">
        <f t="shared" si="82"/>
        <v>Identical</v>
      </c>
      <c r="K882" s="9" t="s">
        <v>539</v>
      </c>
      <c r="L882" s="9" t="s">
        <v>539</v>
      </c>
      <c r="M882" s="9" t="str">
        <f t="shared" si="83"/>
        <v>Same</v>
      </c>
      <c r="N882" s="30" t="s">
        <v>1571</v>
      </c>
      <c r="O882" s="30" t="s">
        <v>1572</v>
      </c>
    </row>
    <row r="883" spans="1:15" ht="15" customHeight="1" x14ac:dyDescent="0.2">
      <c r="A883" s="9">
        <v>878</v>
      </c>
      <c r="B883" s="27">
        <f t="shared" si="78"/>
        <v>4289.2037127503672</v>
      </c>
      <c r="C883" s="27">
        <f t="shared" si="79"/>
        <v>17311.226184660482</v>
      </c>
      <c r="D883" s="28">
        <v>17.27</v>
      </c>
      <c r="E883" s="28">
        <v>17.27</v>
      </c>
      <c r="F883" s="9" t="str">
        <f t="shared" si="80"/>
        <v>Identical</v>
      </c>
      <c r="G883" s="27">
        <f t="shared" si="81"/>
        <v>4289.2037127503672</v>
      </c>
      <c r="H883" s="29">
        <v>4.82</v>
      </c>
      <c r="I883" s="29">
        <v>4.82</v>
      </c>
      <c r="J883" s="9" t="str">
        <f t="shared" si="82"/>
        <v>Identical</v>
      </c>
      <c r="K883" s="9" t="s">
        <v>539</v>
      </c>
      <c r="L883" s="9" t="s">
        <v>539</v>
      </c>
      <c r="M883" s="9" t="str">
        <f t="shared" si="83"/>
        <v>Same</v>
      </c>
      <c r="N883" s="30" t="s">
        <v>1573</v>
      </c>
      <c r="O883" s="30" t="s">
        <v>1574</v>
      </c>
    </row>
    <row r="884" spans="1:15" ht="15" customHeight="1" x14ac:dyDescent="0.2">
      <c r="A884" s="9">
        <v>879</v>
      </c>
      <c r="B884" s="27">
        <f t="shared" si="78"/>
        <v>4294.0889106008799</v>
      </c>
      <c r="C884" s="27">
        <f t="shared" si="79"/>
        <v>17330.942843185148</v>
      </c>
      <c r="D884" s="28">
        <v>17.29</v>
      </c>
      <c r="E884" s="28">
        <v>17.29</v>
      </c>
      <c r="F884" s="9" t="str">
        <f t="shared" si="80"/>
        <v>Identical</v>
      </c>
      <c r="G884" s="27">
        <f t="shared" si="81"/>
        <v>4294.0889106008799</v>
      </c>
      <c r="H884" s="29">
        <v>4.82</v>
      </c>
      <c r="I884" s="29">
        <v>4.82</v>
      </c>
      <c r="J884" s="9" t="str">
        <f t="shared" si="82"/>
        <v>Identical</v>
      </c>
      <c r="K884" s="9" t="s">
        <v>539</v>
      </c>
      <c r="L884" s="9" t="s">
        <v>539</v>
      </c>
      <c r="M884" s="9" t="str">
        <f t="shared" si="83"/>
        <v>Same</v>
      </c>
      <c r="N884" s="30" t="s">
        <v>1573</v>
      </c>
      <c r="O884" s="30" t="s">
        <v>1574</v>
      </c>
    </row>
    <row r="885" spans="1:15" ht="15" customHeight="1" x14ac:dyDescent="0.2">
      <c r="A885" s="9">
        <v>880</v>
      </c>
      <c r="B885" s="27">
        <f t="shared" si="78"/>
        <v>4298.9741084513926</v>
      </c>
      <c r="C885" s="27">
        <f t="shared" si="79"/>
        <v>17350.659501709819</v>
      </c>
      <c r="D885" s="28">
        <v>17.309999999999999</v>
      </c>
      <c r="E885" s="28">
        <v>17.309999999999999</v>
      </c>
      <c r="F885" s="9" t="str">
        <f t="shared" si="80"/>
        <v>Identical</v>
      </c>
      <c r="G885" s="27">
        <f t="shared" si="81"/>
        <v>4298.9741084513926</v>
      </c>
      <c r="H885" s="29">
        <v>4.83</v>
      </c>
      <c r="I885" s="29">
        <v>4.83</v>
      </c>
      <c r="J885" s="9" t="str">
        <f t="shared" si="82"/>
        <v>Identical</v>
      </c>
      <c r="K885" s="9" t="s">
        <v>539</v>
      </c>
      <c r="L885" s="9" t="s">
        <v>539</v>
      </c>
      <c r="M885" s="9" t="str">
        <f t="shared" si="83"/>
        <v>Same</v>
      </c>
      <c r="N885" s="30" t="s">
        <v>1575</v>
      </c>
      <c r="O885" s="30" t="s">
        <v>1576</v>
      </c>
    </row>
    <row r="886" spans="1:15" ht="15" customHeight="1" x14ac:dyDescent="0.2">
      <c r="A886" s="9">
        <v>881</v>
      </c>
      <c r="B886" s="27">
        <f t="shared" si="78"/>
        <v>4303.8593063019061</v>
      </c>
      <c r="C886" s="27">
        <f t="shared" si="79"/>
        <v>17370.376160234493</v>
      </c>
      <c r="D886" s="28">
        <v>17.329999999999998</v>
      </c>
      <c r="E886" s="28">
        <v>17.329999999999998</v>
      </c>
      <c r="F886" s="9" t="str">
        <f t="shared" si="80"/>
        <v>Identical</v>
      </c>
      <c r="G886" s="27">
        <f t="shared" si="81"/>
        <v>4303.8593063019061</v>
      </c>
      <c r="H886" s="29">
        <v>4.83</v>
      </c>
      <c r="I886" s="29">
        <v>4.83</v>
      </c>
      <c r="J886" s="9" t="str">
        <f t="shared" si="82"/>
        <v>Identical</v>
      </c>
      <c r="K886" s="9" t="s">
        <v>539</v>
      </c>
      <c r="L886" s="9" t="s">
        <v>539</v>
      </c>
      <c r="M886" s="9" t="str">
        <f t="shared" si="83"/>
        <v>Same</v>
      </c>
      <c r="N886" s="30" t="s">
        <v>1575</v>
      </c>
      <c r="O886" s="30" t="s">
        <v>1576</v>
      </c>
    </row>
    <row r="887" spans="1:15" ht="15" customHeight="1" x14ac:dyDescent="0.2">
      <c r="A887" s="9">
        <v>882</v>
      </c>
      <c r="B887" s="27">
        <f t="shared" si="78"/>
        <v>4308.7445041524188</v>
      </c>
      <c r="C887" s="27">
        <f t="shared" si="79"/>
        <v>17390.09281875916</v>
      </c>
      <c r="D887" s="28">
        <v>17.350000000000001</v>
      </c>
      <c r="E887" s="28">
        <v>17.350000000000001</v>
      </c>
      <c r="F887" s="9" t="str">
        <f t="shared" si="80"/>
        <v>Identical</v>
      </c>
      <c r="G887" s="27">
        <f t="shared" si="81"/>
        <v>4308.7445041524188</v>
      </c>
      <c r="H887" s="29">
        <v>4.84</v>
      </c>
      <c r="I887" s="29">
        <v>4.84</v>
      </c>
      <c r="J887" s="9" t="str">
        <f t="shared" si="82"/>
        <v>Identical</v>
      </c>
      <c r="K887" s="9" t="s">
        <v>539</v>
      </c>
      <c r="L887" s="9" t="s">
        <v>539</v>
      </c>
      <c r="M887" s="9" t="str">
        <f t="shared" si="83"/>
        <v>Same</v>
      </c>
      <c r="N887" s="30" t="s">
        <v>1577</v>
      </c>
      <c r="O887" s="30" t="s">
        <v>1578</v>
      </c>
    </row>
    <row r="888" spans="1:15" ht="15" customHeight="1" x14ac:dyDescent="0.2">
      <c r="A888" s="9">
        <v>883</v>
      </c>
      <c r="B888" s="27">
        <f t="shared" si="78"/>
        <v>4313.6297020029315</v>
      </c>
      <c r="C888" s="27">
        <f t="shared" si="79"/>
        <v>17409.80947728383</v>
      </c>
      <c r="D888" s="28">
        <v>17.36</v>
      </c>
      <c r="E888" s="28">
        <v>17.37</v>
      </c>
      <c r="F888" s="9" t="str">
        <f t="shared" si="80"/>
        <v>Within 10 mV (calibration line)</v>
      </c>
      <c r="G888" s="27">
        <f t="shared" si="81"/>
        <v>4313.6297020029315</v>
      </c>
      <c r="H888" s="29">
        <v>4.84</v>
      </c>
      <c r="I888" s="29">
        <v>4.84</v>
      </c>
      <c r="J888" s="9" t="str">
        <f t="shared" si="82"/>
        <v>Identical</v>
      </c>
      <c r="K888" s="9" t="s">
        <v>539</v>
      </c>
      <c r="L888" s="9" t="s">
        <v>539</v>
      </c>
      <c r="M888" s="9" t="str">
        <f t="shared" si="83"/>
        <v>Same</v>
      </c>
      <c r="N888" s="30" t="s">
        <v>1577</v>
      </c>
      <c r="O888" s="30" t="s">
        <v>1578</v>
      </c>
    </row>
    <row r="889" spans="1:15" ht="15" customHeight="1" x14ac:dyDescent="0.2">
      <c r="A889" s="9">
        <v>884</v>
      </c>
      <c r="B889" s="27">
        <f t="shared" si="78"/>
        <v>4318.5148998534451</v>
      </c>
      <c r="C889" s="27">
        <f t="shared" si="79"/>
        <v>17429.526135808501</v>
      </c>
      <c r="D889" s="28">
        <v>17.38</v>
      </c>
      <c r="E889" s="28">
        <v>17.39</v>
      </c>
      <c r="F889" s="9" t="str">
        <f t="shared" si="80"/>
        <v>Within 10 mV (calibration line)</v>
      </c>
      <c r="G889" s="27">
        <f t="shared" si="81"/>
        <v>4318.5148998534451</v>
      </c>
      <c r="H889" s="29">
        <v>4.8499999999999996</v>
      </c>
      <c r="I889" s="29">
        <v>4.8499999999999996</v>
      </c>
      <c r="J889" s="9" t="str">
        <f t="shared" si="82"/>
        <v>Identical</v>
      </c>
      <c r="K889" s="9" t="s">
        <v>539</v>
      </c>
      <c r="L889" s="9" t="s">
        <v>539</v>
      </c>
      <c r="M889" s="9" t="str">
        <f t="shared" si="83"/>
        <v>Same</v>
      </c>
      <c r="N889" s="30" t="s">
        <v>1579</v>
      </c>
      <c r="O889" s="30" t="s">
        <v>1580</v>
      </c>
    </row>
    <row r="890" spans="1:15" ht="15" customHeight="1" x14ac:dyDescent="0.2">
      <c r="A890" s="9">
        <v>885</v>
      </c>
      <c r="B890" s="27">
        <f t="shared" si="78"/>
        <v>4323.4000977039577</v>
      </c>
      <c r="C890" s="27">
        <f t="shared" si="79"/>
        <v>17449.242794333171</v>
      </c>
      <c r="D890" s="28">
        <v>17.399999999999999</v>
      </c>
      <c r="E890" s="28">
        <v>17.41</v>
      </c>
      <c r="F890" s="9" t="str">
        <f t="shared" si="80"/>
        <v>Within 10 mV (calibration line)</v>
      </c>
      <c r="G890" s="27">
        <f t="shared" si="81"/>
        <v>4323.4000977039577</v>
      </c>
      <c r="H890" s="29">
        <v>4.8499999999999996</v>
      </c>
      <c r="I890" s="29">
        <v>4.8499999999999996</v>
      </c>
      <c r="J890" s="9" t="str">
        <f t="shared" si="82"/>
        <v>Identical</v>
      </c>
      <c r="K890" s="9" t="s">
        <v>539</v>
      </c>
      <c r="L890" s="9" t="s">
        <v>539</v>
      </c>
      <c r="M890" s="9" t="str">
        <f t="shared" si="83"/>
        <v>Same</v>
      </c>
      <c r="N890" s="30" t="s">
        <v>1579</v>
      </c>
      <c r="O890" s="30" t="s">
        <v>1580</v>
      </c>
    </row>
    <row r="891" spans="1:15" ht="15" customHeight="1" x14ac:dyDescent="0.2">
      <c r="A891" s="9">
        <v>886</v>
      </c>
      <c r="B891" s="27">
        <f t="shared" si="78"/>
        <v>4328.2852955544704</v>
      </c>
      <c r="C891" s="27">
        <f t="shared" si="79"/>
        <v>17468.959452857842</v>
      </c>
      <c r="D891" s="28">
        <v>17.420000000000002</v>
      </c>
      <c r="E891" s="28">
        <v>17.43</v>
      </c>
      <c r="F891" s="9" t="str">
        <f t="shared" si="80"/>
        <v>Within 10 mV (calibration line)</v>
      </c>
      <c r="G891" s="27">
        <f t="shared" si="81"/>
        <v>4328.2852955544704</v>
      </c>
      <c r="H891" s="29">
        <v>4.8600000000000003</v>
      </c>
      <c r="I891" s="29">
        <v>4.8600000000000003</v>
      </c>
      <c r="J891" s="9" t="str">
        <f t="shared" si="82"/>
        <v>Identical</v>
      </c>
      <c r="K891" s="9" t="s">
        <v>539</v>
      </c>
      <c r="L891" s="9" t="s">
        <v>539</v>
      </c>
      <c r="M891" s="9" t="str">
        <f t="shared" si="83"/>
        <v>Same</v>
      </c>
      <c r="N891" s="30" t="s">
        <v>1581</v>
      </c>
      <c r="O891" s="30" t="s">
        <v>1582</v>
      </c>
    </row>
    <row r="892" spans="1:15" ht="15" customHeight="1" x14ac:dyDescent="0.2">
      <c r="A892" s="9">
        <v>887</v>
      </c>
      <c r="B892" s="27">
        <f t="shared" si="78"/>
        <v>4333.1704934049831</v>
      </c>
      <c r="C892" s="27">
        <f t="shared" si="79"/>
        <v>17488.676111382509</v>
      </c>
      <c r="D892" s="28">
        <v>17.440000000000001</v>
      </c>
      <c r="E892" s="28">
        <v>17.45</v>
      </c>
      <c r="F892" s="9" t="str">
        <f t="shared" si="80"/>
        <v>Within 10 mV (calibration line)</v>
      </c>
      <c r="G892" s="27">
        <f t="shared" si="81"/>
        <v>4333.1704934049831</v>
      </c>
      <c r="H892" s="29">
        <v>4.8600000000000003</v>
      </c>
      <c r="I892" s="29">
        <v>4.8600000000000003</v>
      </c>
      <c r="J892" s="9" t="str">
        <f t="shared" si="82"/>
        <v>Identical</v>
      </c>
      <c r="K892" s="9" t="s">
        <v>539</v>
      </c>
      <c r="L892" s="9" t="s">
        <v>539</v>
      </c>
      <c r="M892" s="9" t="str">
        <f t="shared" si="83"/>
        <v>Same</v>
      </c>
      <c r="N892" s="30" t="s">
        <v>1581</v>
      </c>
      <c r="O892" s="30" t="s">
        <v>1582</v>
      </c>
    </row>
    <row r="893" spans="1:15" ht="15" customHeight="1" x14ac:dyDescent="0.2">
      <c r="A893" s="9">
        <v>888</v>
      </c>
      <c r="B893" s="27">
        <f t="shared" si="78"/>
        <v>4338.0556912554957</v>
      </c>
      <c r="C893" s="27">
        <f t="shared" si="79"/>
        <v>17508.392769907179</v>
      </c>
      <c r="D893" s="28">
        <v>17.46</v>
      </c>
      <c r="E893" s="28">
        <v>17.47</v>
      </c>
      <c r="F893" s="9" t="str">
        <f t="shared" si="80"/>
        <v>Within 10 mV (calibration line)</v>
      </c>
      <c r="G893" s="27">
        <f t="shared" si="81"/>
        <v>4338.0556912554957</v>
      </c>
      <c r="H893" s="29">
        <v>4.87</v>
      </c>
      <c r="I893" s="29">
        <v>4.87</v>
      </c>
      <c r="J893" s="9" t="str">
        <f t="shared" si="82"/>
        <v>Identical</v>
      </c>
      <c r="K893" s="9" t="s">
        <v>539</v>
      </c>
      <c r="L893" s="9" t="s">
        <v>539</v>
      </c>
      <c r="M893" s="9" t="str">
        <f t="shared" si="83"/>
        <v>Same</v>
      </c>
      <c r="N893" s="30" t="s">
        <v>1583</v>
      </c>
      <c r="O893" s="30" t="s">
        <v>1584</v>
      </c>
    </row>
    <row r="894" spans="1:15" ht="15" customHeight="1" x14ac:dyDescent="0.2">
      <c r="A894" s="9">
        <v>889</v>
      </c>
      <c r="B894" s="27">
        <f t="shared" si="78"/>
        <v>4342.9408891060084</v>
      </c>
      <c r="C894" s="27">
        <f t="shared" si="79"/>
        <v>17528.10942843185</v>
      </c>
      <c r="D894" s="28">
        <v>17.48</v>
      </c>
      <c r="E894" s="28">
        <v>17.489999999999998</v>
      </c>
      <c r="F894" s="9" t="str">
        <f t="shared" si="80"/>
        <v>Within 10 mV (calibration line)</v>
      </c>
      <c r="G894" s="27">
        <f t="shared" si="81"/>
        <v>4342.9408891060084</v>
      </c>
      <c r="H894" s="29">
        <v>4.87</v>
      </c>
      <c r="I894" s="29">
        <v>4.88</v>
      </c>
      <c r="J894" s="9" t="str">
        <f t="shared" si="82"/>
        <v>+0.01 A (nearest step)</v>
      </c>
      <c r="K894" s="9" t="s">
        <v>539</v>
      </c>
      <c r="L894" s="9" t="s">
        <v>539</v>
      </c>
      <c r="M894" s="9" t="str">
        <f t="shared" si="83"/>
        <v>Same</v>
      </c>
      <c r="N894" s="30" t="s">
        <v>1583</v>
      </c>
      <c r="O894" s="30" t="s">
        <v>1585</v>
      </c>
    </row>
    <row r="895" spans="1:15" ht="15" customHeight="1" x14ac:dyDescent="0.2">
      <c r="A895" s="9">
        <v>890</v>
      </c>
      <c r="B895" s="27">
        <f t="shared" si="78"/>
        <v>4347.826086956522</v>
      </c>
      <c r="C895" s="27">
        <f t="shared" si="79"/>
        <v>17547.82608695652</v>
      </c>
      <c r="D895" s="28">
        <v>17.5</v>
      </c>
      <c r="E895" s="28">
        <v>17.5</v>
      </c>
      <c r="F895" s="9" t="str">
        <f t="shared" si="80"/>
        <v>Identical</v>
      </c>
      <c r="G895" s="27">
        <f t="shared" si="81"/>
        <v>4347.826086956522</v>
      </c>
      <c r="H895" s="29">
        <v>4.88</v>
      </c>
      <c r="I895" s="29">
        <v>4.88</v>
      </c>
      <c r="J895" s="9" t="str">
        <f t="shared" si="82"/>
        <v>Identical</v>
      </c>
      <c r="K895" s="9" t="s">
        <v>539</v>
      </c>
      <c r="L895" s="9" t="s">
        <v>539</v>
      </c>
      <c r="M895" s="9" t="str">
        <f t="shared" si="83"/>
        <v>Same</v>
      </c>
      <c r="N895" s="30" t="s">
        <v>1586</v>
      </c>
      <c r="O895" s="30" t="s">
        <v>1585</v>
      </c>
    </row>
    <row r="896" spans="1:15" ht="15" customHeight="1" x14ac:dyDescent="0.2">
      <c r="A896" s="9">
        <v>891</v>
      </c>
      <c r="B896" s="27">
        <f t="shared" si="78"/>
        <v>4352.7112848070346</v>
      </c>
      <c r="C896" s="27">
        <f t="shared" si="79"/>
        <v>17567.542745481191</v>
      </c>
      <c r="D896" s="28">
        <v>17.52</v>
      </c>
      <c r="E896" s="28">
        <v>17.52</v>
      </c>
      <c r="F896" s="9" t="str">
        <f t="shared" si="80"/>
        <v>Identical</v>
      </c>
      <c r="G896" s="27">
        <f t="shared" si="81"/>
        <v>4352.7112848070346</v>
      </c>
      <c r="H896" s="29">
        <v>4.8899999999999997</v>
      </c>
      <c r="I896" s="29">
        <v>4.8899999999999997</v>
      </c>
      <c r="J896" s="9" t="str">
        <f t="shared" si="82"/>
        <v>Identical</v>
      </c>
      <c r="K896" s="9" t="s">
        <v>539</v>
      </c>
      <c r="L896" s="9" t="s">
        <v>539</v>
      </c>
      <c r="M896" s="9" t="str">
        <f t="shared" si="83"/>
        <v>Same</v>
      </c>
      <c r="N896" s="30" t="s">
        <v>1587</v>
      </c>
      <c r="O896" s="30" t="s">
        <v>1588</v>
      </c>
    </row>
    <row r="897" spans="1:15" ht="15" customHeight="1" x14ac:dyDescent="0.2">
      <c r="A897" s="9">
        <v>892</v>
      </c>
      <c r="B897" s="27">
        <f t="shared" si="78"/>
        <v>4357.5964826575473</v>
      </c>
      <c r="C897" s="27">
        <f t="shared" si="79"/>
        <v>17587.259404005858</v>
      </c>
      <c r="D897" s="28">
        <v>17.54</v>
      </c>
      <c r="E897" s="28">
        <v>17.54</v>
      </c>
      <c r="F897" s="9" t="str">
        <f t="shared" si="80"/>
        <v>Identical</v>
      </c>
      <c r="G897" s="27">
        <f t="shared" si="81"/>
        <v>4357.5964826575473</v>
      </c>
      <c r="H897" s="29">
        <v>4.8899999999999997</v>
      </c>
      <c r="I897" s="29">
        <v>4.8899999999999997</v>
      </c>
      <c r="J897" s="9" t="str">
        <f t="shared" si="82"/>
        <v>Identical</v>
      </c>
      <c r="K897" s="9" t="s">
        <v>539</v>
      </c>
      <c r="L897" s="9" t="s">
        <v>539</v>
      </c>
      <c r="M897" s="9" t="str">
        <f t="shared" si="83"/>
        <v>Same</v>
      </c>
      <c r="N897" s="30" t="s">
        <v>1587</v>
      </c>
      <c r="O897" s="30" t="s">
        <v>1588</v>
      </c>
    </row>
    <row r="898" spans="1:15" ht="15" customHeight="1" x14ac:dyDescent="0.2">
      <c r="A898" s="9">
        <v>893</v>
      </c>
      <c r="B898" s="27">
        <f t="shared" si="78"/>
        <v>4362.48168050806</v>
      </c>
      <c r="C898" s="27">
        <f t="shared" si="79"/>
        <v>17606.976062530528</v>
      </c>
      <c r="D898" s="28">
        <v>17.559999999999999</v>
      </c>
      <c r="E898" s="28">
        <v>17.559999999999999</v>
      </c>
      <c r="F898" s="9" t="str">
        <f t="shared" si="80"/>
        <v>Identical</v>
      </c>
      <c r="G898" s="27">
        <f t="shared" si="81"/>
        <v>4362.48168050806</v>
      </c>
      <c r="H898" s="29">
        <v>4.9000000000000004</v>
      </c>
      <c r="I898" s="29">
        <v>4.9000000000000004</v>
      </c>
      <c r="J898" s="9" t="str">
        <f t="shared" si="82"/>
        <v>Identical</v>
      </c>
      <c r="K898" s="9" t="s">
        <v>539</v>
      </c>
      <c r="L898" s="9" t="s">
        <v>539</v>
      </c>
      <c r="M898" s="9" t="str">
        <f t="shared" si="83"/>
        <v>Same</v>
      </c>
      <c r="N898" s="30" t="s">
        <v>1589</v>
      </c>
      <c r="O898" s="30" t="s">
        <v>1590</v>
      </c>
    </row>
    <row r="899" spans="1:15" ht="15" customHeight="1" x14ac:dyDescent="0.2">
      <c r="A899" s="9">
        <v>894</v>
      </c>
      <c r="B899" s="27">
        <f t="shared" si="78"/>
        <v>4367.3668783585736</v>
      </c>
      <c r="C899" s="27">
        <f t="shared" si="79"/>
        <v>17626.692721055202</v>
      </c>
      <c r="D899" s="28">
        <v>17.579999999999998</v>
      </c>
      <c r="E899" s="28">
        <v>17.579999999999998</v>
      </c>
      <c r="F899" s="9" t="str">
        <f t="shared" si="80"/>
        <v>Identical</v>
      </c>
      <c r="G899" s="27">
        <f t="shared" si="81"/>
        <v>4367.3668783585736</v>
      </c>
      <c r="H899" s="29">
        <v>4.9000000000000004</v>
      </c>
      <c r="I899" s="29">
        <v>4.9000000000000004</v>
      </c>
      <c r="J899" s="9" t="str">
        <f t="shared" si="82"/>
        <v>Identical</v>
      </c>
      <c r="K899" s="9" t="s">
        <v>539</v>
      </c>
      <c r="L899" s="9" t="s">
        <v>539</v>
      </c>
      <c r="M899" s="9" t="str">
        <f t="shared" si="83"/>
        <v>Same</v>
      </c>
      <c r="N899" s="30" t="s">
        <v>1589</v>
      </c>
      <c r="O899" s="30" t="s">
        <v>1590</v>
      </c>
    </row>
    <row r="900" spans="1:15" ht="15" customHeight="1" x14ac:dyDescent="0.2">
      <c r="A900" s="9">
        <v>895</v>
      </c>
      <c r="B900" s="27">
        <f t="shared" si="78"/>
        <v>4372.2520762090862</v>
      </c>
      <c r="C900" s="27">
        <f t="shared" si="79"/>
        <v>17646.409379579869</v>
      </c>
      <c r="D900" s="28">
        <v>17.600000000000001</v>
      </c>
      <c r="E900" s="28">
        <v>17.600000000000001</v>
      </c>
      <c r="F900" s="9" t="str">
        <f t="shared" si="80"/>
        <v>Identical</v>
      </c>
      <c r="G900" s="27">
        <f t="shared" si="81"/>
        <v>4372.2520762090862</v>
      </c>
      <c r="H900" s="29">
        <v>4.91</v>
      </c>
      <c r="I900" s="29">
        <v>4.91</v>
      </c>
      <c r="J900" s="9" t="str">
        <f t="shared" si="82"/>
        <v>Identical</v>
      </c>
      <c r="K900" s="9" t="s">
        <v>539</v>
      </c>
      <c r="L900" s="9" t="s">
        <v>539</v>
      </c>
      <c r="M900" s="9" t="str">
        <f t="shared" si="83"/>
        <v>Same</v>
      </c>
      <c r="N900" s="30" t="s">
        <v>1591</v>
      </c>
      <c r="O900" s="30" t="s">
        <v>1592</v>
      </c>
    </row>
    <row r="901" spans="1:15" ht="15" customHeight="1" x14ac:dyDescent="0.2">
      <c r="A901" s="9">
        <v>896</v>
      </c>
      <c r="B901" s="27">
        <f t="shared" ref="B901:B964" si="84">A901/$C$3*1000</f>
        <v>4377.1372740595989</v>
      </c>
      <c r="C901" s="27">
        <f t="shared" ref="C901:C964" si="85">B901*$F$3</f>
        <v>17666.126038104539</v>
      </c>
      <c r="D901" s="28">
        <v>17.62</v>
      </c>
      <c r="E901" s="28">
        <v>17.62</v>
      </c>
      <c r="F901" s="9" t="str">
        <f t="shared" ref="F901:F964" si="86">IF(D901=E901,"Identical",IF(E901="OL","ADC full scale: now OL",IF(ABS(E901-D901)&lt;0.0105,"Within 10 mV (calibration line)",IF(AND(C901&lt;4200,ABS(E901-D901)&lt;0.0205),"-20 mV (end of old +30 mV band)",IF(C901&lt;830,"Low range fixed (F-02)","Different")))))</f>
        <v>Identical</v>
      </c>
      <c r="G901" s="27">
        <f t="shared" ref="G901:G964" si="87">B901</f>
        <v>4377.1372740595989</v>
      </c>
      <c r="H901" s="29">
        <v>4.91</v>
      </c>
      <c r="I901" s="29">
        <v>4.91</v>
      </c>
      <c r="J901" s="9" t="str">
        <f t="shared" ref="J901:J964" si="88">IF(H901=I901,"Identical",IF(I901="OL","Above 5.00 A: now OL",IF(H901="ERR (999.23)","Gap bug fixed",IF(ABS(I901-H901-0.01)&lt;0.0001,"+0.01 A (nearest step)","Different"))))</f>
        <v>Identical</v>
      </c>
      <c r="K901" s="9" t="s">
        <v>539</v>
      </c>
      <c r="L901" s="9" t="s">
        <v>539</v>
      </c>
      <c r="M901" s="9" t="str">
        <f t="shared" ref="M901:M964" si="89">IF(K901=L901,"Same","Different")</f>
        <v>Same</v>
      </c>
      <c r="N901" s="30" t="s">
        <v>1591</v>
      </c>
      <c r="O901" s="30" t="s">
        <v>1592</v>
      </c>
    </row>
    <row r="902" spans="1:15" ht="15" customHeight="1" x14ac:dyDescent="0.2">
      <c r="A902" s="9">
        <v>897</v>
      </c>
      <c r="B902" s="27">
        <f t="shared" si="84"/>
        <v>4382.0224719101125</v>
      </c>
      <c r="C902" s="27">
        <f t="shared" si="85"/>
        <v>17685.842696629214</v>
      </c>
      <c r="D902" s="28">
        <v>17.64</v>
      </c>
      <c r="E902" s="28">
        <v>17.64</v>
      </c>
      <c r="F902" s="9" t="str">
        <f t="shared" si="86"/>
        <v>Identical</v>
      </c>
      <c r="G902" s="27">
        <f t="shared" si="87"/>
        <v>4382.0224719101125</v>
      </c>
      <c r="H902" s="29">
        <v>4.92</v>
      </c>
      <c r="I902" s="29">
        <v>4.92</v>
      </c>
      <c r="J902" s="9" t="str">
        <f t="shared" si="88"/>
        <v>Identical</v>
      </c>
      <c r="K902" s="9" t="s">
        <v>539</v>
      </c>
      <c r="L902" s="9" t="s">
        <v>539</v>
      </c>
      <c r="M902" s="9" t="str">
        <f t="shared" si="89"/>
        <v>Same</v>
      </c>
      <c r="N902" s="30" t="s">
        <v>1593</v>
      </c>
      <c r="O902" s="30" t="s">
        <v>1594</v>
      </c>
    </row>
    <row r="903" spans="1:15" ht="15" customHeight="1" x14ac:dyDescent="0.2">
      <c r="A903" s="9">
        <v>898</v>
      </c>
      <c r="B903" s="27">
        <f t="shared" si="84"/>
        <v>4386.9076697606251</v>
      </c>
      <c r="C903" s="27">
        <f t="shared" si="85"/>
        <v>17705.55935515388</v>
      </c>
      <c r="D903" s="28">
        <v>17.66</v>
      </c>
      <c r="E903" s="28">
        <v>17.66</v>
      </c>
      <c r="F903" s="9" t="str">
        <f t="shared" si="86"/>
        <v>Identical</v>
      </c>
      <c r="G903" s="27">
        <f t="shared" si="87"/>
        <v>4386.9076697606251</v>
      </c>
      <c r="H903" s="29">
        <v>4.92</v>
      </c>
      <c r="I903" s="29">
        <v>4.92</v>
      </c>
      <c r="J903" s="9" t="str">
        <f t="shared" si="88"/>
        <v>Identical</v>
      </c>
      <c r="K903" s="9" t="s">
        <v>539</v>
      </c>
      <c r="L903" s="9" t="s">
        <v>539</v>
      </c>
      <c r="M903" s="9" t="str">
        <f t="shared" si="89"/>
        <v>Same</v>
      </c>
      <c r="N903" s="30" t="s">
        <v>1593</v>
      </c>
      <c r="O903" s="30" t="s">
        <v>1594</v>
      </c>
    </row>
    <row r="904" spans="1:15" ht="15" customHeight="1" x14ac:dyDescent="0.2">
      <c r="A904" s="9">
        <v>899</v>
      </c>
      <c r="B904" s="27">
        <f t="shared" si="84"/>
        <v>4391.7928676111378</v>
      </c>
      <c r="C904" s="27">
        <f t="shared" si="85"/>
        <v>17725.276013678551</v>
      </c>
      <c r="D904" s="28">
        <v>17.68</v>
      </c>
      <c r="E904" s="28">
        <v>17.68</v>
      </c>
      <c r="F904" s="9" t="str">
        <f t="shared" si="86"/>
        <v>Identical</v>
      </c>
      <c r="G904" s="27">
        <f t="shared" si="87"/>
        <v>4391.7928676111378</v>
      </c>
      <c r="H904" s="29">
        <v>4.93</v>
      </c>
      <c r="I904" s="29">
        <v>4.93</v>
      </c>
      <c r="J904" s="9" t="str">
        <f t="shared" si="88"/>
        <v>Identical</v>
      </c>
      <c r="K904" s="9" t="s">
        <v>539</v>
      </c>
      <c r="L904" s="9" t="s">
        <v>539</v>
      </c>
      <c r="M904" s="9" t="str">
        <f t="shared" si="89"/>
        <v>Same</v>
      </c>
      <c r="N904" s="30" t="s">
        <v>1595</v>
      </c>
      <c r="O904" s="30" t="s">
        <v>1596</v>
      </c>
    </row>
    <row r="905" spans="1:15" ht="15" customHeight="1" x14ac:dyDescent="0.2">
      <c r="A905" s="9">
        <v>900</v>
      </c>
      <c r="B905" s="27">
        <f t="shared" si="84"/>
        <v>4396.6780654616514</v>
      </c>
      <c r="C905" s="27">
        <f t="shared" si="85"/>
        <v>17744.992672203221</v>
      </c>
      <c r="D905" s="28">
        <v>17.7</v>
      </c>
      <c r="E905" s="28">
        <v>17.7</v>
      </c>
      <c r="F905" s="9" t="str">
        <f t="shared" si="86"/>
        <v>Identical</v>
      </c>
      <c r="G905" s="27">
        <f t="shared" si="87"/>
        <v>4396.6780654616514</v>
      </c>
      <c r="H905" s="29">
        <v>4.93</v>
      </c>
      <c r="I905" s="29">
        <v>4.9400000000000004</v>
      </c>
      <c r="J905" s="9" t="str">
        <f t="shared" si="88"/>
        <v>+0.01 A (nearest step)</v>
      </c>
      <c r="K905" s="9" t="s">
        <v>539</v>
      </c>
      <c r="L905" s="9" t="s">
        <v>539</v>
      </c>
      <c r="M905" s="9" t="str">
        <f t="shared" si="89"/>
        <v>Same</v>
      </c>
      <c r="N905" s="30" t="s">
        <v>1595</v>
      </c>
      <c r="O905" s="30" t="s">
        <v>1597</v>
      </c>
    </row>
    <row r="906" spans="1:15" ht="15" customHeight="1" x14ac:dyDescent="0.2">
      <c r="A906" s="9">
        <v>901</v>
      </c>
      <c r="B906" s="27">
        <f t="shared" si="84"/>
        <v>4401.5632633121641</v>
      </c>
      <c r="C906" s="27">
        <f t="shared" si="85"/>
        <v>17764.709330727892</v>
      </c>
      <c r="D906" s="28">
        <v>17.72</v>
      </c>
      <c r="E906" s="28">
        <v>17.72</v>
      </c>
      <c r="F906" s="9" t="str">
        <f t="shared" si="86"/>
        <v>Identical</v>
      </c>
      <c r="G906" s="27">
        <f t="shared" si="87"/>
        <v>4401.5632633121641</v>
      </c>
      <c r="H906" s="29">
        <v>4.9400000000000004</v>
      </c>
      <c r="I906" s="29">
        <v>4.9400000000000004</v>
      </c>
      <c r="J906" s="9" t="str">
        <f t="shared" si="88"/>
        <v>Identical</v>
      </c>
      <c r="K906" s="9" t="s">
        <v>539</v>
      </c>
      <c r="L906" s="9" t="s">
        <v>539</v>
      </c>
      <c r="M906" s="9" t="str">
        <f t="shared" si="89"/>
        <v>Same</v>
      </c>
      <c r="N906" s="30" t="s">
        <v>1598</v>
      </c>
      <c r="O906" s="30" t="s">
        <v>1597</v>
      </c>
    </row>
    <row r="907" spans="1:15" ht="15" customHeight="1" x14ac:dyDescent="0.2">
      <c r="A907" s="9">
        <v>902</v>
      </c>
      <c r="B907" s="27">
        <f t="shared" si="84"/>
        <v>4406.4484611626767</v>
      </c>
      <c r="C907" s="27">
        <f t="shared" si="85"/>
        <v>17784.425989252562</v>
      </c>
      <c r="D907" s="28">
        <v>17.739999999999998</v>
      </c>
      <c r="E907" s="28">
        <v>17.739999999999998</v>
      </c>
      <c r="F907" s="9" t="str">
        <f t="shared" si="86"/>
        <v>Identical</v>
      </c>
      <c r="G907" s="27">
        <f t="shared" si="87"/>
        <v>4406.4484611626767</v>
      </c>
      <c r="H907" s="29">
        <v>4.95</v>
      </c>
      <c r="I907" s="29">
        <v>4.95</v>
      </c>
      <c r="J907" s="9" t="str">
        <f t="shared" si="88"/>
        <v>Identical</v>
      </c>
      <c r="K907" s="9" t="s">
        <v>539</v>
      </c>
      <c r="L907" s="9" t="s">
        <v>539</v>
      </c>
      <c r="M907" s="9" t="str">
        <f t="shared" si="89"/>
        <v>Same</v>
      </c>
      <c r="N907" s="30" t="s">
        <v>1599</v>
      </c>
      <c r="O907" s="30" t="s">
        <v>1600</v>
      </c>
    </row>
    <row r="908" spans="1:15" ht="15" customHeight="1" x14ac:dyDescent="0.2">
      <c r="A908" s="9">
        <v>903</v>
      </c>
      <c r="B908" s="27">
        <f t="shared" si="84"/>
        <v>4411.3336590131903</v>
      </c>
      <c r="C908" s="27">
        <f t="shared" si="85"/>
        <v>17804.142647777233</v>
      </c>
      <c r="D908" s="28">
        <v>17.760000000000002</v>
      </c>
      <c r="E908" s="28">
        <v>17.760000000000002</v>
      </c>
      <c r="F908" s="9" t="str">
        <f t="shared" si="86"/>
        <v>Identical</v>
      </c>
      <c r="G908" s="27">
        <f t="shared" si="87"/>
        <v>4411.3336590131903</v>
      </c>
      <c r="H908" s="29">
        <v>4.95</v>
      </c>
      <c r="I908" s="29">
        <v>4.96</v>
      </c>
      <c r="J908" s="9" t="str">
        <f t="shared" si="88"/>
        <v>+0.01 A (nearest step)</v>
      </c>
      <c r="K908" s="9" t="s">
        <v>539</v>
      </c>
      <c r="L908" s="9" t="s">
        <v>539</v>
      </c>
      <c r="M908" s="9" t="str">
        <f t="shared" si="89"/>
        <v>Same</v>
      </c>
      <c r="N908" s="30" t="s">
        <v>1599</v>
      </c>
      <c r="O908" s="30" t="s">
        <v>1601</v>
      </c>
    </row>
    <row r="909" spans="1:15" ht="15" customHeight="1" x14ac:dyDescent="0.2">
      <c r="A909" s="9">
        <v>904</v>
      </c>
      <c r="B909" s="27">
        <f t="shared" si="84"/>
        <v>4416.218856863703</v>
      </c>
      <c r="C909" s="27">
        <f t="shared" si="85"/>
        <v>17823.859306301903</v>
      </c>
      <c r="D909" s="28">
        <v>17.78</v>
      </c>
      <c r="E909" s="28">
        <v>17.78</v>
      </c>
      <c r="F909" s="9" t="str">
        <f t="shared" si="86"/>
        <v>Identical</v>
      </c>
      <c r="G909" s="27">
        <f t="shared" si="87"/>
        <v>4416.218856863703</v>
      </c>
      <c r="H909" s="29">
        <v>4.96</v>
      </c>
      <c r="I909" s="29">
        <v>4.96</v>
      </c>
      <c r="J909" s="9" t="str">
        <f t="shared" si="88"/>
        <v>Identical</v>
      </c>
      <c r="K909" s="9" t="s">
        <v>539</v>
      </c>
      <c r="L909" s="9" t="s">
        <v>539</v>
      </c>
      <c r="M909" s="9" t="str">
        <f t="shared" si="89"/>
        <v>Same</v>
      </c>
      <c r="N909" s="30" t="s">
        <v>1602</v>
      </c>
      <c r="O909" s="30" t="s">
        <v>1601</v>
      </c>
    </row>
    <row r="910" spans="1:15" ht="15" customHeight="1" x14ac:dyDescent="0.2">
      <c r="A910" s="9">
        <v>905</v>
      </c>
      <c r="B910" s="27">
        <f t="shared" si="84"/>
        <v>4421.1040547142156</v>
      </c>
      <c r="C910" s="27">
        <f t="shared" si="85"/>
        <v>17843.575964826574</v>
      </c>
      <c r="D910" s="28">
        <v>17.8</v>
      </c>
      <c r="E910" s="28">
        <v>17.8</v>
      </c>
      <c r="F910" s="9" t="str">
        <f t="shared" si="86"/>
        <v>Identical</v>
      </c>
      <c r="G910" s="27">
        <f t="shared" si="87"/>
        <v>4421.1040547142156</v>
      </c>
      <c r="H910" s="29">
        <v>4.97</v>
      </c>
      <c r="I910" s="29">
        <v>4.97</v>
      </c>
      <c r="J910" s="9" t="str">
        <f t="shared" si="88"/>
        <v>Identical</v>
      </c>
      <c r="K910" s="9" t="s">
        <v>539</v>
      </c>
      <c r="L910" s="9" t="s">
        <v>539</v>
      </c>
      <c r="M910" s="9" t="str">
        <f t="shared" si="89"/>
        <v>Same</v>
      </c>
      <c r="N910" s="30" t="s">
        <v>1603</v>
      </c>
      <c r="O910" s="30" t="s">
        <v>1604</v>
      </c>
    </row>
    <row r="911" spans="1:15" ht="15" customHeight="1" x14ac:dyDescent="0.2">
      <c r="A911" s="9">
        <v>906</v>
      </c>
      <c r="B911" s="27">
        <f t="shared" si="84"/>
        <v>4425.9892525647292</v>
      </c>
      <c r="C911" s="27">
        <f t="shared" si="85"/>
        <v>17863.292623351244</v>
      </c>
      <c r="D911" s="28">
        <v>17.82</v>
      </c>
      <c r="E911" s="28">
        <v>17.82</v>
      </c>
      <c r="F911" s="9" t="str">
        <f t="shared" si="86"/>
        <v>Identical</v>
      </c>
      <c r="G911" s="27">
        <f t="shared" si="87"/>
        <v>4425.9892525647292</v>
      </c>
      <c r="H911" s="29">
        <v>4.97</v>
      </c>
      <c r="I911" s="29">
        <v>4.97</v>
      </c>
      <c r="J911" s="9" t="str">
        <f t="shared" si="88"/>
        <v>Identical</v>
      </c>
      <c r="K911" s="9" t="s">
        <v>539</v>
      </c>
      <c r="L911" s="9" t="s">
        <v>539</v>
      </c>
      <c r="M911" s="9" t="str">
        <f t="shared" si="89"/>
        <v>Same</v>
      </c>
      <c r="N911" s="30" t="s">
        <v>1603</v>
      </c>
      <c r="O911" s="30" t="s">
        <v>1604</v>
      </c>
    </row>
    <row r="912" spans="1:15" ht="15" customHeight="1" x14ac:dyDescent="0.2">
      <c r="A912" s="9">
        <v>907</v>
      </c>
      <c r="B912" s="27">
        <f t="shared" si="84"/>
        <v>4430.8744504152419</v>
      </c>
      <c r="C912" s="27">
        <f t="shared" si="85"/>
        <v>17883.009281875915</v>
      </c>
      <c r="D912" s="28">
        <v>17.84</v>
      </c>
      <c r="E912" s="28">
        <v>17.84</v>
      </c>
      <c r="F912" s="9" t="str">
        <f t="shared" si="86"/>
        <v>Identical</v>
      </c>
      <c r="G912" s="27">
        <f t="shared" si="87"/>
        <v>4430.8744504152419</v>
      </c>
      <c r="H912" s="29">
        <v>4.9800000000000004</v>
      </c>
      <c r="I912" s="29">
        <v>4.9800000000000004</v>
      </c>
      <c r="J912" s="9" t="str">
        <f t="shared" si="88"/>
        <v>Identical</v>
      </c>
      <c r="K912" s="9" t="s">
        <v>539</v>
      </c>
      <c r="L912" s="9" t="s">
        <v>539</v>
      </c>
      <c r="M912" s="9" t="str">
        <f t="shared" si="89"/>
        <v>Same</v>
      </c>
      <c r="N912" s="30" t="s">
        <v>1605</v>
      </c>
      <c r="O912" s="30" t="s">
        <v>1606</v>
      </c>
    </row>
    <row r="913" spans="1:15" ht="15" customHeight="1" x14ac:dyDescent="0.2">
      <c r="A913" s="9">
        <v>908</v>
      </c>
      <c r="B913" s="27">
        <f t="shared" si="84"/>
        <v>4435.7596482657545</v>
      </c>
      <c r="C913" s="27">
        <f t="shared" si="85"/>
        <v>17902.725940400582</v>
      </c>
      <c r="D913" s="28">
        <v>17.86</v>
      </c>
      <c r="E913" s="28">
        <v>17.86</v>
      </c>
      <c r="F913" s="9" t="str">
        <f t="shared" si="86"/>
        <v>Identical</v>
      </c>
      <c r="G913" s="27">
        <f t="shared" si="87"/>
        <v>4435.7596482657545</v>
      </c>
      <c r="H913" s="29">
        <v>4.9800000000000004</v>
      </c>
      <c r="I913" s="29">
        <v>4.9800000000000004</v>
      </c>
      <c r="J913" s="9" t="str">
        <f t="shared" si="88"/>
        <v>Identical</v>
      </c>
      <c r="K913" s="9" t="s">
        <v>539</v>
      </c>
      <c r="L913" s="9" t="s">
        <v>539</v>
      </c>
      <c r="M913" s="9" t="str">
        <f t="shared" si="89"/>
        <v>Same</v>
      </c>
      <c r="N913" s="30" t="s">
        <v>1605</v>
      </c>
      <c r="O913" s="30" t="s">
        <v>1606</v>
      </c>
    </row>
    <row r="914" spans="1:15" ht="15" customHeight="1" x14ac:dyDescent="0.2">
      <c r="A914" s="9">
        <v>909</v>
      </c>
      <c r="B914" s="27">
        <f t="shared" si="84"/>
        <v>4440.6448461162672</v>
      </c>
      <c r="C914" s="27">
        <f t="shared" si="85"/>
        <v>17922.442598925252</v>
      </c>
      <c r="D914" s="28">
        <v>17.88</v>
      </c>
      <c r="E914" s="28">
        <v>17.88</v>
      </c>
      <c r="F914" s="9" t="str">
        <f t="shared" si="86"/>
        <v>Identical</v>
      </c>
      <c r="G914" s="27">
        <f t="shared" si="87"/>
        <v>4440.6448461162672</v>
      </c>
      <c r="H914" s="29">
        <v>4.99</v>
      </c>
      <c r="I914" s="29">
        <v>4.99</v>
      </c>
      <c r="J914" s="9" t="str">
        <f t="shared" si="88"/>
        <v>Identical</v>
      </c>
      <c r="K914" s="9" t="s">
        <v>539</v>
      </c>
      <c r="L914" s="9" t="s">
        <v>539</v>
      </c>
      <c r="M914" s="9" t="str">
        <f t="shared" si="89"/>
        <v>Same</v>
      </c>
      <c r="N914" s="30" t="s">
        <v>1607</v>
      </c>
      <c r="O914" s="30" t="s">
        <v>1608</v>
      </c>
    </row>
    <row r="915" spans="1:15" ht="15" customHeight="1" x14ac:dyDescent="0.2">
      <c r="A915" s="9">
        <v>910</v>
      </c>
      <c r="B915" s="27">
        <f t="shared" si="84"/>
        <v>4445.5300439667808</v>
      </c>
      <c r="C915" s="27">
        <f t="shared" si="85"/>
        <v>17942.159257449926</v>
      </c>
      <c r="D915" s="28">
        <v>17.899999999999999</v>
      </c>
      <c r="E915" s="28">
        <v>17.899999999999999</v>
      </c>
      <c r="F915" s="9" t="str">
        <f t="shared" si="86"/>
        <v>Identical</v>
      </c>
      <c r="G915" s="27">
        <f t="shared" si="87"/>
        <v>4445.5300439667808</v>
      </c>
      <c r="H915" s="29">
        <v>4.99</v>
      </c>
      <c r="I915" s="29">
        <v>4.99</v>
      </c>
      <c r="J915" s="9" t="str">
        <f t="shared" si="88"/>
        <v>Identical</v>
      </c>
      <c r="K915" s="9" t="s">
        <v>539</v>
      </c>
      <c r="L915" s="9" t="s">
        <v>539</v>
      </c>
      <c r="M915" s="9" t="str">
        <f t="shared" si="89"/>
        <v>Same</v>
      </c>
      <c r="N915" s="30" t="s">
        <v>1607</v>
      </c>
      <c r="O915" s="30" t="s">
        <v>1608</v>
      </c>
    </row>
    <row r="916" spans="1:15" ht="15" customHeight="1" x14ac:dyDescent="0.2">
      <c r="A916" s="9">
        <v>911</v>
      </c>
      <c r="B916" s="27">
        <f t="shared" si="84"/>
        <v>4450.4152418172935</v>
      </c>
      <c r="C916" s="27">
        <f t="shared" si="85"/>
        <v>17961.875915974593</v>
      </c>
      <c r="D916" s="28">
        <v>17.920000000000002</v>
      </c>
      <c r="E916" s="28">
        <v>17.920000000000002</v>
      </c>
      <c r="F916" s="9" t="str">
        <f t="shared" si="86"/>
        <v>Identical</v>
      </c>
      <c r="G916" s="27">
        <f t="shared" si="87"/>
        <v>4450.4152418172935</v>
      </c>
      <c r="H916" s="29">
        <v>5</v>
      </c>
      <c r="I916" s="29">
        <v>5</v>
      </c>
      <c r="J916" s="9" t="str">
        <f t="shared" si="88"/>
        <v>Identical</v>
      </c>
      <c r="K916" s="9" t="s">
        <v>539</v>
      </c>
      <c r="L916" s="9" t="s">
        <v>539</v>
      </c>
      <c r="M916" s="9" t="str">
        <f t="shared" si="89"/>
        <v>Same</v>
      </c>
      <c r="N916" s="30" t="s">
        <v>1609</v>
      </c>
      <c r="O916" s="30" t="s">
        <v>1610</v>
      </c>
    </row>
    <row r="917" spans="1:15" ht="15" customHeight="1" x14ac:dyDescent="0.2">
      <c r="A917" s="9">
        <v>912</v>
      </c>
      <c r="B917" s="27">
        <f t="shared" si="84"/>
        <v>4455.3004396678061</v>
      </c>
      <c r="C917" s="27">
        <f t="shared" si="85"/>
        <v>17981.592574499264</v>
      </c>
      <c r="D917" s="28">
        <v>17.940000000000001</v>
      </c>
      <c r="E917" s="28">
        <v>17.940000000000001</v>
      </c>
      <c r="F917" s="9" t="str">
        <f t="shared" si="86"/>
        <v>Identical</v>
      </c>
      <c r="G917" s="27">
        <f t="shared" si="87"/>
        <v>4455.3004396678061</v>
      </c>
      <c r="H917" s="29" t="s">
        <v>1107</v>
      </c>
      <c r="I917" s="29" t="s">
        <v>1611</v>
      </c>
      <c r="J917" s="9" t="str">
        <f t="shared" si="88"/>
        <v>Above 5.00 A: now OL</v>
      </c>
      <c r="K917" s="9" t="s">
        <v>535</v>
      </c>
      <c r="L917" s="9" t="s">
        <v>539</v>
      </c>
      <c r="M917" s="9" t="str">
        <f t="shared" si="89"/>
        <v>Different</v>
      </c>
      <c r="N917" s="30" t="s">
        <v>1108</v>
      </c>
      <c r="O917" s="30" t="s">
        <v>1612</v>
      </c>
    </row>
    <row r="918" spans="1:15" ht="15" customHeight="1" x14ac:dyDescent="0.2">
      <c r="A918" s="9">
        <v>913</v>
      </c>
      <c r="B918" s="27">
        <f t="shared" si="84"/>
        <v>4460.1856375183197</v>
      </c>
      <c r="C918" s="27">
        <f t="shared" si="85"/>
        <v>18001.309233023938</v>
      </c>
      <c r="D918" s="28">
        <v>17.96</v>
      </c>
      <c r="E918" s="28">
        <v>17.96</v>
      </c>
      <c r="F918" s="9" t="str">
        <f t="shared" si="86"/>
        <v>Identical</v>
      </c>
      <c r="G918" s="27">
        <f t="shared" si="87"/>
        <v>4460.1856375183197</v>
      </c>
      <c r="H918" s="29" t="s">
        <v>1107</v>
      </c>
      <c r="I918" s="29" t="s">
        <v>1611</v>
      </c>
      <c r="J918" s="9" t="str">
        <f t="shared" si="88"/>
        <v>Above 5.00 A: now OL</v>
      </c>
      <c r="K918" s="9" t="s">
        <v>535</v>
      </c>
      <c r="L918" s="9" t="s">
        <v>539</v>
      </c>
      <c r="M918" s="9" t="str">
        <f t="shared" si="89"/>
        <v>Different</v>
      </c>
      <c r="N918" s="30" t="s">
        <v>1108</v>
      </c>
      <c r="O918" s="30" t="s">
        <v>1612</v>
      </c>
    </row>
    <row r="919" spans="1:15" ht="15" customHeight="1" x14ac:dyDescent="0.2">
      <c r="A919" s="9">
        <v>914</v>
      </c>
      <c r="B919" s="27">
        <f t="shared" si="84"/>
        <v>4465.0708353688324</v>
      </c>
      <c r="C919" s="27">
        <f t="shared" si="85"/>
        <v>18021.025891548605</v>
      </c>
      <c r="D919" s="28">
        <v>17.98</v>
      </c>
      <c r="E919" s="28">
        <v>17.98</v>
      </c>
      <c r="F919" s="9" t="str">
        <f t="shared" si="86"/>
        <v>Identical</v>
      </c>
      <c r="G919" s="27">
        <f t="shared" si="87"/>
        <v>4465.0708353688324</v>
      </c>
      <c r="H919" s="29" t="s">
        <v>1107</v>
      </c>
      <c r="I919" s="29" t="s">
        <v>1611</v>
      </c>
      <c r="J919" s="9" t="str">
        <f t="shared" si="88"/>
        <v>Above 5.00 A: now OL</v>
      </c>
      <c r="K919" s="9" t="s">
        <v>535</v>
      </c>
      <c r="L919" s="9" t="s">
        <v>539</v>
      </c>
      <c r="M919" s="9" t="str">
        <f t="shared" si="89"/>
        <v>Different</v>
      </c>
      <c r="N919" s="30" t="s">
        <v>1108</v>
      </c>
      <c r="O919" s="30" t="s">
        <v>1612</v>
      </c>
    </row>
    <row r="920" spans="1:15" ht="15" customHeight="1" x14ac:dyDescent="0.2">
      <c r="A920" s="9">
        <v>915</v>
      </c>
      <c r="B920" s="27">
        <f t="shared" si="84"/>
        <v>4469.956033219345</v>
      </c>
      <c r="C920" s="27">
        <f t="shared" si="85"/>
        <v>18040.742550073275</v>
      </c>
      <c r="D920" s="28">
        <v>18</v>
      </c>
      <c r="E920" s="28">
        <v>18</v>
      </c>
      <c r="F920" s="9" t="str">
        <f t="shared" si="86"/>
        <v>Identical</v>
      </c>
      <c r="G920" s="27">
        <f t="shared" si="87"/>
        <v>4469.956033219345</v>
      </c>
      <c r="H920" s="29" t="s">
        <v>1107</v>
      </c>
      <c r="I920" s="29" t="s">
        <v>1611</v>
      </c>
      <c r="J920" s="9" t="str">
        <f t="shared" si="88"/>
        <v>Above 5.00 A: now OL</v>
      </c>
      <c r="K920" s="9" t="s">
        <v>535</v>
      </c>
      <c r="L920" s="9" t="s">
        <v>539</v>
      </c>
      <c r="M920" s="9" t="str">
        <f t="shared" si="89"/>
        <v>Different</v>
      </c>
      <c r="N920" s="30" t="s">
        <v>1108</v>
      </c>
      <c r="O920" s="30" t="s">
        <v>1612</v>
      </c>
    </row>
    <row r="921" spans="1:15" ht="15" customHeight="1" x14ac:dyDescent="0.2">
      <c r="A921" s="9">
        <v>916</v>
      </c>
      <c r="B921" s="27">
        <f t="shared" si="84"/>
        <v>4474.8412310698586</v>
      </c>
      <c r="C921" s="27">
        <f t="shared" si="85"/>
        <v>18060.459208597949</v>
      </c>
      <c r="D921" s="28">
        <v>18.02</v>
      </c>
      <c r="E921" s="28">
        <v>18.02</v>
      </c>
      <c r="F921" s="9" t="str">
        <f t="shared" si="86"/>
        <v>Identical</v>
      </c>
      <c r="G921" s="27">
        <f t="shared" si="87"/>
        <v>4474.8412310698586</v>
      </c>
      <c r="H921" s="29" t="s">
        <v>1107</v>
      </c>
      <c r="I921" s="29" t="s">
        <v>1611</v>
      </c>
      <c r="J921" s="9" t="str">
        <f t="shared" si="88"/>
        <v>Above 5.00 A: now OL</v>
      </c>
      <c r="K921" s="9" t="s">
        <v>535</v>
      </c>
      <c r="L921" s="9" t="s">
        <v>539</v>
      </c>
      <c r="M921" s="9" t="str">
        <f t="shared" si="89"/>
        <v>Different</v>
      </c>
      <c r="N921" s="30" t="s">
        <v>1108</v>
      </c>
      <c r="O921" s="30" t="s">
        <v>1612</v>
      </c>
    </row>
    <row r="922" spans="1:15" ht="15" customHeight="1" x14ac:dyDescent="0.2">
      <c r="A922" s="9">
        <v>917</v>
      </c>
      <c r="B922" s="27">
        <f t="shared" si="84"/>
        <v>4479.7264289203713</v>
      </c>
      <c r="C922" s="27">
        <f t="shared" si="85"/>
        <v>18080.175867122616</v>
      </c>
      <c r="D922" s="28">
        <v>18.04</v>
      </c>
      <c r="E922" s="28">
        <v>18.03</v>
      </c>
      <c r="F922" s="9" t="str">
        <f t="shared" si="86"/>
        <v>Within 10 mV (calibration line)</v>
      </c>
      <c r="G922" s="27">
        <f t="shared" si="87"/>
        <v>4479.7264289203713</v>
      </c>
      <c r="H922" s="29" t="s">
        <v>1107</v>
      </c>
      <c r="I922" s="29" t="s">
        <v>1611</v>
      </c>
      <c r="J922" s="9" t="str">
        <f t="shared" si="88"/>
        <v>Above 5.00 A: now OL</v>
      </c>
      <c r="K922" s="9" t="s">
        <v>535</v>
      </c>
      <c r="L922" s="9" t="s">
        <v>539</v>
      </c>
      <c r="M922" s="9" t="str">
        <f t="shared" si="89"/>
        <v>Different</v>
      </c>
      <c r="N922" s="30" t="s">
        <v>1108</v>
      </c>
      <c r="O922" s="30" t="s">
        <v>1612</v>
      </c>
    </row>
    <row r="923" spans="1:15" ht="15" customHeight="1" x14ac:dyDescent="0.2">
      <c r="A923" s="9">
        <v>918</v>
      </c>
      <c r="B923" s="27">
        <f t="shared" si="84"/>
        <v>4484.611626770884</v>
      </c>
      <c r="C923" s="27">
        <f t="shared" si="85"/>
        <v>18099.892525647287</v>
      </c>
      <c r="D923" s="28">
        <v>18.05</v>
      </c>
      <c r="E923" s="28">
        <v>18.05</v>
      </c>
      <c r="F923" s="9" t="str">
        <f t="shared" si="86"/>
        <v>Identical</v>
      </c>
      <c r="G923" s="27">
        <f t="shared" si="87"/>
        <v>4484.611626770884</v>
      </c>
      <c r="H923" s="29" t="s">
        <v>1107</v>
      </c>
      <c r="I923" s="29" t="s">
        <v>1611</v>
      </c>
      <c r="J923" s="9" t="str">
        <f t="shared" si="88"/>
        <v>Above 5.00 A: now OL</v>
      </c>
      <c r="K923" s="9" t="s">
        <v>535</v>
      </c>
      <c r="L923" s="9" t="s">
        <v>539</v>
      </c>
      <c r="M923" s="9" t="str">
        <f t="shared" si="89"/>
        <v>Different</v>
      </c>
      <c r="N923" s="30" t="s">
        <v>1108</v>
      </c>
      <c r="O923" s="30" t="s">
        <v>1612</v>
      </c>
    </row>
    <row r="924" spans="1:15" ht="15" customHeight="1" x14ac:dyDescent="0.2">
      <c r="A924" s="9">
        <v>919</v>
      </c>
      <c r="B924" s="27">
        <f t="shared" si="84"/>
        <v>4489.4968246213975</v>
      </c>
      <c r="C924" s="27">
        <f t="shared" si="85"/>
        <v>18119.609184171957</v>
      </c>
      <c r="D924" s="28">
        <v>18.07</v>
      </c>
      <c r="E924" s="28">
        <v>18.07</v>
      </c>
      <c r="F924" s="9" t="str">
        <f t="shared" si="86"/>
        <v>Identical</v>
      </c>
      <c r="G924" s="27">
        <f t="shared" si="87"/>
        <v>4489.4968246213975</v>
      </c>
      <c r="H924" s="29" t="s">
        <v>1107</v>
      </c>
      <c r="I924" s="29" t="s">
        <v>1611</v>
      </c>
      <c r="J924" s="9" t="str">
        <f t="shared" si="88"/>
        <v>Above 5.00 A: now OL</v>
      </c>
      <c r="K924" s="9" t="s">
        <v>535</v>
      </c>
      <c r="L924" s="9" t="s">
        <v>539</v>
      </c>
      <c r="M924" s="9" t="str">
        <f t="shared" si="89"/>
        <v>Different</v>
      </c>
      <c r="N924" s="30" t="s">
        <v>1108</v>
      </c>
      <c r="O924" s="30" t="s">
        <v>1612</v>
      </c>
    </row>
    <row r="925" spans="1:15" ht="15" customHeight="1" x14ac:dyDescent="0.2">
      <c r="A925" s="9">
        <v>920</v>
      </c>
      <c r="B925" s="27">
        <f t="shared" si="84"/>
        <v>4494.3820224719102</v>
      </c>
      <c r="C925" s="27">
        <f t="shared" si="85"/>
        <v>18139.325842696628</v>
      </c>
      <c r="D925" s="28">
        <v>18.09</v>
      </c>
      <c r="E925" s="28">
        <v>18.09</v>
      </c>
      <c r="F925" s="9" t="str">
        <f t="shared" si="86"/>
        <v>Identical</v>
      </c>
      <c r="G925" s="27">
        <f t="shared" si="87"/>
        <v>4494.3820224719102</v>
      </c>
      <c r="H925" s="29" t="s">
        <v>1107</v>
      </c>
      <c r="I925" s="29" t="s">
        <v>1611</v>
      </c>
      <c r="J925" s="9" t="str">
        <f t="shared" si="88"/>
        <v>Above 5.00 A: now OL</v>
      </c>
      <c r="K925" s="9" t="s">
        <v>535</v>
      </c>
      <c r="L925" s="9" t="s">
        <v>539</v>
      </c>
      <c r="M925" s="9" t="str">
        <f t="shared" si="89"/>
        <v>Different</v>
      </c>
      <c r="N925" s="30" t="s">
        <v>1108</v>
      </c>
      <c r="O925" s="30" t="s">
        <v>1612</v>
      </c>
    </row>
    <row r="926" spans="1:15" ht="15" customHeight="1" x14ac:dyDescent="0.2">
      <c r="A926" s="9">
        <v>921</v>
      </c>
      <c r="B926" s="27">
        <f t="shared" si="84"/>
        <v>4499.2672203224229</v>
      </c>
      <c r="C926" s="27">
        <f t="shared" si="85"/>
        <v>18159.042501221298</v>
      </c>
      <c r="D926" s="28">
        <v>18.11</v>
      </c>
      <c r="E926" s="28">
        <v>18.11</v>
      </c>
      <c r="F926" s="9" t="str">
        <f t="shared" si="86"/>
        <v>Identical</v>
      </c>
      <c r="G926" s="27">
        <f t="shared" si="87"/>
        <v>4499.2672203224229</v>
      </c>
      <c r="H926" s="29" t="s">
        <v>1107</v>
      </c>
      <c r="I926" s="29" t="s">
        <v>1611</v>
      </c>
      <c r="J926" s="9" t="str">
        <f t="shared" si="88"/>
        <v>Above 5.00 A: now OL</v>
      </c>
      <c r="K926" s="9" t="s">
        <v>535</v>
      </c>
      <c r="L926" s="9" t="s">
        <v>539</v>
      </c>
      <c r="M926" s="9" t="str">
        <f t="shared" si="89"/>
        <v>Different</v>
      </c>
      <c r="N926" s="30" t="s">
        <v>1108</v>
      </c>
      <c r="O926" s="30" t="s">
        <v>1612</v>
      </c>
    </row>
    <row r="927" spans="1:15" ht="15" customHeight="1" x14ac:dyDescent="0.2">
      <c r="A927" s="9">
        <v>922</v>
      </c>
      <c r="B927" s="27">
        <f t="shared" si="84"/>
        <v>4504.1524181729364</v>
      </c>
      <c r="C927" s="27">
        <f t="shared" si="85"/>
        <v>18178.759159745969</v>
      </c>
      <c r="D927" s="28">
        <v>18.13</v>
      </c>
      <c r="E927" s="28">
        <v>18.13</v>
      </c>
      <c r="F927" s="9" t="str">
        <f t="shared" si="86"/>
        <v>Identical</v>
      </c>
      <c r="G927" s="27">
        <f t="shared" si="87"/>
        <v>4504.1524181729364</v>
      </c>
      <c r="H927" s="29" t="s">
        <v>1107</v>
      </c>
      <c r="I927" s="29" t="s">
        <v>1611</v>
      </c>
      <c r="J927" s="9" t="str">
        <f t="shared" si="88"/>
        <v>Above 5.00 A: now OL</v>
      </c>
      <c r="K927" s="9" t="s">
        <v>535</v>
      </c>
      <c r="L927" s="9" t="s">
        <v>539</v>
      </c>
      <c r="M927" s="9" t="str">
        <f t="shared" si="89"/>
        <v>Different</v>
      </c>
      <c r="N927" s="30" t="s">
        <v>1108</v>
      </c>
      <c r="O927" s="30" t="s">
        <v>1612</v>
      </c>
    </row>
    <row r="928" spans="1:15" ht="15" customHeight="1" x14ac:dyDescent="0.2">
      <c r="A928" s="9">
        <v>923</v>
      </c>
      <c r="B928" s="27">
        <f t="shared" si="84"/>
        <v>4509.0376160234491</v>
      </c>
      <c r="C928" s="27">
        <f t="shared" si="85"/>
        <v>18198.475818270639</v>
      </c>
      <c r="D928" s="28">
        <v>18.149999999999999</v>
      </c>
      <c r="E928" s="28">
        <v>18.149999999999999</v>
      </c>
      <c r="F928" s="9" t="str">
        <f t="shared" si="86"/>
        <v>Identical</v>
      </c>
      <c r="G928" s="27">
        <f t="shared" si="87"/>
        <v>4509.0376160234491</v>
      </c>
      <c r="H928" s="29" t="s">
        <v>1107</v>
      </c>
      <c r="I928" s="29" t="s">
        <v>1611</v>
      </c>
      <c r="J928" s="9" t="str">
        <f t="shared" si="88"/>
        <v>Above 5.00 A: now OL</v>
      </c>
      <c r="K928" s="9" t="s">
        <v>535</v>
      </c>
      <c r="L928" s="9" t="s">
        <v>539</v>
      </c>
      <c r="M928" s="9" t="str">
        <f t="shared" si="89"/>
        <v>Different</v>
      </c>
      <c r="N928" s="30" t="s">
        <v>1108</v>
      </c>
      <c r="O928" s="30" t="s">
        <v>1612</v>
      </c>
    </row>
    <row r="929" spans="1:15" ht="15" customHeight="1" x14ac:dyDescent="0.2">
      <c r="A929" s="9">
        <v>924</v>
      </c>
      <c r="B929" s="27">
        <f t="shared" si="84"/>
        <v>4513.9228138739618</v>
      </c>
      <c r="C929" s="27">
        <f t="shared" si="85"/>
        <v>18218.19247679531</v>
      </c>
      <c r="D929" s="28">
        <v>18.170000000000002</v>
      </c>
      <c r="E929" s="28">
        <v>18.170000000000002</v>
      </c>
      <c r="F929" s="9" t="str">
        <f t="shared" si="86"/>
        <v>Identical</v>
      </c>
      <c r="G929" s="27">
        <f t="shared" si="87"/>
        <v>4513.9228138739618</v>
      </c>
      <c r="H929" s="29" t="s">
        <v>1107</v>
      </c>
      <c r="I929" s="29" t="s">
        <v>1611</v>
      </c>
      <c r="J929" s="9" t="str">
        <f t="shared" si="88"/>
        <v>Above 5.00 A: now OL</v>
      </c>
      <c r="K929" s="9" t="s">
        <v>535</v>
      </c>
      <c r="L929" s="9" t="s">
        <v>539</v>
      </c>
      <c r="M929" s="9" t="str">
        <f t="shared" si="89"/>
        <v>Different</v>
      </c>
      <c r="N929" s="30" t="s">
        <v>1108</v>
      </c>
      <c r="O929" s="30" t="s">
        <v>1612</v>
      </c>
    </row>
    <row r="930" spans="1:15" ht="15" customHeight="1" x14ac:dyDescent="0.2">
      <c r="A930" s="9">
        <v>925</v>
      </c>
      <c r="B930" s="27">
        <f t="shared" si="84"/>
        <v>4518.8080117244745</v>
      </c>
      <c r="C930" s="27">
        <f t="shared" si="85"/>
        <v>18237.909135319976</v>
      </c>
      <c r="D930" s="28">
        <v>18.190000000000001</v>
      </c>
      <c r="E930" s="28">
        <v>18.190000000000001</v>
      </c>
      <c r="F930" s="9" t="str">
        <f t="shared" si="86"/>
        <v>Identical</v>
      </c>
      <c r="G930" s="27">
        <f t="shared" si="87"/>
        <v>4518.8080117244745</v>
      </c>
      <c r="H930" s="29" t="s">
        <v>1107</v>
      </c>
      <c r="I930" s="29" t="s">
        <v>1611</v>
      </c>
      <c r="J930" s="9" t="str">
        <f t="shared" si="88"/>
        <v>Above 5.00 A: now OL</v>
      </c>
      <c r="K930" s="9" t="s">
        <v>535</v>
      </c>
      <c r="L930" s="9" t="s">
        <v>539</v>
      </c>
      <c r="M930" s="9" t="str">
        <f t="shared" si="89"/>
        <v>Different</v>
      </c>
      <c r="N930" s="30" t="s">
        <v>1108</v>
      </c>
      <c r="O930" s="30" t="s">
        <v>1612</v>
      </c>
    </row>
    <row r="931" spans="1:15" ht="15" customHeight="1" x14ac:dyDescent="0.2">
      <c r="A931" s="9">
        <v>926</v>
      </c>
      <c r="B931" s="27">
        <f t="shared" si="84"/>
        <v>4523.693209574988</v>
      </c>
      <c r="C931" s="27">
        <f t="shared" si="85"/>
        <v>18257.625793844651</v>
      </c>
      <c r="D931" s="28">
        <v>18.21</v>
      </c>
      <c r="E931" s="28">
        <v>18.21</v>
      </c>
      <c r="F931" s="9" t="str">
        <f t="shared" si="86"/>
        <v>Identical</v>
      </c>
      <c r="G931" s="27">
        <f t="shared" si="87"/>
        <v>4523.693209574988</v>
      </c>
      <c r="H931" s="29" t="s">
        <v>1107</v>
      </c>
      <c r="I931" s="29" t="s">
        <v>1611</v>
      </c>
      <c r="J931" s="9" t="str">
        <f t="shared" si="88"/>
        <v>Above 5.00 A: now OL</v>
      </c>
      <c r="K931" s="9" t="s">
        <v>535</v>
      </c>
      <c r="L931" s="9" t="s">
        <v>539</v>
      </c>
      <c r="M931" s="9" t="str">
        <f t="shared" si="89"/>
        <v>Different</v>
      </c>
      <c r="N931" s="30" t="s">
        <v>1108</v>
      </c>
      <c r="O931" s="30" t="s">
        <v>1612</v>
      </c>
    </row>
    <row r="932" spans="1:15" ht="15" customHeight="1" x14ac:dyDescent="0.2">
      <c r="A932" s="9">
        <v>927</v>
      </c>
      <c r="B932" s="27">
        <f t="shared" si="84"/>
        <v>4528.5784074255007</v>
      </c>
      <c r="C932" s="27">
        <f t="shared" si="85"/>
        <v>18277.342452369317</v>
      </c>
      <c r="D932" s="28">
        <v>18.23</v>
      </c>
      <c r="E932" s="28">
        <v>18.23</v>
      </c>
      <c r="F932" s="9" t="str">
        <f t="shared" si="86"/>
        <v>Identical</v>
      </c>
      <c r="G932" s="27">
        <f t="shared" si="87"/>
        <v>4528.5784074255007</v>
      </c>
      <c r="H932" s="29" t="s">
        <v>1107</v>
      </c>
      <c r="I932" s="29" t="s">
        <v>1611</v>
      </c>
      <c r="J932" s="9" t="str">
        <f t="shared" si="88"/>
        <v>Above 5.00 A: now OL</v>
      </c>
      <c r="K932" s="9" t="s">
        <v>535</v>
      </c>
      <c r="L932" s="9" t="s">
        <v>539</v>
      </c>
      <c r="M932" s="9" t="str">
        <f t="shared" si="89"/>
        <v>Different</v>
      </c>
      <c r="N932" s="30" t="s">
        <v>1108</v>
      </c>
      <c r="O932" s="30" t="s">
        <v>1612</v>
      </c>
    </row>
    <row r="933" spans="1:15" ht="15" customHeight="1" x14ac:dyDescent="0.2">
      <c r="A933" s="9">
        <v>928</v>
      </c>
      <c r="B933" s="27">
        <f t="shared" si="84"/>
        <v>4533.4636052760134</v>
      </c>
      <c r="C933" s="27">
        <f t="shared" si="85"/>
        <v>18297.059110893988</v>
      </c>
      <c r="D933" s="28">
        <v>18.25</v>
      </c>
      <c r="E933" s="28">
        <v>18.25</v>
      </c>
      <c r="F933" s="9" t="str">
        <f t="shared" si="86"/>
        <v>Identical</v>
      </c>
      <c r="G933" s="27">
        <f t="shared" si="87"/>
        <v>4533.4636052760134</v>
      </c>
      <c r="H933" s="29" t="s">
        <v>1107</v>
      </c>
      <c r="I933" s="29" t="s">
        <v>1611</v>
      </c>
      <c r="J933" s="9" t="str">
        <f t="shared" si="88"/>
        <v>Above 5.00 A: now OL</v>
      </c>
      <c r="K933" s="9" t="s">
        <v>535</v>
      </c>
      <c r="L933" s="9" t="s">
        <v>539</v>
      </c>
      <c r="M933" s="9" t="str">
        <f t="shared" si="89"/>
        <v>Different</v>
      </c>
      <c r="N933" s="30" t="s">
        <v>1108</v>
      </c>
      <c r="O933" s="30" t="s">
        <v>1612</v>
      </c>
    </row>
    <row r="934" spans="1:15" ht="15" customHeight="1" x14ac:dyDescent="0.2">
      <c r="A934" s="9">
        <v>929</v>
      </c>
      <c r="B934" s="27">
        <f t="shared" si="84"/>
        <v>4538.3488031265269</v>
      </c>
      <c r="C934" s="27">
        <f t="shared" si="85"/>
        <v>18316.775769418662</v>
      </c>
      <c r="D934" s="28">
        <v>18.27</v>
      </c>
      <c r="E934" s="28">
        <v>18.27</v>
      </c>
      <c r="F934" s="9" t="str">
        <f t="shared" si="86"/>
        <v>Identical</v>
      </c>
      <c r="G934" s="27">
        <f t="shared" si="87"/>
        <v>4538.3488031265269</v>
      </c>
      <c r="H934" s="29" t="s">
        <v>1107</v>
      </c>
      <c r="I934" s="29" t="s">
        <v>1611</v>
      </c>
      <c r="J934" s="9" t="str">
        <f t="shared" si="88"/>
        <v>Above 5.00 A: now OL</v>
      </c>
      <c r="K934" s="9" t="s">
        <v>535</v>
      </c>
      <c r="L934" s="9" t="s">
        <v>539</v>
      </c>
      <c r="M934" s="9" t="str">
        <f t="shared" si="89"/>
        <v>Different</v>
      </c>
      <c r="N934" s="30" t="s">
        <v>1108</v>
      </c>
      <c r="O934" s="30" t="s">
        <v>1612</v>
      </c>
    </row>
    <row r="935" spans="1:15" ht="15" customHeight="1" x14ac:dyDescent="0.2">
      <c r="A935" s="9">
        <v>930</v>
      </c>
      <c r="B935" s="27">
        <f t="shared" si="84"/>
        <v>4543.2340009770396</v>
      </c>
      <c r="C935" s="27">
        <f t="shared" si="85"/>
        <v>18336.492427943329</v>
      </c>
      <c r="D935" s="28">
        <v>18.29</v>
      </c>
      <c r="E935" s="28">
        <v>18.29</v>
      </c>
      <c r="F935" s="9" t="str">
        <f t="shared" si="86"/>
        <v>Identical</v>
      </c>
      <c r="G935" s="27">
        <f t="shared" si="87"/>
        <v>4543.2340009770396</v>
      </c>
      <c r="H935" s="29" t="s">
        <v>1107</v>
      </c>
      <c r="I935" s="29" t="s">
        <v>1611</v>
      </c>
      <c r="J935" s="9" t="str">
        <f t="shared" si="88"/>
        <v>Above 5.00 A: now OL</v>
      </c>
      <c r="K935" s="9" t="s">
        <v>535</v>
      </c>
      <c r="L935" s="9" t="s">
        <v>539</v>
      </c>
      <c r="M935" s="9" t="str">
        <f t="shared" si="89"/>
        <v>Different</v>
      </c>
      <c r="N935" s="30" t="s">
        <v>1108</v>
      </c>
      <c r="O935" s="30" t="s">
        <v>1612</v>
      </c>
    </row>
    <row r="936" spans="1:15" ht="15" customHeight="1" x14ac:dyDescent="0.2">
      <c r="A936" s="9">
        <v>931</v>
      </c>
      <c r="B936" s="27">
        <f t="shared" si="84"/>
        <v>4548.1191988275523</v>
      </c>
      <c r="C936" s="27">
        <f t="shared" si="85"/>
        <v>18356.209086467999</v>
      </c>
      <c r="D936" s="28">
        <v>18.309999999999999</v>
      </c>
      <c r="E936" s="28">
        <v>18.309999999999999</v>
      </c>
      <c r="F936" s="9" t="str">
        <f t="shared" si="86"/>
        <v>Identical</v>
      </c>
      <c r="G936" s="27">
        <f t="shared" si="87"/>
        <v>4548.1191988275523</v>
      </c>
      <c r="H936" s="29" t="s">
        <v>1107</v>
      </c>
      <c r="I936" s="29" t="s">
        <v>1611</v>
      </c>
      <c r="J936" s="9" t="str">
        <f t="shared" si="88"/>
        <v>Above 5.00 A: now OL</v>
      </c>
      <c r="K936" s="9" t="s">
        <v>535</v>
      </c>
      <c r="L936" s="9" t="s">
        <v>539</v>
      </c>
      <c r="M936" s="9" t="str">
        <f t="shared" si="89"/>
        <v>Different</v>
      </c>
      <c r="N936" s="30" t="s">
        <v>1108</v>
      </c>
      <c r="O936" s="30" t="s">
        <v>1612</v>
      </c>
    </row>
    <row r="937" spans="1:15" ht="15" customHeight="1" x14ac:dyDescent="0.2">
      <c r="A937" s="9">
        <v>932</v>
      </c>
      <c r="B937" s="27">
        <f t="shared" si="84"/>
        <v>4553.0043966780659</v>
      </c>
      <c r="C937" s="27">
        <f t="shared" si="85"/>
        <v>18375.925744992674</v>
      </c>
      <c r="D937" s="28">
        <v>18.329999999999998</v>
      </c>
      <c r="E937" s="28">
        <v>18.329999999999998</v>
      </c>
      <c r="F937" s="9" t="str">
        <f t="shared" si="86"/>
        <v>Identical</v>
      </c>
      <c r="G937" s="27">
        <f t="shared" si="87"/>
        <v>4553.0043966780659</v>
      </c>
      <c r="H937" s="29" t="s">
        <v>1107</v>
      </c>
      <c r="I937" s="29" t="s">
        <v>1611</v>
      </c>
      <c r="J937" s="9" t="str">
        <f t="shared" si="88"/>
        <v>Above 5.00 A: now OL</v>
      </c>
      <c r="K937" s="9" t="s">
        <v>535</v>
      </c>
      <c r="L937" s="9" t="s">
        <v>539</v>
      </c>
      <c r="M937" s="9" t="str">
        <f t="shared" si="89"/>
        <v>Different</v>
      </c>
      <c r="N937" s="30" t="s">
        <v>1108</v>
      </c>
      <c r="O937" s="30" t="s">
        <v>1612</v>
      </c>
    </row>
    <row r="938" spans="1:15" ht="15" customHeight="1" x14ac:dyDescent="0.2">
      <c r="A938" s="9">
        <v>933</v>
      </c>
      <c r="B938" s="27">
        <f t="shared" si="84"/>
        <v>4557.8895945285785</v>
      </c>
      <c r="C938" s="27">
        <f t="shared" si="85"/>
        <v>18395.64240351734</v>
      </c>
      <c r="D938" s="28">
        <v>18.350000000000001</v>
      </c>
      <c r="E938" s="28">
        <v>18.350000000000001</v>
      </c>
      <c r="F938" s="9" t="str">
        <f t="shared" si="86"/>
        <v>Identical</v>
      </c>
      <c r="G938" s="27">
        <f t="shared" si="87"/>
        <v>4557.8895945285785</v>
      </c>
      <c r="H938" s="29" t="s">
        <v>1107</v>
      </c>
      <c r="I938" s="29" t="s">
        <v>1611</v>
      </c>
      <c r="J938" s="9" t="str">
        <f t="shared" si="88"/>
        <v>Above 5.00 A: now OL</v>
      </c>
      <c r="K938" s="9" t="s">
        <v>535</v>
      </c>
      <c r="L938" s="9" t="s">
        <v>539</v>
      </c>
      <c r="M938" s="9" t="str">
        <f t="shared" si="89"/>
        <v>Different</v>
      </c>
      <c r="N938" s="30" t="s">
        <v>1108</v>
      </c>
      <c r="O938" s="30" t="s">
        <v>1612</v>
      </c>
    </row>
    <row r="939" spans="1:15" ht="15" customHeight="1" x14ac:dyDescent="0.2">
      <c r="A939" s="9">
        <v>934</v>
      </c>
      <c r="B939" s="27">
        <f t="shared" si="84"/>
        <v>4562.7747923790912</v>
      </c>
      <c r="C939" s="27">
        <f t="shared" si="85"/>
        <v>18415.359062042011</v>
      </c>
      <c r="D939" s="28">
        <v>18.37</v>
      </c>
      <c r="E939" s="28">
        <v>18.37</v>
      </c>
      <c r="F939" s="9" t="str">
        <f t="shared" si="86"/>
        <v>Identical</v>
      </c>
      <c r="G939" s="27">
        <f t="shared" si="87"/>
        <v>4562.7747923790912</v>
      </c>
      <c r="H939" s="29" t="s">
        <v>1107</v>
      </c>
      <c r="I939" s="29" t="s">
        <v>1611</v>
      </c>
      <c r="J939" s="9" t="str">
        <f t="shared" si="88"/>
        <v>Above 5.00 A: now OL</v>
      </c>
      <c r="K939" s="9" t="s">
        <v>535</v>
      </c>
      <c r="L939" s="9" t="s">
        <v>539</v>
      </c>
      <c r="M939" s="9" t="str">
        <f t="shared" si="89"/>
        <v>Different</v>
      </c>
      <c r="N939" s="30" t="s">
        <v>1108</v>
      </c>
      <c r="O939" s="30" t="s">
        <v>1612</v>
      </c>
    </row>
    <row r="940" spans="1:15" ht="15" customHeight="1" x14ac:dyDescent="0.2">
      <c r="A940" s="9">
        <v>935</v>
      </c>
      <c r="B940" s="27">
        <f t="shared" si="84"/>
        <v>4567.6599902296048</v>
      </c>
      <c r="C940" s="27">
        <f t="shared" si="85"/>
        <v>18435.075720566681</v>
      </c>
      <c r="D940" s="28">
        <v>18.39</v>
      </c>
      <c r="E940" s="28">
        <v>18.39</v>
      </c>
      <c r="F940" s="9" t="str">
        <f t="shared" si="86"/>
        <v>Identical</v>
      </c>
      <c r="G940" s="27">
        <f t="shared" si="87"/>
        <v>4567.6599902296048</v>
      </c>
      <c r="H940" s="29" t="s">
        <v>1107</v>
      </c>
      <c r="I940" s="29" t="s">
        <v>1611</v>
      </c>
      <c r="J940" s="9" t="str">
        <f t="shared" si="88"/>
        <v>Above 5.00 A: now OL</v>
      </c>
      <c r="K940" s="9" t="s">
        <v>535</v>
      </c>
      <c r="L940" s="9" t="s">
        <v>539</v>
      </c>
      <c r="M940" s="9" t="str">
        <f t="shared" si="89"/>
        <v>Different</v>
      </c>
      <c r="N940" s="30" t="s">
        <v>1108</v>
      </c>
      <c r="O940" s="30" t="s">
        <v>1612</v>
      </c>
    </row>
    <row r="941" spans="1:15" ht="15" customHeight="1" x14ac:dyDescent="0.2">
      <c r="A941" s="9">
        <v>936</v>
      </c>
      <c r="B941" s="27">
        <f t="shared" si="84"/>
        <v>4572.5451880801174</v>
      </c>
      <c r="C941" s="27">
        <f t="shared" si="85"/>
        <v>18454.792379091352</v>
      </c>
      <c r="D941" s="28">
        <v>18.41</v>
      </c>
      <c r="E941" s="28">
        <v>18.41</v>
      </c>
      <c r="F941" s="9" t="str">
        <f t="shared" si="86"/>
        <v>Identical</v>
      </c>
      <c r="G941" s="27">
        <f t="shared" si="87"/>
        <v>4572.5451880801174</v>
      </c>
      <c r="H941" s="29" t="s">
        <v>1107</v>
      </c>
      <c r="I941" s="29" t="s">
        <v>1611</v>
      </c>
      <c r="J941" s="9" t="str">
        <f t="shared" si="88"/>
        <v>Above 5.00 A: now OL</v>
      </c>
      <c r="K941" s="9" t="s">
        <v>535</v>
      </c>
      <c r="L941" s="9" t="s">
        <v>539</v>
      </c>
      <c r="M941" s="9" t="str">
        <f t="shared" si="89"/>
        <v>Different</v>
      </c>
      <c r="N941" s="30" t="s">
        <v>1108</v>
      </c>
      <c r="O941" s="30" t="s">
        <v>1612</v>
      </c>
    </row>
    <row r="942" spans="1:15" ht="15" customHeight="1" x14ac:dyDescent="0.2">
      <c r="A942" s="9">
        <v>937</v>
      </c>
      <c r="B942" s="27">
        <f t="shared" si="84"/>
        <v>4577.4303859306301</v>
      </c>
      <c r="C942" s="27">
        <f t="shared" si="85"/>
        <v>18474.509037616022</v>
      </c>
      <c r="D942" s="28">
        <v>18.43</v>
      </c>
      <c r="E942" s="28">
        <v>18.43</v>
      </c>
      <c r="F942" s="9" t="str">
        <f t="shared" si="86"/>
        <v>Identical</v>
      </c>
      <c r="G942" s="27">
        <f t="shared" si="87"/>
        <v>4577.4303859306301</v>
      </c>
      <c r="H942" s="29" t="s">
        <v>1107</v>
      </c>
      <c r="I942" s="29" t="s">
        <v>1611</v>
      </c>
      <c r="J942" s="9" t="str">
        <f t="shared" si="88"/>
        <v>Above 5.00 A: now OL</v>
      </c>
      <c r="K942" s="9" t="s">
        <v>535</v>
      </c>
      <c r="L942" s="9" t="s">
        <v>539</v>
      </c>
      <c r="M942" s="9" t="str">
        <f t="shared" si="89"/>
        <v>Different</v>
      </c>
      <c r="N942" s="30" t="s">
        <v>1108</v>
      </c>
      <c r="O942" s="30" t="s">
        <v>1612</v>
      </c>
    </row>
    <row r="943" spans="1:15" ht="15" customHeight="1" x14ac:dyDescent="0.2">
      <c r="A943" s="9">
        <v>938</v>
      </c>
      <c r="B943" s="27">
        <f t="shared" si="84"/>
        <v>4582.3155837811437</v>
      </c>
      <c r="C943" s="27">
        <f t="shared" si="85"/>
        <v>18494.225696140693</v>
      </c>
      <c r="D943" s="28">
        <v>18.45</v>
      </c>
      <c r="E943" s="28">
        <v>18.45</v>
      </c>
      <c r="F943" s="9" t="str">
        <f t="shared" si="86"/>
        <v>Identical</v>
      </c>
      <c r="G943" s="27">
        <f t="shared" si="87"/>
        <v>4582.3155837811437</v>
      </c>
      <c r="H943" s="29" t="s">
        <v>1107</v>
      </c>
      <c r="I943" s="29" t="s">
        <v>1611</v>
      </c>
      <c r="J943" s="9" t="str">
        <f t="shared" si="88"/>
        <v>Above 5.00 A: now OL</v>
      </c>
      <c r="K943" s="9" t="s">
        <v>535</v>
      </c>
      <c r="L943" s="9" t="s">
        <v>539</v>
      </c>
      <c r="M943" s="9" t="str">
        <f t="shared" si="89"/>
        <v>Different</v>
      </c>
      <c r="N943" s="30" t="s">
        <v>1108</v>
      </c>
      <c r="O943" s="30" t="s">
        <v>1612</v>
      </c>
    </row>
    <row r="944" spans="1:15" ht="15" customHeight="1" x14ac:dyDescent="0.2">
      <c r="A944" s="9">
        <v>939</v>
      </c>
      <c r="B944" s="27">
        <f t="shared" si="84"/>
        <v>4587.2007816316564</v>
      </c>
      <c r="C944" s="27">
        <f t="shared" si="85"/>
        <v>18513.942354665363</v>
      </c>
      <c r="D944" s="28">
        <v>18.47</v>
      </c>
      <c r="E944" s="28">
        <v>18.47</v>
      </c>
      <c r="F944" s="9" t="str">
        <f t="shared" si="86"/>
        <v>Identical</v>
      </c>
      <c r="G944" s="27">
        <f t="shared" si="87"/>
        <v>4587.2007816316564</v>
      </c>
      <c r="H944" s="29" t="s">
        <v>1107</v>
      </c>
      <c r="I944" s="29" t="s">
        <v>1611</v>
      </c>
      <c r="J944" s="9" t="str">
        <f t="shared" si="88"/>
        <v>Above 5.00 A: now OL</v>
      </c>
      <c r="K944" s="9" t="s">
        <v>535</v>
      </c>
      <c r="L944" s="9" t="s">
        <v>539</v>
      </c>
      <c r="M944" s="9" t="str">
        <f t="shared" si="89"/>
        <v>Different</v>
      </c>
      <c r="N944" s="30" t="s">
        <v>1108</v>
      </c>
      <c r="O944" s="30" t="s">
        <v>1612</v>
      </c>
    </row>
    <row r="945" spans="1:15" ht="15" customHeight="1" x14ac:dyDescent="0.2">
      <c r="A945" s="9">
        <v>940</v>
      </c>
      <c r="B945" s="27">
        <f t="shared" si="84"/>
        <v>4592.085979482169</v>
      </c>
      <c r="C945" s="27">
        <f t="shared" si="85"/>
        <v>18533.659013190034</v>
      </c>
      <c r="D945" s="28">
        <v>18.489999999999998</v>
      </c>
      <c r="E945" s="28">
        <v>18.489999999999998</v>
      </c>
      <c r="F945" s="9" t="str">
        <f t="shared" si="86"/>
        <v>Identical</v>
      </c>
      <c r="G945" s="27">
        <f t="shared" si="87"/>
        <v>4592.085979482169</v>
      </c>
      <c r="H945" s="29" t="s">
        <v>1107</v>
      </c>
      <c r="I945" s="29" t="s">
        <v>1611</v>
      </c>
      <c r="J945" s="9" t="str">
        <f t="shared" si="88"/>
        <v>Above 5.00 A: now OL</v>
      </c>
      <c r="K945" s="9" t="s">
        <v>535</v>
      </c>
      <c r="L945" s="9" t="s">
        <v>539</v>
      </c>
      <c r="M945" s="9" t="str">
        <f t="shared" si="89"/>
        <v>Different</v>
      </c>
      <c r="N945" s="30" t="s">
        <v>1108</v>
      </c>
      <c r="O945" s="30" t="s">
        <v>1612</v>
      </c>
    </row>
    <row r="946" spans="1:15" ht="15" customHeight="1" x14ac:dyDescent="0.2">
      <c r="A946" s="9">
        <v>941</v>
      </c>
      <c r="B946" s="27">
        <f t="shared" si="84"/>
        <v>4596.9711773326817</v>
      </c>
      <c r="C946" s="27">
        <f t="shared" si="85"/>
        <v>18553.375671714701</v>
      </c>
      <c r="D946" s="28">
        <v>18.510000000000002</v>
      </c>
      <c r="E946" s="28">
        <v>18.510000000000002</v>
      </c>
      <c r="F946" s="9" t="str">
        <f t="shared" si="86"/>
        <v>Identical</v>
      </c>
      <c r="G946" s="27">
        <f t="shared" si="87"/>
        <v>4596.9711773326817</v>
      </c>
      <c r="H946" s="29" t="s">
        <v>1107</v>
      </c>
      <c r="I946" s="29" t="s">
        <v>1611</v>
      </c>
      <c r="J946" s="9" t="str">
        <f t="shared" si="88"/>
        <v>Above 5.00 A: now OL</v>
      </c>
      <c r="K946" s="9" t="s">
        <v>535</v>
      </c>
      <c r="L946" s="9" t="s">
        <v>539</v>
      </c>
      <c r="M946" s="9" t="str">
        <f t="shared" si="89"/>
        <v>Different</v>
      </c>
      <c r="N946" s="30" t="s">
        <v>1108</v>
      </c>
      <c r="O946" s="30" t="s">
        <v>1612</v>
      </c>
    </row>
    <row r="947" spans="1:15" ht="15" customHeight="1" x14ac:dyDescent="0.2">
      <c r="A947" s="9">
        <v>942</v>
      </c>
      <c r="B947" s="27">
        <f t="shared" si="84"/>
        <v>4601.8563751831953</v>
      </c>
      <c r="C947" s="27">
        <f t="shared" si="85"/>
        <v>18573.092330239375</v>
      </c>
      <c r="D947" s="28">
        <v>18.53</v>
      </c>
      <c r="E947" s="28">
        <v>18.53</v>
      </c>
      <c r="F947" s="9" t="str">
        <f t="shared" si="86"/>
        <v>Identical</v>
      </c>
      <c r="G947" s="27">
        <f t="shared" si="87"/>
        <v>4601.8563751831953</v>
      </c>
      <c r="H947" s="29" t="s">
        <v>1107</v>
      </c>
      <c r="I947" s="29" t="s">
        <v>1611</v>
      </c>
      <c r="J947" s="9" t="str">
        <f t="shared" si="88"/>
        <v>Above 5.00 A: now OL</v>
      </c>
      <c r="K947" s="9" t="s">
        <v>535</v>
      </c>
      <c r="L947" s="9" t="s">
        <v>539</v>
      </c>
      <c r="M947" s="9" t="str">
        <f t="shared" si="89"/>
        <v>Different</v>
      </c>
      <c r="N947" s="30" t="s">
        <v>1108</v>
      </c>
      <c r="O947" s="30" t="s">
        <v>1612</v>
      </c>
    </row>
    <row r="948" spans="1:15" ht="15" customHeight="1" x14ac:dyDescent="0.2">
      <c r="A948" s="9">
        <v>943</v>
      </c>
      <c r="B948" s="27">
        <f t="shared" si="84"/>
        <v>4606.7415730337079</v>
      </c>
      <c r="C948" s="27">
        <f t="shared" si="85"/>
        <v>18592.808988764042</v>
      </c>
      <c r="D948" s="28">
        <v>18.55</v>
      </c>
      <c r="E948" s="28">
        <v>18.55</v>
      </c>
      <c r="F948" s="9" t="str">
        <f t="shared" si="86"/>
        <v>Identical</v>
      </c>
      <c r="G948" s="27">
        <f t="shared" si="87"/>
        <v>4606.7415730337079</v>
      </c>
      <c r="H948" s="29" t="s">
        <v>1107</v>
      </c>
      <c r="I948" s="29" t="s">
        <v>1611</v>
      </c>
      <c r="J948" s="9" t="str">
        <f t="shared" si="88"/>
        <v>Above 5.00 A: now OL</v>
      </c>
      <c r="K948" s="9" t="s">
        <v>535</v>
      </c>
      <c r="L948" s="9" t="s">
        <v>539</v>
      </c>
      <c r="M948" s="9" t="str">
        <f t="shared" si="89"/>
        <v>Different</v>
      </c>
      <c r="N948" s="30" t="s">
        <v>1108</v>
      </c>
      <c r="O948" s="30" t="s">
        <v>1612</v>
      </c>
    </row>
    <row r="949" spans="1:15" ht="15" customHeight="1" x14ac:dyDescent="0.2">
      <c r="A949" s="9">
        <v>944</v>
      </c>
      <c r="B949" s="27">
        <f t="shared" si="84"/>
        <v>4611.6267708842206</v>
      </c>
      <c r="C949" s="27">
        <f t="shared" si="85"/>
        <v>18612.525647288712</v>
      </c>
      <c r="D949" s="28">
        <v>18.57</v>
      </c>
      <c r="E949" s="28">
        <v>18.559999999999999</v>
      </c>
      <c r="F949" s="9" t="str">
        <f t="shared" si="86"/>
        <v>Within 10 mV (calibration line)</v>
      </c>
      <c r="G949" s="27">
        <f t="shared" si="87"/>
        <v>4611.6267708842206</v>
      </c>
      <c r="H949" s="29" t="s">
        <v>1107</v>
      </c>
      <c r="I949" s="29" t="s">
        <v>1611</v>
      </c>
      <c r="J949" s="9" t="str">
        <f t="shared" si="88"/>
        <v>Above 5.00 A: now OL</v>
      </c>
      <c r="K949" s="9" t="s">
        <v>535</v>
      </c>
      <c r="L949" s="9" t="s">
        <v>539</v>
      </c>
      <c r="M949" s="9" t="str">
        <f t="shared" si="89"/>
        <v>Different</v>
      </c>
      <c r="N949" s="30" t="s">
        <v>1108</v>
      </c>
      <c r="O949" s="30" t="s">
        <v>1612</v>
      </c>
    </row>
    <row r="950" spans="1:15" ht="15" customHeight="1" x14ac:dyDescent="0.2">
      <c r="A950" s="9">
        <v>945</v>
      </c>
      <c r="B950" s="27">
        <f t="shared" si="84"/>
        <v>4616.5119687347342</v>
      </c>
      <c r="C950" s="27">
        <f t="shared" si="85"/>
        <v>18632.242305813386</v>
      </c>
      <c r="D950" s="28">
        <v>18.59</v>
      </c>
      <c r="E950" s="28">
        <v>18.579999999999998</v>
      </c>
      <c r="F950" s="9" t="str">
        <f t="shared" si="86"/>
        <v>Within 10 mV (calibration line)</v>
      </c>
      <c r="G950" s="27">
        <f t="shared" si="87"/>
        <v>4616.5119687347342</v>
      </c>
      <c r="H950" s="29" t="s">
        <v>1107</v>
      </c>
      <c r="I950" s="29" t="s">
        <v>1611</v>
      </c>
      <c r="J950" s="9" t="str">
        <f t="shared" si="88"/>
        <v>Above 5.00 A: now OL</v>
      </c>
      <c r="K950" s="9" t="s">
        <v>535</v>
      </c>
      <c r="L950" s="9" t="s">
        <v>539</v>
      </c>
      <c r="M950" s="9" t="str">
        <f t="shared" si="89"/>
        <v>Different</v>
      </c>
      <c r="N950" s="30" t="s">
        <v>1108</v>
      </c>
      <c r="O950" s="30" t="s">
        <v>1612</v>
      </c>
    </row>
    <row r="951" spans="1:15" ht="15" customHeight="1" x14ac:dyDescent="0.2">
      <c r="A951" s="9">
        <v>946</v>
      </c>
      <c r="B951" s="27">
        <f t="shared" si="84"/>
        <v>4621.3971665852469</v>
      </c>
      <c r="C951" s="27">
        <f t="shared" si="85"/>
        <v>18651.958964338053</v>
      </c>
      <c r="D951" s="28">
        <v>18.61</v>
      </c>
      <c r="E951" s="28">
        <v>18.600000000000001</v>
      </c>
      <c r="F951" s="9" t="str">
        <f t="shared" si="86"/>
        <v>Within 10 mV (calibration line)</v>
      </c>
      <c r="G951" s="27">
        <f t="shared" si="87"/>
        <v>4621.3971665852469</v>
      </c>
      <c r="H951" s="29" t="s">
        <v>1107</v>
      </c>
      <c r="I951" s="29" t="s">
        <v>1611</v>
      </c>
      <c r="J951" s="9" t="str">
        <f t="shared" si="88"/>
        <v>Above 5.00 A: now OL</v>
      </c>
      <c r="K951" s="9" t="s">
        <v>535</v>
      </c>
      <c r="L951" s="9" t="s">
        <v>539</v>
      </c>
      <c r="M951" s="9" t="str">
        <f t="shared" si="89"/>
        <v>Different</v>
      </c>
      <c r="N951" s="30" t="s">
        <v>1108</v>
      </c>
      <c r="O951" s="30" t="s">
        <v>1612</v>
      </c>
    </row>
    <row r="952" spans="1:15" ht="15" customHeight="1" x14ac:dyDescent="0.2">
      <c r="A952" s="9">
        <v>947</v>
      </c>
      <c r="B952" s="27">
        <f t="shared" si="84"/>
        <v>4626.2823644357595</v>
      </c>
      <c r="C952" s="27">
        <f t="shared" si="85"/>
        <v>18671.675622862724</v>
      </c>
      <c r="D952" s="28">
        <v>18.63</v>
      </c>
      <c r="E952" s="28">
        <v>18.62</v>
      </c>
      <c r="F952" s="9" t="str">
        <f t="shared" si="86"/>
        <v>Within 10 mV (calibration line)</v>
      </c>
      <c r="G952" s="27">
        <f t="shared" si="87"/>
        <v>4626.2823644357595</v>
      </c>
      <c r="H952" s="29" t="s">
        <v>1107</v>
      </c>
      <c r="I952" s="29" t="s">
        <v>1611</v>
      </c>
      <c r="J952" s="9" t="str">
        <f t="shared" si="88"/>
        <v>Above 5.00 A: now OL</v>
      </c>
      <c r="K952" s="9" t="s">
        <v>535</v>
      </c>
      <c r="L952" s="9" t="s">
        <v>539</v>
      </c>
      <c r="M952" s="9" t="str">
        <f t="shared" si="89"/>
        <v>Different</v>
      </c>
      <c r="N952" s="30" t="s">
        <v>1108</v>
      </c>
      <c r="O952" s="30" t="s">
        <v>1612</v>
      </c>
    </row>
    <row r="953" spans="1:15" ht="15" customHeight="1" x14ac:dyDescent="0.2">
      <c r="A953" s="9">
        <v>948</v>
      </c>
      <c r="B953" s="27">
        <f t="shared" si="84"/>
        <v>4631.1675622862731</v>
      </c>
      <c r="C953" s="27">
        <f t="shared" si="85"/>
        <v>18691.392281387398</v>
      </c>
      <c r="D953" s="28">
        <v>18.649999999999999</v>
      </c>
      <c r="E953" s="28">
        <v>18.64</v>
      </c>
      <c r="F953" s="9" t="str">
        <f t="shared" si="86"/>
        <v>Within 10 mV (calibration line)</v>
      </c>
      <c r="G953" s="27">
        <f t="shared" si="87"/>
        <v>4631.1675622862731</v>
      </c>
      <c r="H953" s="29" t="s">
        <v>1107</v>
      </c>
      <c r="I953" s="29" t="s">
        <v>1611</v>
      </c>
      <c r="J953" s="9" t="str">
        <f t="shared" si="88"/>
        <v>Above 5.00 A: now OL</v>
      </c>
      <c r="K953" s="9" t="s">
        <v>535</v>
      </c>
      <c r="L953" s="9" t="s">
        <v>539</v>
      </c>
      <c r="M953" s="9" t="str">
        <f t="shared" si="89"/>
        <v>Different</v>
      </c>
      <c r="N953" s="30" t="s">
        <v>1108</v>
      </c>
      <c r="O953" s="30" t="s">
        <v>1612</v>
      </c>
    </row>
    <row r="954" spans="1:15" ht="15" customHeight="1" x14ac:dyDescent="0.2">
      <c r="A954" s="9">
        <v>949</v>
      </c>
      <c r="B954" s="27">
        <f t="shared" si="84"/>
        <v>4636.0527601367858</v>
      </c>
      <c r="C954" s="27">
        <f t="shared" si="85"/>
        <v>18711.108939912065</v>
      </c>
      <c r="D954" s="28">
        <v>18.670000000000002</v>
      </c>
      <c r="E954" s="28">
        <v>18.66</v>
      </c>
      <c r="F954" s="9" t="str">
        <f t="shared" si="86"/>
        <v>Within 10 mV (calibration line)</v>
      </c>
      <c r="G954" s="27">
        <f t="shared" si="87"/>
        <v>4636.0527601367858</v>
      </c>
      <c r="H954" s="29" t="s">
        <v>1107</v>
      </c>
      <c r="I954" s="29" t="s">
        <v>1611</v>
      </c>
      <c r="J954" s="9" t="str">
        <f t="shared" si="88"/>
        <v>Above 5.00 A: now OL</v>
      </c>
      <c r="K954" s="9" t="s">
        <v>535</v>
      </c>
      <c r="L954" s="9" t="s">
        <v>539</v>
      </c>
      <c r="M954" s="9" t="str">
        <f t="shared" si="89"/>
        <v>Different</v>
      </c>
      <c r="N954" s="30" t="s">
        <v>1108</v>
      </c>
      <c r="O954" s="30" t="s">
        <v>1612</v>
      </c>
    </row>
    <row r="955" spans="1:15" ht="15" customHeight="1" x14ac:dyDescent="0.2">
      <c r="A955" s="9">
        <v>950</v>
      </c>
      <c r="B955" s="27">
        <f t="shared" si="84"/>
        <v>4640.9379579872984</v>
      </c>
      <c r="C955" s="27">
        <f t="shared" si="85"/>
        <v>18730.825598436735</v>
      </c>
      <c r="D955" s="28">
        <v>18.690000000000001</v>
      </c>
      <c r="E955" s="28">
        <v>18.68</v>
      </c>
      <c r="F955" s="9" t="str">
        <f t="shared" si="86"/>
        <v>Within 10 mV (calibration line)</v>
      </c>
      <c r="G955" s="27">
        <f t="shared" si="87"/>
        <v>4640.9379579872984</v>
      </c>
      <c r="H955" s="29" t="s">
        <v>1107</v>
      </c>
      <c r="I955" s="29" t="s">
        <v>1611</v>
      </c>
      <c r="J955" s="9" t="str">
        <f t="shared" si="88"/>
        <v>Above 5.00 A: now OL</v>
      </c>
      <c r="K955" s="9" t="s">
        <v>535</v>
      </c>
      <c r="L955" s="9" t="s">
        <v>539</v>
      </c>
      <c r="M955" s="9" t="str">
        <f t="shared" si="89"/>
        <v>Different</v>
      </c>
      <c r="N955" s="30" t="s">
        <v>1108</v>
      </c>
      <c r="O955" s="30" t="s">
        <v>1612</v>
      </c>
    </row>
    <row r="956" spans="1:15" ht="15" customHeight="1" x14ac:dyDescent="0.2">
      <c r="A956" s="9">
        <v>951</v>
      </c>
      <c r="B956" s="27">
        <f t="shared" si="84"/>
        <v>4645.823155837812</v>
      </c>
      <c r="C956" s="27">
        <f t="shared" si="85"/>
        <v>18750.542256961406</v>
      </c>
      <c r="D956" s="28">
        <v>18.71</v>
      </c>
      <c r="E956" s="28">
        <v>18.7</v>
      </c>
      <c r="F956" s="9" t="str">
        <f t="shared" si="86"/>
        <v>Within 10 mV (calibration line)</v>
      </c>
      <c r="G956" s="27">
        <f t="shared" si="87"/>
        <v>4645.823155837812</v>
      </c>
      <c r="H956" s="29" t="s">
        <v>1107</v>
      </c>
      <c r="I956" s="29" t="s">
        <v>1611</v>
      </c>
      <c r="J956" s="9" t="str">
        <f t="shared" si="88"/>
        <v>Above 5.00 A: now OL</v>
      </c>
      <c r="K956" s="9" t="s">
        <v>535</v>
      </c>
      <c r="L956" s="9" t="s">
        <v>539</v>
      </c>
      <c r="M956" s="9" t="str">
        <f t="shared" si="89"/>
        <v>Different</v>
      </c>
      <c r="N956" s="30" t="s">
        <v>1108</v>
      </c>
      <c r="O956" s="30" t="s">
        <v>1612</v>
      </c>
    </row>
    <row r="957" spans="1:15" ht="15" customHeight="1" x14ac:dyDescent="0.2">
      <c r="A957" s="9">
        <v>952</v>
      </c>
      <c r="B957" s="27">
        <f t="shared" si="84"/>
        <v>4650.7083536883247</v>
      </c>
      <c r="C957" s="27">
        <f t="shared" si="85"/>
        <v>18770.258915486076</v>
      </c>
      <c r="D957" s="28">
        <v>18.73</v>
      </c>
      <c r="E957" s="28">
        <v>18.72</v>
      </c>
      <c r="F957" s="9" t="str">
        <f t="shared" si="86"/>
        <v>Within 10 mV (calibration line)</v>
      </c>
      <c r="G957" s="27">
        <f t="shared" si="87"/>
        <v>4650.7083536883247</v>
      </c>
      <c r="H957" s="29" t="s">
        <v>1107</v>
      </c>
      <c r="I957" s="29" t="s">
        <v>1611</v>
      </c>
      <c r="J957" s="9" t="str">
        <f t="shared" si="88"/>
        <v>Above 5.00 A: now OL</v>
      </c>
      <c r="K957" s="9" t="s">
        <v>535</v>
      </c>
      <c r="L957" s="9" t="s">
        <v>539</v>
      </c>
      <c r="M957" s="9" t="str">
        <f t="shared" si="89"/>
        <v>Different</v>
      </c>
      <c r="N957" s="30" t="s">
        <v>1108</v>
      </c>
      <c r="O957" s="30" t="s">
        <v>1612</v>
      </c>
    </row>
    <row r="958" spans="1:15" ht="15" customHeight="1" x14ac:dyDescent="0.2">
      <c r="A958" s="9">
        <v>953</v>
      </c>
      <c r="B958" s="27">
        <f t="shared" si="84"/>
        <v>4655.5935515388373</v>
      </c>
      <c r="C958" s="27">
        <f t="shared" si="85"/>
        <v>18789.975574010747</v>
      </c>
      <c r="D958" s="28">
        <v>18.739999999999998</v>
      </c>
      <c r="E958" s="28">
        <v>18.739999999999998</v>
      </c>
      <c r="F958" s="9" t="str">
        <f t="shared" si="86"/>
        <v>Identical</v>
      </c>
      <c r="G958" s="27">
        <f t="shared" si="87"/>
        <v>4655.5935515388373</v>
      </c>
      <c r="H958" s="29" t="s">
        <v>1107</v>
      </c>
      <c r="I958" s="29" t="s">
        <v>1611</v>
      </c>
      <c r="J958" s="9" t="str">
        <f t="shared" si="88"/>
        <v>Above 5.00 A: now OL</v>
      </c>
      <c r="K958" s="9" t="s">
        <v>535</v>
      </c>
      <c r="L958" s="9" t="s">
        <v>539</v>
      </c>
      <c r="M958" s="9" t="str">
        <f t="shared" si="89"/>
        <v>Different</v>
      </c>
      <c r="N958" s="30" t="s">
        <v>1108</v>
      </c>
      <c r="O958" s="30" t="s">
        <v>1612</v>
      </c>
    </row>
    <row r="959" spans="1:15" ht="15" customHeight="1" x14ac:dyDescent="0.2">
      <c r="A959" s="9">
        <v>954</v>
      </c>
      <c r="B959" s="27">
        <f t="shared" si="84"/>
        <v>4660.4787493893509</v>
      </c>
      <c r="C959" s="27">
        <f t="shared" si="85"/>
        <v>18809.692232535417</v>
      </c>
      <c r="D959" s="28">
        <v>18.760000000000002</v>
      </c>
      <c r="E959" s="28">
        <v>18.760000000000002</v>
      </c>
      <c r="F959" s="9" t="str">
        <f t="shared" si="86"/>
        <v>Identical</v>
      </c>
      <c r="G959" s="27">
        <f t="shared" si="87"/>
        <v>4660.4787493893509</v>
      </c>
      <c r="H959" s="29" t="s">
        <v>1107</v>
      </c>
      <c r="I959" s="29" t="s">
        <v>1611</v>
      </c>
      <c r="J959" s="9" t="str">
        <f t="shared" si="88"/>
        <v>Above 5.00 A: now OL</v>
      </c>
      <c r="K959" s="9" t="s">
        <v>535</v>
      </c>
      <c r="L959" s="9" t="s">
        <v>539</v>
      </c>
      <c r="M959" s="9" t="str">
        <f t="shared" si="89"/>
        <v>Different</v>
      </c>
      <c r="N959" s="30" t="s">
        <v>1108</v>
      </c>
      <c r="O959" s="30" t="s">
        <v>1612</v>
      </c>
    </row>
    <row r="960" spans="1:15" ht="15" customHeight="1" x14ac:dyDescent="0.2">
      <c r="A960" s="9">
        <v>955</v>
      </c>
      <c r="B960" s="27">
        <f t="shared" si="84"/>
        <v>4665.3639472398636</v>
      </c>
      <c r="C960" s="27">
        <f t="shared" si="85"/>
        <v>18829.408891060088</v>
      </c>
      <c r="D960" s="28">
        <v>18.78</v>
      </c>
      <c r="E960" s="28">
        <v>18.78</v>
      </c>
      <c r="F960" s="9" t="str">
        <f t="shared" si="86"/>
        <v>Identical</v>
      </c>
      <c r="G960" s="27">
        <f t="shared" si="87"/>
        <v>4665.3639472398636</v>
      </c>
      <c r="H960" s="29" t="s">
        <v>1107</v>
      </c>
      <c r="I960" s="29" t="s">
        <v>1611</v>
      </c>
      <c r="J960" s="9" t="str">
        <f t="shared" si="88"/>
        <v>Above 5.00 A: now OL</v>
      </c>
      <c r="K960" s="9" t="s">
        <v>535</v>
      </c>
      <c r="L960" s="9" t="s">
        <v>539</v>
      </c>
      <c r="M960" s="9" t="str">
        <f t="shared" si="89"/>
        <v>Different</v>
      </c>
      <c r="N960" s="30" t="s">
        <v>1108</v>
      </c>
      <c r="O960" s="30" t="s">
        <v>1612</v>
      </c>
    </row>
    <row r="961" spans="1:15" ht="15" customHeight="1" x14ac:dyDescent="0.2">
      <c r="A961" s="9">
        <v>956</v>
      </c>
      <c r="B961" s="27">
        <f t="shared" si="84"/>
        <v>4670.2491450903763</v>
      </c>
      <c r="C961" s="27">
        <f t="shared" si="85"/>
        <v>18849.125549584758</v>
      </c>
      <c r="D961" s="28">
        <v>18.8</v>
      </c>
      <c r="E961" s="28">
        <v>18.8</v>
      </c>
      <c r="F961" s="9" t="str">
        <f t="shared" si="86"/>
        <v>Identical</v>
      </c>
      <c r="G961" s="27">
        <f t="shared" si="87"/>
        <v>4670.2491450903763</v>
      </c>
      <c r="H961" s="29" t="s">
        <v>1107</v>
      </c>
      <c r="I961" s="29" t="s">
        <v>1611</v>
      </c>
      <c r="J961" s="9" t="str">
        <f t="shared" si="88"/>
        <v>Above 5.00 A: now OL</v>
      </c>
      <c r="K961" s="9" t="s">
        <v>535</v>
      </c>
      <c r="L961" s="9" t="s">
        <v>539</v>
      </c>
      <c r="M961" s="9" t="str">
        <f t="shared" si="89"/>
        <v>Different</v>
      </c>
      <c r="N961" s="30" t="s">
        <v>1108</v>
      </c>
      <c r="O961" s="30" t="s">
        <v>1612</v>
      </c>
    </row>
    <row r="962" spans="1:15" ht="15" customHeight="1" x14ac:dyDescent="0.2">
      <c r="A962" s="9">
        <v>957</v>
      </c>
      <c r="B962" s="27">
        <f t="shared" si="84"/>
        <v>4675.1343429408898</v>
      </c>
      <c r="C962" s="27">
        <f t="shared" si="85"/>
        <v>18868.842208109429</v>
      </c>
      <c r="D962" s="28">
        <v>18.82</v>
      </c>
      <c r="E962" s="28">
        <v>18.82</v>
      </c>
      <c r="F962" s="9" t="str">
        <f t="shared" si="86"/>
        <v>Identical</v>
      </c>
      <c r="G962" s="27">
        <f t="shared" si="87"/>
        <v>4675.1343429408898</v>
      </c>
      <c r="H962" s="29" t="s">
        <v>1107</v>
      </c>
      <c r="I962" s="29" t="s">
        <v>1611</v>
      </c>
      <c r="J962" s="9" t="str">
        <f t="shared" si="88"/>
        <v>Above 5.00 A: now OL</v>
      </c>
      <c r="K962" s="9" t="s">
        <v>535</v>
      </c>
      <c r="L962" s="9" t="s">
        <v>539</v>
      </c>
      <c r="M962" s="9" t="str">
        <f t="shared" si="89"/>
        <v>Different</v>
      </c>
      <c r="N962" s="30" t="s">
        <v>1108</v>
      </c>
      <c r="O962" s="30" t="s">
        <v>1612</v>
      </c>
    </row>
    <row r="963" spans="1:15" ht="15" customHeight="1" x14ac:dyDescent="0.2">
      <c r="A963" s="9">
        <v>958</v>
      </c>
      <c r="B963" s="27">
        <f t="shared" si="84"/>
        <v>4680.0195407914025</v>
      </c>
      <c r="C963" s="27">
        <f t="shared" si="85"/>
        <v>18888.558866634099</v>
      </c>
      <c r="D963" s="28">
        <v>18.84</v>
      </c>
      <c r="E963" s="28">
        <v>18.84</v>
      </c>
      <c r="F963" s="9" t="str">
        <f t="shared" si="86"/>
        <v>Identical</v>
      </c>
      <c r="G963" s="27">
        <f t="shared" si="87"/>
        <v>4680.0195407914025</v>
      </c>
      <c r="H963" s="29" t="s">
        <v>1107</v>
      </c>
      <c r="I963" s="29" t="s">
        <v>1611</v>
      </c>
      <c r="J963" s="9" t="str">
        <f t="shared" si="88"/>
        <v>Above 5.00 A: now OL</v>
      </c>
      <c r="K963" s="9" t="s">
        <v>535</v>
      </c>
      <c r="L963" s="9" t="s">
        <v>539</v>
      </c>
      <c r="M963" s="9" t="str">
        <f t="shared" si="89"/>
        <v>Different</v>
      </c>
      <c r="N963" s="30" t="s">
        <v>1108</v>
      </c>
      <c r="O963" s="30" t="s">
        <v>1612</v>
      </c>
    </row>
    <row r="964" spans="1:15" ht="15" customHeight="1" x14ac:dyDescent="0.2">
      <c r="A964" s="9">
        <v>959</v>
      </c>
      <c r="B964" s="27">
        <f t="shared" si="84"/>
        <v>4684.9047386419152</v>
      </c>
      <c r="C964" s="27">
        <f t="shared" si="85"/>
        <v>18908.275525158766</v>
      </c>
      <c r="D964" s="28">
        <v>18.86</v>
      </c>
      <c r="E964" s="28">
        <v>18.86</v>
      </c>
      <c r="F964" s="9" t="str">
        <f t="shared" si="86"/>
        <v>Identical</v>
      </c>
      <c r="G964" s="27">
        <f t="shared" si="87"/>
        <v>4684.9047386419152</v>
      </c>
      <c r="H964" s="29" t="s">
        <v>1107</v>
      </c>
      <c r="I964" s="29" t="s">
        <v>1611</v>
      </c>
      <c r="J964" s="9" t="str">
        <f t="shared" si="88"/>
        <v>Above 5.00 A: now OL</v>
      </c>
      <c r="K964" s="9" t="s">
        <v>535</v>
      </c>
      <c r="L964" s="9" t="s">
        <v>539</v>
      </c>
      <c r="M964" s="9" t="str">
        <f t="shared" si="89"/>
        <v>Different</v>
      </c>
      <c r="N964" s="30" t="s">
        <v>1108</v>
      </c>
      <c r="O964" s="30" t="s">
        <v>1612</v>
      </c>
    </row>
    <row r="965" spans="1:15" ht="15" customHeight="1" x14ac:dyDescent="0.2">
      <c r="A965" s="9">
        <v>960</v>
      </c>
      <c r="B965" s="27">
        <f t="shared" ref="B965:B1028" si="90">A965/$C$3*1000</f>
        <v>4689.7899364924278</v>
      </c>
      <c r="C965" s="27">
        <f t="shared" ref="C965:C1028" si="91">B965*$F$3</f>
        <v>18927.992183683436</v>
      </c>
      <c r="D965" s="28">
        <v>18.88</v>
      </c>
      <c r="E965" s="28">
        <v>18.88</v>
      </c>
      <c r="F965" s="9" t="str">
        <f t="shared" ref="F965:F1028" si="92">IF(D965=E965,"Identical",IF(E965="OL","ADC full scale: now OL",IF(ABS(E965-D965)&lt;0.0105,"Within 10 mV (calibration line)",IF(AND(C965&lt;4200,ABS(E965-D965)&lt;0.0205),"-20 mV (end of old +30 mV band)",IF(C965&lt;830,"Low range fixed (F-02)","Different")))))</f>
        <v>Identical</v>
      </c>
      <c r="G965" s="27">
        <f t="shared" ref="G965:G1028" si="93">B965</f>
        <v>4689.7899364924278</v>
      </c>
      <c r="H965" s="29" t="s">
        <v>1107</v>
      </c>
      <c r="I965" s="29" t="s">
        <v>1611</v>
      </c>
      <c r="J965" s="9" t="str">
        <f t="shared" ref="J965:J1028" si="94">IF(H965=I965,"Identical",IF(I965="OL","Above 5.00 A: now OL",IF(H965="ERR (999.23)","Gap bug fixed",IF(ABS(I965-H965-0.01)&lt;0.0001,"+0.01 A (nearest step)","Different"))))</f>
        <v>Above 5.00 A: now OL</v>
      </c>
      <c r="K965" s="9" t="s">
        <v>535</v>
      </c>
      <c r="L965" s="9" t="s">
        <v>539</v>
      </c>
      <c r="M965" s="9" t="str">
        <f t="shared" ref="M965:M1028" si="95">IF(K965=L965,"Same","Different")</f>
        <v>Different</v>
      </c>
      <c r="N965" s="30" t="s">
        <v>1108</v>
      </c>
      <c r="O965" s="30" t="s">
        <v>1612</v>
      </c>
    </row>
    <row r="966" spans="1:15" ht="15" customHeight="1" x14ac:dyDescent="0.2">
      <c r="A966" s="9">
        <v>961</v>
      </c>
      <c r="B966" s="27">
        <f t="shared" si="90"/>
        <v>4694.6751343429414</v>
      </c>
      <c r="C966" s="27">
        <f t="shared" si="91"/>
        <v>18947.708842208111</v>
      </c>
      <c r="D966" s="28">
        <v>18.899999999999999</v>
      </c>
      <c r="E966" s="28">
        <v>18.899999999999999</v>
      </c>
      <c r="F966" s="9" t="str">
        <f t="shared" si="92"/>
        <v>Identical</v>
      </c>
      <c r="G966" s="27">
        <f t="shared" si="93"/>
        <v>4694.6751343429414</v>
      </c>
      <c r="H966" s="29" t="s">
        <v>1107</v>
      </c>
      <c r="I966" s="29" t="s">
        <v>1611</v>
      </c>
      <c r="J966" s="9" t="str">
        <f t="shared" si="94"/>
        <v>Above 5.00 A: now OL</v>
      </c>
      <c r="K966" s="9" t="s">
        <v>535</v>
      </c>
      <c r="L966" s="9" t="s">
        <v>539</v>
      </c>
      <c r="M966" s="9" t="str">
        <f t="shared" si="95"/>
        <v>Different</v>
      </c>
      <c r="N966" s="30" t="s">
        <v>1108</v>
      </c>
      <c r="O966" s="30" t="s">
        <v>1612</v>
      </c>
    </row>
    <row r="967" spans="1:15" ht="15" customHeight="1" x14ac:dyDescent="0.2">
      <c r="A967" s="9">
        <v>962</v>
      </c>
      <c r="B967" s="27">
        <f t="shared" si="90"/>
        <v>4699.5603321934541</v>
      </c>
      <c r="C967" s="27">
        <f t="shared" si="91"/>
        <v>18967.425500732777</v>
      </c>
      <c r="D967" s="28">
        <v>18.920000000000002</v>
      </c>
      <c r="E967" s="28">
        <v>18.920000000000002</v>
      </c>
      <c r="F967" s="9" t="str">
        <f t="shared" si="92"/>
        <v>Identical</v>
      </c>
      <c r="G967" s="27">
        <f t="shared" si="93"/>
        <v>4699.5603321934541</v>
      </c>
      <c r="H967" s="29" t="s">
        <v>1107</v>
      </c>
      <c r="I967" s="29" t="s">
        <v>1611</v>
      </c>
      <c r="J967" s="9" t="str">
        <f t="shared" si="94"/>
        <v>Above 5.00 A: now OL</v>
      </c>
      <c r="K967" s="9" t="s">
        <v>535</v>
      </c>
      <c r="L967" s="9" t="s">
        <v>539</v>
      </c>
      <c r="M967" s="9" t="str">
        <f t="shared" si="95"/>
        <v>Different</v>
      </c>
      <c r="N967" s="30" t="s">
        <v>1108</v>
      </c>
      <c r="O967" s="30" t="s">
        <v>1612</v>
      </c>
    </row>
    <row r="968" spans="1:15" ht="15" customHeight="1" x14ac:dyDescent="0.2">
      <c r="A968" s="9">
        <v>963</v>
      </c>
      <c r="B968" s="27">
        <f t="shared" si="90"/>
        <v>4704.4455300439668</v>
      </c>
      <c r="C968" s="27">
        <f t="shared" si="91"/>
        <v>18987.142159257448</v>
      </c>
      <c r="D968" s="28">
        <v>18.940000000000001</v>
      </c>
      <c r="E968" s="28">
        <v>18.940000000000001</v>
      </c>
      <c r="F968" s="9" t="str">
        <f t="shared" si="92"/>
        <v>Identical</v>
      </c>
      <c r="G968" s="27">
        <f t="shared" si="93"/>
        <v>4704.4455300439668</v>
      </c>
      <c r="H968" s="29" t="s">
        <v>1107</v>
      </c>
      <c r="I968" s="29" t="s">
        <v>1611</v>
      </c>
      <c r="J968" s="9" t="str">
        <f t="shared" si="94"/>
        <v>Above 5.00 A: now OL</v>
      </c>
      <c r="K968" s="9" t="s">
        <v>535</v>
      </c>
      <c r="L968" s="9" t="s">
        <v>539</v>
      </c>
      <c r="M968" s="9" t="str">
        <f t="shared" si="95"/>
        <v>Different</v>
      </c>
      <c r="N968" s="30" t="s">
        <v>1108</v>
      </c>
      <c r="O968" s="30" t="s">
        <v>1612</v>
      </c>
    </row>
    <row r="969" spans="1:15" ht="15" customHeight="1" x14ac:dyDescent="0.2">
      <c r="A969" s="9">
        <v>964</v>
      </c>
      <c r="B969" s="27">
        <f t="shared" si="90"/>
        <v>4709.3307278944803</v>
      </c>
      <c r="C969" s="27">
        <f t="shared" si="91"/>
        <v>19006.858817782122</v>
      </c>
      <c r="D969" s="28">
        <v>18.96</v>
      </c>
      <c r="E969" s="28">
        <v>18.96</v>
      </c>
      <c r="F969" s="9" t="str">
        <f t="shared" si="92"/>
        <v>Identical</v>
      </c>
      <c r="G969" s="27">
        <f t="shared" si="93"/>
        <v>4709.3307278944803</v>
      </c>
      <c r="H969" s="29" t="s">
        <v>1107</v>
      </c>
      <c r="I969" s="29" t="s">
        <v>1611</v>
      </c>
      <c r="J969" s="9" t="str">
        <f t="shared" si="94"/>
        <v>Above 5.00 A: now OL</v>
      </c>
      <c r="K969" s="9" t="s">
        <v>535</v>
      </c>
      <c r="L969" s="9" t="s">
        <v>539</v>
      </c>
      <c r="M969" s="9" t="str">
        <f t="shared" si="95"/>
        <v>Different</v>
      </c>
      <c r="N969" s="30" t="s">
        <v>1108</v>
      </c>
      <c r="O969" s="30" t="s">
        <v>1612</v>
      </c>
    </row>
    <row r="970" spans="1:15" ht="15" customHeight="1" x14ac:dyDescent="0.2">
      <c r="A970" s="9">
        <v>965</v>
      </c>
      <c r="B970" s="27">
        <f t="shared" si="90"/>
        <v>4714.215925744993</v>
      </c>
      <c r="C970" s="27">
        <f t="shared" si="91"/>
        <v>19026.575476306789</v>
      </c>
      <c r="D970" s="28">
        <v>18.98</v>
      </c>
      <c r="E970" s="28">
        <v>18.98</v>
      </c>
      <c r="F970" s="9" t="str">
        <f t="shared" si="92"/>
        <v>Identical</v>
      </c>
      <c r="G970" s="27">
        <f t="shared" si="93"/>
        <v>4714.215925744993</v>
      </c>
      <c r="H970" s="29" t="s">
        <v>1107</v>
      </c>
      <c r="I970" s="29" t="s">
        <v>1611</v>
      </c>
      <c r="J970" s="9" t="str">
        <f t="shared" si="94"/>
        <v>Above 5.00 A: now OL</v>
      </c>
      <c r="K970" s="9" t="s">
        <v>535</v>
      </c>
      <c r="L970" s="9" t="s">
        <v>539</v>
      </c>
      <c r="M970" s="9" t="str">
        <f t="shared" si="95"/>
        <v>Different</v>
      </c>
      <c r="N970" s="30" t="s">
        <v>1108</v>
      </c>
      <c r="O970" s="30" t="s">
        <v>1612</v>
      </c>
    </row>
    <row r="971" spans="1:15" ht="15" customHeight="1" x14ac:dyDescent="0.2">
      <c r="A971" s="9">
        <v>966</v>
      </c>
      <c r="B971" s="27">
        <f t="shared" si="90"/>
        <v>4719.1011235955057</v>
      </c>
      <c r="C971" s="27">
        <f t="shared" si="91"/>
        <v>19046.292134831459</v>
      </c>
      <c r="D971" s="28">
        <v>19</v>
      </c>
      <c r="E971" s="28">
        <v>19</v>
      </c>
      <c r="F971" s="9" t="str">
        <f t="shared" si="92"/>
        <v>Identical</v>
      </c>
      <c r="G971" s="27">
        <f t="shared" si="93"/>
        <v>4719.1011235955057</v>
      </c>
      <c r="H971" s="29" t="s">
        <v>1107</v>
      </c>
      <c r="I971" s="29" t="s">
        <v>1611</v>
      </c>
      <c r="J971" s="9" t="str">
        <f t="shared" si="94"/>
        <v>Above 5.00 A: now OL</v>
      </c>
      <c r="K971" s="9" t="s">
        <v>535</v>
      </c>
      <c r="L971" s="9" t="s">
        <v>539</v>
      </c>
      <c r="M971" s="9" t="str">
        <f t="shared" si="95"/>
        <v>Different</v>
      </c>
      <c r="N971" s="30" t="s">
        <v>1108</v>
      </c>
      <c r="O971" s="30" t="s">
        <v>1612</v>
      </c>
    </row>
    <row r="972" spans="1:15" ht="15" customHeight="1" x14ac:dyDescent="0.2">
      <c r="A972" s="9">
        <v>967</v>
      </c>
      <c r="B972" s="27">
        <f t="shared" si="90"/>
        <v>4723.9863214460192</v>
      </c>
      <c r="C972" s="27">
        <f t="shared" si="91"/>
        <v>19066.008793356134</v>
      </c>
      <c r="D972" s="28">
        <v>19.02</v>
      </c>
      <c r="E972" s="28">
        <v>19.02</v>
      </c>
      <c r="F972" s="9" t="str">
        <f t="shared" si="92"/>
        <v>Identical</v>
      </c>
      <c r="G972" s="27">
        <f t="shared" si="93"/>
        <v>4723.9863214460192</v>
      </c>
      <c r="H972" s="29" t="s">
        <v>1107</v>
      </c>
      <c r="I972" s="29" t="s">
        <v>1611</v>
      </c>
      <c r="J972" s="9" t="str">
        <f t="shared" si="94"/>
        <v>Above 5.00 A: now OL</v>
      </c>
      <c r="K972" s="9" t="s">
        <v>535</v>
      </c>
      <c r="L972" s="9" t="s">
        <v>539</v>
      </c>
      <c r="M972" s="9" t="str">
        <f t="shared" si="95"/>
        <v>Different</v>
      </c>
      <c r="N972" s="30" t="s">
        <v>1108</v>
      </c>
      <c r="O972" s="30" t="s">
        <v>1612</v>
      </c>
    </row>
    <row r="973" spans="1:15" ht="15" customHeight="1" x14ac:dyDescent="0.2">
      <c r="A973" s="9">
        <v>968</v>
      </c>
      <c r="B973" s="27">
        <f t="shared" si="90"/>
        <v>4728.8715192965319</v>
      </c>
      <c r="C973" s="27">
        <f t="shared" si="91"/>
        <v>19085.7254518808</v>
      </c>
      <c r="D973" s="28">
        <v>19.04</v>
      </c>
      <c r="E973" s="28">
        <v>19.04</v>
      </c>
      <c r="F973" s="9" t="str">
        <f t="shared" si="92"/>
        <v>Identical</v>
      </c>
      <c r="G973" s="27">
        <f t="shared" si="93"/>
        <v>4728.8715192965319</v>
      </c>
      <c r="H973" s="29" t="s">
        <v>1107</v>
      </c>
      <c r="I973" s="29" t="s">
        <v>1611</v>
      </c>
      <c r="J973" s="9" t="str">
        <f t="shared" si="94"/>
        <v>Above 5.00 A: now OL</v>
      </c>
      <c r="K973" s="9" t="s">
        <v>535</v>
      </c>
      <c r="L973" s="9" t="s">
        <v>539</v>
      </c>
      <c r="M973" s="9" t="str">
        <f t="shared" si="95"/>
        <v>Different</v>
      </c>
      <c r="N973" s="30" t="s">
        <v>1108</v>
      </c>
      <c r="O973" s="30" t="s">
        <v>1612</v>
      </c>
    </row>
    <row r="974" spans="1:15" ht="15" customHeight="1" x14ac:dyDescent="0.2">
      <c r="A974" s="9">
        <v>969</v>
      </c>
      <c r="B974" s="27">
        <f t="shared" si="90"/>
        <v>4733.7567171470446</v>
      </c>
      <c r="C974" s="27">
        <f t="shared" si="91"/>
        <v>19105.442110405471</v>
      </c>
      <c r="D974" s="28">
        <v>19.059999999999999</v>
      </c>
      <c r="E974" s="28">
        <v>19.059999999999999</v>
      </c>
      <c r="F974" s="9" t="str">
        <f t="shared" si="92"/>
        <v>Identical</v>
      </c>
      <c r="G974" s="27">
        <f t="shared" si="93"/>
        <v>4733.7567171470446</v>
      </c>
      <c r="H974" s="29" t="s">
        <v>1107</v>
      </c>
      <c r="I974" s="29" t="s">
        <v>1611</v>
      </c>
      <c r="J974" s="9" t="str">
        <f t="shared" si="94"/>
        <v>Above 5.00 A: now OL</v>
      </c>
      <c r="K974" s="9" t="s">
        <v>535</v>
      </c>
      <c r="L974" s="9" t="s">
        <v>539</v>
      </c>
      <c r="M974" s="9" t="str">
        <f t="shared" si="95"/>
        <v>Different</v>
      </c>
      <c r="N974" s="30" t="s">
        <v>1108</v>
      </c>
      <c r="O974" s="30" t="s">
        <v>1612</v>
      </c>
    </row>
    <row r="975" spans="1:15" ht="15" customHeight="1" x14ac:dyDescent="0.2">
      <c r="A975" s="9">
        <v>970</v>
      </c>
      <c r="B975" s="27">
        <f t="shared" si="90"/>
        <v>4738.6419149975582</v>
      </c>
      <c r="C975" s="27">
        <f t="shared" si="91"/>
        <v>19125.158768930141</v>
      </c>
      <c r="D975" s="28">
        <v>19.079999999999998</v>
      </c>
      <c r="E975" s="28">
        <v>19.079999999999998</v>
      </c>
      <c r="F975" s="9" t="str">
        <f t="shared" si="92"/>
        <v>Identical</v>
      </c>
      <c r="G975" s="27">
        <f t="shared" si="93"/>
        <v>4738.6419149975582</v>
      </c>
      <c r="H975" s="29" t="s">
        <v>1107</v>
      </c>
      <c r="I975" s="29" t="s">
        <v>1611</v>
      </c>
      <c r="J975" s="9" t="str">
        <f t="shared" si="94"/>
        <v>Above 5.00 A: now OL</v>
      </c>
      <c r="K975" s="9" t="s">
        <v>535</v>
      </c>
      <c r="L975" s="9" t="s">
        <v>539</v>
      </c>
      <c r="M975" s="9" t="str">
        <f t="shared" si="95"/>
        <v>Different</v>
      </c>
      <c r="N975" s="30" t="s">
        <v>1108</v>
      </c>
      <c r="O975" s="30" t="s">
        <v>1612</v>
      </c>
    </row>
    <row r="976" spans="1:15" ht="15" customHeight="1" x14ac:dyDescent="0.2">
      <c r="A976" s="9">
        <v>971</v>
      </c>
      <c r="B976" s="27">
        <f t="shared" si="90"/>
        <v>4743.5271128480708</v>
      </c>
      <c r="C976" s="27">
        <f t="shared" si="91"/>
        <v>19144.875427454812</v>
      </c>
      <c r="D976" s="28">
        <v>19.100000000000001</v>
      </c>
      <c r="E976" s="28">
        <v>19.100000000000001</v>
      </c>
      <c r="F976" s="9" t="str">
        <f t="shared" si="92"/>
        <v>Identical</v>
      </c>
      <c r="G976" s="27">
        <f t="shared" si="93"/>
        <v>4743.5271128480708</v>
      </c>
      <c r="H976" s="29" t="s">
        <v>1107</v>
      </c>
      <c r="I976" s="29" t="s">
        <v>1611</v>
      </c>
      <c r="J976" s="9" t="str">
        <f t="shared" si="94"/>
        <v>Above 5.00 A: now OL</v>
      </c>
      <c r="K976" s="9" t="s">
        <v>535</v>
      </c>
      <c r="L976" s="9" t="s">
        <v>539</v>
      </c>
      <c r="M976" s="9" t="str">
        <f t="shared" si="95"/>
        <v>Different</v>
      </c>
      <c r="N976" s="30" t="s">
        <v>1108</v>
      </c>
      <c r="O976" s="30" t="s">
        <v>1612</v>
      </c>
    </row>
    <row r="977" spans="1:15" ht="15" customHeight="1" x14ac:dyDescent="0.2">
      <c r="A977" s="9">
        <v>972</v>
      </c>
      <c r="B977" s="27">
        <f t="shared" si="90"/>
        <v>4748.4123106985835</v>
      </c>
      <c r="C977" s="27">
        <f t="shared" si="91"/>
        <v>19164.592085979482</v>
      </c>
      <c r="D977" s="28">
        <v>19.12</v>
      </c>
      <c r="E977" s="28">
        <v>19.11</v>
      </c>
      <c r="F977" s="9" t="str">
        <f t="shared" si="92"/>
        <v>Within 10 mV (calibration line)</v>
      </c>
      <c r="G977" s="27">
        <f t="shared" si="93"/>
        <v>4748.4123106985835</v>
      </c>
      <c r="H977" s="29" t="s">
        <v>1107</v>
      </c>
      <c r="I977" s="29" t="s">
        <v>1611</v>
      </c>
      <c r="J977" s="9" t="str">
        <f t="shared" si="94"/>
        <v>Above 5.00 A: now OL</v>
      </c>
      <c r="K977" s="9" t="s">
        <v>535</v>
      </c>
      <c r="L977" s="9" t="s">
        <v>539</v>
      </c>
      <c r="M977" s="9" t="str">
        <f t="shared" si="95"/>
        <v>Different</v>
      </c>
      <c r="N977" s="30" t="s">
        <v>1108</v>
      </c>
      <c r="O977" s="30" t="s">
        <v>1612</v>
      </c>
    </row>
    <row r="978" spans="1:15" ht="15" customHeight="1" x14ac:dyDescent="0.2">
      <c r="A978" s="9">
        <v>973</v>
      </c>
      <c r="B978" s="27">
        <f t="shared" si="90"/>
        <v>4753.2975085490971</v>
      </c>
      <c r="C978" s="27">
        <f t="shared" si="91"/>
        <v>19184.308744504153</v>
      </c>
      <c r="D978" s="28">
        <v>19.14</v>
      </c>
      <c r="E978" s="28">
        <v>19.13</v>
      </c>
      <c r="F978" s="9" t="str">
        <f t="shared" si="92"/>
        <v>Within 10 mV (calibration line)</v>
      </c>
      <c r="G978" s="27">
        <f t="shared" si="93"/>
        <v>4753.2975085490971</v>
      </c>
      <c r="H978" s="29" t="s">
        <v>1107</v>
      </c>
      <c r="I978" s="29" t="s">
        <v>1611</v>
      </c>
      <c r="J978" s="9" t="str">
        <f t="shared" si="94"/>
        <v>Above 5.00 A: now OL</v>
      </c>
      <c r="K978" s="9" t="s">
        <v>535</v>
      </c>
      <c r="L978" s="9" t="s">
        <v>539</v>
      </c>
      <c r="M978" s="9" t="str">
        <f t="shared" si="95"/>
        <v>Different</v>
      </c>
      <c r="N978" s="30" t="s">
        <v>1108</v>
      </c>
      <c r="O978" s="30" t="s">
        <v>1612</v>
      </c>
    </row>
    <row r="979" spans="1:15" ht="15" customHeight="1" x14ac:dyDescent="0.2">
      <c r="A979" s="9">
        <v>974</v>
      </c>
      <c r="B979" s="27">
        <f t="shared" si="90"/>
        <v>4758.1827063996097</v>
      </c>
      <c r="C979" s="27">
        <f t="shared" si="91"/>
        <v>19204.025403028823</v>
      </c>
      <c r="D979" s="28">
        <v>19.16</v>
      </c>
      <c r="E979" s="28">
        <v>19.149999999999999</v>
      </c>
      <c r="F979" s="9" t="str">
        <f t="shared" si="92"/>
        <v>Within 10 mV (calibration line)</v>
      </c>
      <c r="G979" s="27">
        <f t="shared" si="93"/>
        <v>4758.1827063996097</v>
      </c>
      <c r="H979" s="29" t="s">
        <v>1107</v>
      </c>
      <c r="I979" s="29" t="s">
        <v>1611</v>
      </c>
      <c r="J979" s="9" t="str">
        <f t="shared" si="94"/>
        <v>Above 5.00 A: now OL</v>
      </c>
      <c r="K979" s="9" t="s">
        <v>535</v>
      </c>
      <c r="L979" s="9" t="s">
        <v>539</v>
      </c>
      <c r="M979" s="9" t="str">
        <f t="shared" si="95"/>
        <v>Different</v>
      </c>
      <c r="N979" s="30" t="s">
        <v>1108</v>
      </c>
      <c r="O979" s="30" t="s">
        <v>1612</v>
      </c>
    </row>
    <row r="980" spans="1:15" ht="15" customHeight="1" x14ac:dyDescent="0.2">
      <c r="A980" s="9">
        <v>975</v>
      </c>
      <c r="B980" s="27">
        <f t="shared" si="90"/>
        <v>4763.0679042501224</v>
      </c>
      <c r="C980" s="27">
        <f t="shared" si="91"/>
        <v>19223.742061553494</v>
      </c>
      <c r="D980" s="28">
        <v>19.18</v>
      </c>
      <c r="E980" s="28">
        <v>19.170000000000002</v>
      </c>
      <c r="F980" s="9" t="str">
        <f t="shared" si="92"/>
        <v>Within 10 mV (calibration line)</v>
      </c>
      <c r="G980" s="27">
        <f t="shared" si="93"/>
        <v>4763.0679042501224</v>
      </c>
      <c r="H980" s="29" t="s">
        <v>1107</v>
      </c>
      <c r="I980" s="29" t="s">
        <v>1611</v>
      </c>
      <c r="J980" s="9" t="str">
        <f t="shared" si="94"/>
        <v>Above 5.00 A: now OL</v>
      </c>
      <c r="K980" s="9" t="s">
        <v>535</v>
      </c>
      <c r="L980" s="9" t="s">
        <v>539</v>
      </c>
      <c r="M980" s="9" t="str">
        <f t="shared" si="95"/>
        <v>Different</v>
      </c>
      <c r="N980" s="30" t="s">
        <v>1108</v>
      </c>
      <c r="O980" s="30" t="s">
        <v>1612</v>
      </c>
    </row>
    <row r="981" spans="1:15" ht="15" customHeight="1" x14ac:dyDescent="0.2">
      <c r="A981" s="9">
        <v>976</v>
      </c>
      <c r="B981" s="27">
        <f t="shared" si="90"/>
        <v>4767.9531021006351</v>
      </c>
      <c r="C981" s="27">
        <f t="shared" si="91"/>
        <v>19243.458720078161</v>
      </c>
      <c r="D981" s="28">
        <v>19.2</v>
      </c>
      <c r="E981" s="28">
        <v>19.190000000000001</v>
      </c>
      <c r="F981" s="9" t="str">
        <f t="shared" si="92"/>
        <v>Within 10 mV (calibration line)</v>
      </c>
      <c r="G981" s="27">
        <f t="shared" si="93"/>
        <v>4767.9531021006351</v>
      </c>
      <c r="H981" s="29" t="s">
        <v>1107</v>
      </c>
      <c r="I981" s="29" t="s">
        <v>1611</v>
      </c>
      <c r="J981" s="9" t="str">
        <f t="shared" si="94"/>
        <v>Above 5.00 A: now OL</v>
      </c>
      <c r="K981" s="9" t="s">
        <v>535</v>
      </c>
      <c r="L981" s="9" t="s">
        <v>539</v>
      </c>
      <c r="M981" s="9" t="str">
        <f t="shared" si="95"/>
        <v>Different</v>
      </c>
      <c r="N981" s="30" t="s">
        <v>1108</v>
      </c>
      <c r="O981" s="30" t="s">
        <v>1612</v>
      </c>
    </row>
    <row r="982" spans="1:15" ht="15" customHeight="1" x14ac:dyDescent="0.2">
      <c r="A982" s="9">
        <v>977</v>
      </c>
      <c r="B982" s="27">
        <f t="shared" si="90"/>
        <v>4772.8382999511487</v>
      </c>
      <c r="C982" s="27">
        <f t="shared" si="91"/>
        <v>19263.175378602835</v>
      </c>
      <c r="D982" s="28">
        <v>19.22</v>
      </c>
      <c r="E982" s="28">
        <v>19.21</v>
      </c>
      <c r="F982" s="9" t="str">
        <f t="shared" si="92"/>
        <v>Within 10 mV (calibration line)</v>
      </c>
      <c r="G982" s="27">
        <f t="shared" si="93"/>
        <v>4772.8382999511487</v>
      </c>
      <c r="H982" s="29" t="s">
        <v>1107</v>
      </c>
      <c r="I982" s="29" t="s">
        <v>1611</v>
      </c>
      <c r="J982" s="9" t="str">
        <f t="shared" si="94"/>
        <v>Above 5.00 A: now OL</v>
      </c>
      <c r="K982" s="9" t="s">
        <v>535</v>
      </c>
      <c r="L982" s="9" t="s">
        <v>539</v>
      </c>
      <c r="M982" s="9" t="str">
        <f t="shared" si="95"/>
        <v>Different</v>
      </c>
      <c r="N982" s="30" t="s">
        <v>1108</v>
      </c>
      <c r="O982" s="30" t="s">
        <v>1612</v>
      </c>
    </row>
    <row r="983" spans="1:15" ht="15" customHeight="1" x14ac:dyDescent="0.2">
      <c r="A983" s="9">
        <v>978</v>
      </c>
      <c r="B983" s="27">
        <f t="shared" si="90"/>
        <v>4777.7234978016613</v>
      </c>
      <c r="C983" s="27">
        <f t="shared" si="91"/>
        <v>19282.892037127502</v>
      </c>
      <c r="D983" s="28">
        <v>19.239999999999998</v>
      </c>
      <c r="E983" s="28">
        <v>19.23</v>
      </c>
      <c r="F983" s="9" t="str">
        <f t="shared" si="92"/>
        <v>Within 10 mV (calibration line)</v>
      </c>
      <c r="G983" s="27">
        <f t="shared" si="93"/>
        <v>4777.7234978016613</v>
      </c>
      <c r="H983" s="29" t="s">
        <v>1107</v>
      </c>
      <c r="I983" s="29" t="s">
        <v>1611</v>
      </c>
      <c r="J983" s="9" t="str">
        <f t="shared" si="94"/>
        <v>Above 5.00 A: now OL</v>
      </c>
      <c r="K983" s="9" t="s">
        <v>535</v>
      </c>
      <c r="L983" s="9" t="s">
        <v>539</v>
      </c>
      <c r="M983" s="9" t="str">
        <f t="shared" si="95"/>
        <v>Different</v>
      </c>
      <c r="N983" s="30" t="s">
        <v>1108</v>
      </c>
      <c r="O983" s="30" t="s">
        <v>1612</v>
      </c>
    </row>
    <row r="984" spans="1:15" ht="15" customHeight="1" x14ac:dyDescent="0.2">
      <c r="A984" s="9">
        <v>979</v>
      </c>
      <c r="B984" s="27">
        <f t="shared" si="90"/>
        <v>4782.608695652174</v>
      </c>
      <c r="C984" s="27">
        <f t="shared" si="91"/>
        <v>19302.608695652172</v>
      </c>
      <c r="D984" s="28">
        <v>19.260000000000002</v>
      </c>
      <c r="E984" s="28">
        <v>19.25</v>
      </c>
      <c r="F984" s="9" t="str">
        <f t="shared" si="92"/>
        <v>Within 10 mV (calibration line)</v>
      </c>
      <c r="G984" s="27">
        <f t="shared" si="93"/>
        <v>4782.608695652174</v>
      </c>
      <c r="H984" s="29" t="s">
        <v>1107</v>
      </c>
      <c r="I984" s="29" t="s">
        <v>1611</v>
      </c>
      <c r="J984" s="9" t="str">
        <f t="shared" si="94"/>
        <v>Above 5.00 A: now OL</v>
      </c>
      <c r="K984" s="9" t="s">
        <v>535</v>
      </c>
      <c r="L984" s="9" t="s">
        <v>539</v>
      </c>
      <c r="M984" s="9" t="str">
        <f t="shared" si="95"/>
        <v>Different</v>
      </c>
      <c r="N984" s="30" t="s">
        <v>1108</v>
      </c>
      <c r="O984" s="30" t="s">
        <v>1612</v>
      </c>
    </row>
    <row r="985" spans="1:15" ht="15" customHeight="1" x14ac:dyDescent="0.2">
      <c r="A985" s="9">
        <v>980</v>
      </c>
      <c r="B985" s="27">
        <f t="shared" si="90"/>
        <v>4787.4938935026876</v>
      </c>
      <c r="C985" s="27">
        <f t="shared" si="91"/>
        <v>19322.325354176846</v>
      </c>
      <c r="D985" s="28">
        <v>19.28</v>
      </c>
      <c r="E985" s="28">
        <v>19.27</v>
      </c>
      <c r="F985" s="9" t="str">
        <f t="shared" si="92"/>
        <v>Within 10 mV (calibration line)</v>
      </c>
      <c r="G985" s="27">
        <f t="shared" si="93"/>
        <v>4787.4938935026876</v>
      </c>
      <c r="H985" s="29" t="s">
        <v>1107</v>
      </c>
      <c r="I985" s="29" t="s">
        <v>1611</v>
      </c>
      <c r="J985" s="9" t="str">
        <f t="shared" si="94"/>
        <v>Above 5.00 A: now OL</v>
      </c>
      <c r="K985" s="9" t="s">
        <v>535</v>
      </c>
      <c r="L985" s="9" t="s">
        <v>539</v>
      </c>
      <c r="M985" s="9" t="str">
        <f t="shared" si="95"/>
        <v>Different</v>
      </c>
      <c r="N985" s="30" t="s">
        <v>1108</v>
      </c>
      <c r="O985" s="30" t="s">
        <v>1612</v>
      </c>
    </row>
    <row r="986" spans="1:15" ht="15" customHeight="1" x14ac:dyDescent="0.2">
      <c r="A986" s="9">
        <v>981</v>
      </c>
      <c r="B986" s="27">
        <f t="shared" si="90"/>
        <v>4792.3790913532002</v>
      </c>
      <c r="C986" s="27">
        <f t="shared" si="91"/>
        <v>19342.042012701513</v>
      </c>
      <c r="D986" s="28">
        <v>19.3</v>
      </c>
      <c r="E986" s="28">
        <v>19.29</v>
      </c>
      <c r="F986" s="9" t="str">
        <f t="shared" si="92"/>
        <v>Within 10 mV (calibration line)</v>
      </c>
      <c r="G986" s="27">
        <f t="shared" si="93"/>
        <v>4792.3790913532002</v>
      </c>
      <c r="H986" s="29" t="s">
        <v>1107</v>
      </c>
      <c r="I986" s="29" t="s">
        <v>1611</v>
      </c>
      <c r="J986" s="9" t="str">
        <f t="shared" si="94"/>
        <v>Above 5.00 A: now OL</v>
      </c>
      <c r="K986" s="9" t="s">
        <v>535</v>
      </c>
      <c r="L986" s="9" t="s">
        <v>539</v>
      </c>
      <c r="M986" s="9" t="str">
        <f t="shared" si="95"/>
        <v>Different</v>
      </c>
      <c r="N986" s="30" t="s">
        <v>1108</v>
      </c>
      <c r="O986" s="30" t="s">
        <v>1612</v>
      </c>
    </row>
    <row r="987" spans="1:15" ht="15" customHeight="1" x14ac:dyDescent="0.2">
      <c r="A987" s="9">
        <v>982</v>
      </c>
      <c r="B987" s="27">
        <f t="shared" si="90"/>
        <v>4797.2642892037129</v>
      </c>
      <c r="C987" s="27">
        <f t="shared" si="91"/>
        <v>19361.758671226184</v>
      </c>
      <c r="D987" s="28">
        <v>19.32</v>
      </c>
      <c r="E987" s="28">
        <v>19.309999999999999</v>
      </c>
      <c r="F987" s="9" t="str">
        <f t="shared" si="92"/>
        <v>Within 10 mV (calibration line)</v>
      </c>
      <c r="G987" s="27">
        <f t="shared" si="93"/>
        <v>4797.2642892037129</v>
      </c>
      <c r="H987" s="29" t="s">
        <v>1107</v>
      </c>
      <c r="I987" s="29" t="s">
        <v>1611</v>
      </c>
      <c r="J987" s="9" t="str">
        <f t="shared" si="94"/>
        <v>Above 5.00 A: now OL</v>
      </c>
      <c r="K987" s="9" t="s">
        <v>535</v>
      </c>
      <c r="L987" s="9" t="s">
        <v>539</v>
      </c>
      <c r="M987" s="9" t="str">
        <f t="shared" si="95"/>
        <v>Different</v>
      </c>
      <c r="N987" s="30" t="s">
        <v>1108</v>
      </c>
      <c r="O987" s="30" t="s">
        <v>1612</v>
      </c>
    </row>
    <row r="988" spans="1:15" ht="15" customHeight="1" x14ac:dyDescent="0.2">
      <c r="A988" s="9">
        <v>983</v>
      </c>
      <c r="B988" s="27">
        <f t="shared" si="90"/>
        <v>4802.1494870542265</v>
      </c>
      <c r="C988" s="27">
        <f t="shared" si="91"/>
        <v>19381.475329750858</v>
      </c>
      <c r="D988" s="28">
        <v>19.34</v>
      </c>
      <c r="E988" s="28">
        <v>19.329999999999998</v>
      </c>
      <c r="F988" s="9" t="str">
        <f t="shared" si="92"/>
        <v>Within 10 mV (calibration line)</v>
      </c>
      <c r="G988" s="27">
        <f t="shared" si="93"/>
        <v>4802.1494870542265</v>
      </c>
      <c r="H988" s="29" t="s">
        <v>1107</v>
      </c>
      <c r="I988" s="29" t="s">
        <v>1611</v>
      </c>
      <c r="J988" s="9" t="str">
        <f t="shared" si="94"/>
        <v>Above 5.00 A: now OL</v>
      </c>
      <c r="K988" s="9" t="s">
        <v>535</v>
      </c>
      <c r="L988" s="9" t="s">
        <v>539</v>
      </c>
      <c r="M988" s="9" t="str">
        <f t="shared" si="95"/>
        <v>Different</v>
      </c>
      <c r="N988" s="30" t="s">
        <v>1108</v>
      </c>
      <c r="O988" s="30" t="s">
        <v>1612</v>
      </c>
    </row>
    <row r="989" spans="1:15" ht="15" customHeight="1" x14ac:dyDescent="0.2">
      <c r="A989" s="9">
        <v>984</v>
      </c>
      <c r="B989" s="27">
        <f t="shared" si="90"/>
        <v>4807.0346849047392</v>
      </c>
      <c r="C989" s="27">
        <f t="shared" si="91"/>
        <v>19401.191988275525</v>
      </c>
      <c r="D989" s="28">
        <v>19.36</v>
      </c>
      <c r="E989" s="28">
        <v>19.350000000000001</v>
      </c>
      <c r="F989" s="9" t="str">
        <f t="shared" si="92"/>
        <v>Within 10 mV (calibration line)</v>
      </c>
      <c r="G989" s="27">
        <f t="shared" si="93"/>
        <v>4807.0346849047392</v>
      </c>
      <c r="H989" s="29" t="s">
        <v>1107</v>
      </c>
      <c r="I989" s="29" t="s">
        <v>1611</v>
      </c>
      <c r="J989" s="9" t="str">
        <f t="shared" si="94"/>
        <v>Above 5.00 A: now OL</v>
      </c>
      <c r="K989" s="9" t="s">
        <v>535</v>
      </c>
      <c r="L989" s="9" t="s">
        <v>539</v>
      </c>
      <c r="M989" s="9" t="str">
        <f t="shared" si="95"/>
        <v>Different</v>
      </c>
      <c r="N989" s="30" t="s">
        <v>1108</v>
      </c>
      <c r="O989" s="30" t="s">
        <v>1612</v>
      </c>
    </row>
    <row r="990" spans="1:15" ht="15" customHeight="1" x14ac:dyDescent="0.2">
      <c r="A990" s="9">
        <v>985</v>
      </c>
      <c r="B990" s="27">
        <f t="shared" si="90"/>
        <v>4811.9198827552518</v>
      </c>
      <c r="C990" s="27">
        <f t="shared" si="91"/>
        <v>19420.908646800195</v>
      </c>
      <c r="D990" s="28">
        <v>19.38</v>
      </c>
      <c r="E990" s="28">
        <v>19.37</v>
      </c>
      <c r="F990" s="9" t="str">
        <f t="shared" si="92"/>
        <v>Within 10 mV (calibration line)</v>
      </c>
      <c r="G990" s="27">
        <f t="shared" si="93"/>
        <v>4811.9198827552518</v>
      </c>
      <c r="H990" s="29" t="s">
        <v>1107</v>
      </c>
      <c r="I990" s="29" t="s">
        <v>1611</v>
      </c>
      <c r="J990" s="9" t="str">
        <f t="shared" si="94"/>
        <v>Above 5.00 A: now OL</v>
      </c>
      <c r="K990" s="9" t="s">
        <v>535</v>
      </c>
      <c r="L990" s="9" t="s">
        <v>539</v>
      </c>
      <c r="M990" s="9" t="str">
        <f t="shared" si="95"/>
        <v>Different</v>
      </c>
      <c r="N990" s="30" t="s">
        <v>1108</v>
      </c>
      <c r="O990" s="30" t="s">
        <v>1612</v>
      </c>
    </row>
    <row r="991" spans="1:15" ht="15" customHeight="1" x14ac:dyDescent="0.2">
      <c r="A991" s="9">
        <v>986</v>
      </c>
      <c r="B991" s="27">
        <f t="shared" si="90"/>
        <v>4816.8050806057654</v>
      </c>
      <c r="C991" s="27">
        <f t="shared" si="91"/>
        <v>19440.625305324866</v>
      </c>
      <c r="D991" s="28">
        <v>19.399999999999999</v>
      </c>
      <c r="E991" s="28">
        <v>19.39</v>
      </c>
      <c r="F991" s="9" t="str">
        <f t="shared" si="92"/>
        <v>Within 10 mV (calibration line)</v>
      </c>
      <c r="G991" s="27">
        <f t="shared" si="93"/>
        <v>4816.8050806057654</v>
      </c>
      <c r="H991" s="29" t="s">
        <v>1107</v>
      </c>
      <c r="I991" s="29" t="s">
        <v>1611</v>
      </c>
      <c r="J991" s="9" t="str">
        <f t="shared" si="94"/>
        <v>Above 5.00 A: now OL</v>
      </c>
      <c r="K991" s="9" t="s">
        <v>535</v>
      </c>
      <c r="L991" s="9" t="s">
        <v>539</v>
      </c>
      <c r="M991" s="9" t="str">
        <f t="shared" si="95"/>
        <v>Different</v>
      </c>
      <c r="N991" s="30" t="s">
        <v>1108</v>
      </c>
      <c r="O991" s="30" t="s">
        <v>1612</v>
      </c>
    </row>
    <row r="992" spans="1:15" ht="15" customHeight="1" x14ac:dyDescent="0.2">
      <c r="A992" s="9">
        <v>987</v>
      </c>
      <c r="B992" s="27">
        <f t="shared" si="90"/>
        <v>4821.6902784562781</v>
      </c>
      <c r="C992" s="27">
        <f t="shared" si="91"/>
        <v>19460.341963849536</v>
      </c>
      <c r="D992" s="28">
        <v>19.420000000000002</v>
      </c>
      <c r="E992" s="28">
        <v>19.41</v>
      </c>
      <c r="F992" s="9" t="str">
        <f t="shared" si="92"/>
        <v>Within 10 mV (calibration line)</v>
      </c>
      <c r="G992" s="27">
        <f t="shared" si="93"/>
        <v>4821.6902784562781</v>
      </c>
      <c r="H992" s="29" t="s">
        <v>1107</v>
      </c>
      <c r="I992" s="29" t="s">
        <v>1611</v>
      </c>
      <c r="J992" s="9" t="str">
        <f t="shared" si="94"/>
        <v>Above 5.00 A: now OL</v>
      </c>
      <c r="K992" s="9" t="s">
        <v>535</v>
      </c>
      <c r="L992" s="9" t="s">
        <v>539</v>
      </c>
      <c r="M992" s="9" t="str">
        <f t="shared" si="95"/>
        <v>Different</v>
      </c>
      <c r="N992" s="30" t="s">
        <v>1108</v>
      </c>
      <c r="O992" s="30" t="s">
        <v>1612</v>
      </c>
    </row>
    <row r="993" spans="1:15" ht="15" customHeight="1" x14ac:dyDescent="0.2">
      <c r="A993" s="9">
        <v>988</v>
      </c>
      <c r="B993" s="27">
        <f t="shared" si="90"/>
        <v>4826.5754763067907</v>
      </c>
      <c r="C993" s="27">
        <f t="shared" si="91"/>
        <v>19480.058622374207</v>
      </c>
      <c r="D993" s="28">
        <v>19.440000000000001</v>
      </c>
      <c r="E993" s="28">
        <v>19.43</v>
      </c>
      <c r="F993" s="9" t="str">
        <f t="shared" si="92"/>
        <v>Within 10 mV (calibration line)</v>
      </c>
      <c r="G993" s="27">
        <f t="shared" si="93"/>
        <v>4826.5754763067907</v>
      </c>
      <c r="H993" s="29" t="s">
        <v>1107</v>
      </c>
      <c r="I993" s="29" t="s">
        <v>1611</v>
      </c>
      <c r="J993" s="9" t="str">
        <f t="shared" si="94"/>
        <v>Above 5.00 A: now OL</v>
      </c>
      <c r="K993" s="9" t="s">
        <v>535</v>
      </c>
      <c r="L993" s="9" t="s">
        <v>539</v>
      </c>
      <c r="M993" s="9" t="str">
        <f t="shared" si="95"/>
        <v>Different</v>
      </c>
      <c r="N993" s="30" t="s">
        <v>1108</v>
      </c>
      <c r="O993" s="30" t="s">
        <v>1612</v>
      </c>
    </row>
    <row r="994" spans="1:15" ht="15" customHeight="1" x14ac:dyDescent="0.2">
      <c r="A994" s="9">
        <v>989</v>
      </c>
      <c r="B994" s="27">
        <f t="shared" si="90"/>
        <v>4831.4606741573043</v>
      </c>
      <c r="C994" s="27">
        <f t="shared" si="91"/>
        <v>19499.775280898877</v>
      </c>
      <c r="D994" s="28">
        <v>19.45</v>
      </c>
      <c r="E994" s="28">
        <v>19.45</v>
      </c>
      <c r="F994" s="9" t="str">
        <f t="shared" si="92"/>
        <v>Identical</v>
      </c>
      <c r="G994" s="27">
        <f t="shared" si="93"/>
        <v>4831.4606741573043</v>
      </c>
      <c r="H994" s="29" t="s">
        <v>1107</v>
      </c>
      <c r="I994" s="29" t="s">
        <v>1611</v>
      </c>
      <c r="J994" s="9" t="str">
        <f t="shared" si="94"/>
        <v>Above 5.00 A: now OL</v>
      </c>
      <c r="K994" s="9" t="s">
        <v>535</v>
      </c>
      <c r="L994" s="9" t="s">
        <v>539</v>
      </c>
      <c r="M994" s="9" t="str">
        <f t="shared" si="95"/>
        <v>Different</v>
      </c>
      <c r="N994" s="30" t="s">
        <v>1108</v>
      </c>
      <c r="O994" s="30" t="s">
        <v>1612</v>
      </c>
    </row>
    <row r="995" spans="1:15" ht="15" customHeight="1" x14ac:dyDescent="0.2">
      <c r="A995" s="9">
        <v>990</v>
      </c>
      <c r="B995" s="27">
        <f t="shared" si="90"/>
        <v>4836.345872007817</v>
      </c>
      <c r="C995" s="27">
        <f t="shared" si="91"/>
        <v>19519.491939423548</v>
      </c>
      <c r="D995" s="28">
        <v>19.47</v>
      </c>
      <c r="E995" s="28">
        <v>19.47</v>
      </c>
      <c r="F995" s="9" t="str">
        <f t="shared" si="92"/>
        <v>Identical</v>
      </c>
      <c r="G995" s="27">
        <f t="shared" si="93"/>
        <v>4836.345872007817</v>
      </c>
      <c r="H995" s="29" t="s">
        <v>1107</v>
      </c>
      <c r="I995" s="29" t="s">
        <v>1611</v>
      </c>
      <c r="J995" s="9" t="str">
        <f t="shared" si="94"/>
        <v>Above 5.00 A: now OL</v>
      </c>
      <c r="K995" s="9" t="s">
        <v>535</v>
      </c>
      <c r="L995" s="9" t="s">
        <v>539</v>
      </c>
      <c r="M995" s="9" t="str">
        <f t="shared" si="95"/>
        <v>Different</v>
      </c>
      <c r="N995" s="30" t="s">
        <v>1108</v>
      </c>
      <c r="O995" s="30" t="s">
        <v>1612</v>
      </c>
    </row>
    <row r="996" spans="1:15" ht="15" customHeight="1" x14ac:dyDescent="0.2">
      <c r="A996" s="9">
        <v>991</v>
      </c>
      <c r="B996" s="27">
        <f t="shared" si="90"/>
        <v>4841.2310698583296</v>
      </c>
      <c r="C996" s="27">
        <f t="shared" si="91"/>
        <v>19539.208597948218</v>
      </c>
      <c r="D996" s="28">
        <v>19.489999999999998</v>
      </c>
      <c r="E996" s="28">
        <v>19.489999999999998</v>
      </c>
      <c r="F996" s="9" t="str">
        <f t="shared" si="92"/>
        <v>Identical</v>
      </c>
      <c r="G996" s="27">
        <f t="shared" si="93"/>
        <v>4841.2310698583296</v>
      </c>
      <c r="H996" s="29" t="s">
        <v>1107</v>
      </c>
      <c r="I996" s="29" t="s">
        <v>1611</v>
      </c>
      <c r="J996" s="9" t="str">
        <f t="shared" si="94"/>
        <v>Above 5.00 A: now OL</v>
      </c>
      <c r="K996" s="9" t="s">
        <v>535</v>
      </c>
      <c r="L996" s="9" t="s">
        <v>539</v>
      </c>
      <c r="M996" s="9" t="str">
        <f t="shared" si="95"/>
        <v>Different</v>
      </c>
      <c r="N996" s="30" t="s">
        <v>1108</v>
      </c>
      <c r="O996" s="30" t="s">
        <v>1612</v>
      </c>
    </row>
    <row r="997" spans="1:15" ht="15" customHeight="1" x14ac:dyDescent="0.2">
      <c r="A997" s="9">
        <v>992</v>
      </c>
      <c r="B997" s="27">
        <f t="shared" si="90"/>
        <v>4846.1162677088423</v>
      </c>
      <c r="C997" s="27">
        <f t="shared" si="91"/>
        <v>19558.925256472885</v>
      </c>
      <c r="D997" s="28">
        <v>19.510000000000002</v>
      </c>
      <c r="E997" s="28">
        <v>19.510000000000002</v>
      </c>
      <c r="F997" s="9" t="str">
        <f t="shared" si="92"/>
        <v>Identical</v>
      </c>
      <c r="G997" s="27">
        <f t="shared" si="93"/>
        <v>4846.1162677088423</v>
      </c>
      <c r="H997" s="29" t="s">
        <v>1107</v>
      </c>
      <c r="I997" s="29" t="s">
        <v>1611</v>
      </c>
      <c r="J997" s="9" t="str">
        <f t="shared" si="94"/>
        <v>Above 5.00 A: now OL</v>
      </c>
      <c r="K997" s="9" t="s">
        <v>535</v>
      </c>
      <c r="L997" s="9" t="s">
        <v>539</v>
      </c>
      <c r="M997" s="9" t="str">
        <f t="shared" si="95"/>
        <v>Different</v>
      </c>
      <c r="N997" s="30" t="s">
        <v>1108</v>
      </c>
      <c r="O997" s="30" t="s">
        <v>1612</v>
      </c>
    </row>
    <row r="998" spans="1:15" ht="15" customHeight="1" x14ac:dyDescent="0.2">
      <c r="A998" s="9">
        <v>993</v>
      </c>
      <c r="B998" s="27">
        <f t="shared" si="90"/>
        <v>4851.0014655593559</v>
      </c>
      <c r="C998" s="27">
        <f t="shared" si="91"/>
        <v>19578.641914997559</v>
      </c>
      <c r="D998" s="28">
        <v>19.53</v>
      </c>
      <c r="E998" s="28">
        <v>19.53</v>
      </c>
      <c r="F998" s="9" t="str">
        <f t="shared" si="92"/>
        <v>Identical</v>
      </c>
      <c r="G998" s="27">
        <f t="shared" si="93"/>
        <v>4851.0014655593559</v>
      </c>
      <c r="H998" s="29" t="s">
        <v>1107</v>
      </c>
      <c r="I998" s="29" t="s">
        <v>1611</v>
      </c>
      <c r="J998" s="9" t="str">
        <f t="shared" si="94"/>
        <v>Above 5.00 A: now OL</v>
      </c>
      <c r="K998" s="9" t="s">
        <v>535</v>
      </c>
      <c r="L998" s="9" t="s">
        <v>539</v>
      </c>
      <c r="M998" s="9" t="str">
        <f t="shared" si="95"/>
        <v>Different</v>
      </c>
      <c r="N998" s="30" t="s">
        <v>1108</v>
      </c>
      <c r="O998" s="30" t="s">
        <v>1612</v>
      </c>
    </row>
    <row r="999" spans="1:15" ht="15" customHeight="1" x14ac:dyDescent="0.2">
      <c r="A999" s="9">
        <v>994</v>
      </c>
      <c r="B999" s="27">
        <f t="shared" si="90"/>
        <v>4855.8866634098686</v>
      </c>
      <c r="C999" s="27">
        <f t="shared" si="91"/>
        <v>19598.358573522226</v>
      </c>
      <c r="D999" s="28">
        <v>19.55</v>
      </c>
      <c r="E999" s="28">
        <v>19.55</v>
      </c>
      <c r="F999" s="9" t="str">
        <f t="shared" si="92"/>
        <v>Identical</v>
      </c>
      <c r="G999" s="27">
        <f t="shared" si="93"/>
        <v>4855.8866634098686</v>
      </c>
      <c r="H999" s="29" t="s">
        <v>1107</v>
      </c>
      <c r="I999" s="29" t="s">
        <v>1611</v>
      </c>
      <c r="J999" s="9" t="str">
        <f t="shared" si="94"/>
        <v>Above 5.00 A: now OL</v>
      </c>
      <c r="K999" s="9" t="s">
        <v>535</v>
      </c>
      <c r="L999" s="9" t="s">
        <v>539</v>
      </c>
      <c r="M999" s="9" t="str">
        <f t="shared" si="95"/>
        <v>Different</v>
      </c>
      <c r="N999" s="30" t="s">
        <v>1108</v>
      </c>
      <c r="O999" s="30" t="s">
        <v>1612</v>
      </c>
    </row>
    <row r="1000" spans="1:15" ht="15" customHeight="1" x14ac:dyDescent="0.2">
      <c r="A1000" s="9">
        <v>995</v>
      </c>
      <c r="B1000" s="27">
        <f t="shared" si="90"/>
        <v>4860.7718612603812</v>
      </c>
      <c r="C1000" s="27">
        <f t="shared" si="91"/>
        <v>19618.075232046896</v>
      </c>
      <c r="D1000" s="28">
        <v>19.57</v>
      </c>
      <c r="E1000" s="28">
        <v>19.57</v>
      </c>
      <c r="F1000" s="9" t="str">
        <f t="shared" si="92"/>
        <v>Identical</v>
      </c>
      <c r="G1000" s="27">
        <f t="shared" si="93"/>
        <v>4860.7718612603812</v>
      </c>
      <c r="H1000" s="29" t="s">
        <v>1107</v>
      </c>
      <c r="I1000" s="29" t="s">
        <v>1611</v>
      </c>
      <c r="J1000" s="9" t="str">
        <f t="shared" si="94"/>
        <v>Above 5.00 A: now OL</v>
      </c>
      <c r="K1000" s="9" t="s">
        <v>535</v>
      </c>
      <c r="L1000" s="9" t="s">
        <v>539</v>
      </c>
      <c r="M1000" s="9" t="str">
        <f t="shared" si="95"/>
        <v>Different</v>
      </c>
      <c r="N1000" s="30" t="s">
        <v>1108</v>
      </c>
      <c r="O1000" s="30" t="s">
        <v>1612</v>
      </c>
    </row>
    <row r="1001" spans="1:15" ht="15" customHeight="1" x14ac:dyDescent="0.2">
      <c r="A1001" s="9">
        <v>996</v>
      </c>
      <c r="B1001" s="27">
        <f t="shared" si="90"/>
        <v>4865.6570591108948</v>
      </c>
      <c r="C1001" s="27">
        <f t="shared" si="91"/>
        <v>19637.791890571571</v>
      </c>
      <c r="D1001" s="28">
        <v>19.59</v>
      </c>
      <c r="E1001" s="28">
        <v>19.59</v>
      </c>
      <c r="F1001" s="9" t="str">
        <f t="shared" si="92"/>
        <v>Identical</v>
      </c>
      <c r="G1001" s="27">
        <f t="shared" si="93"/>
        <v>4865.6570591108948</v>
      </c>
      <c r="H1001" s="29" t="s">
        <v>1107</v>
      </c>
      <c r="I1001" s="29" t="s">
        <v>1611</v>
      </c>
      <c r="J1001" s="9" t="str">
        <f t="shared" si="94"/>
        <v>Above 5.00 A: now OL</v>
      </c>
      <c r="K1001" s="9" t="s">
        <v>535</v>
      </c>
      <c r="L1001" s="9" t="s">
        <v>539</v>
      </c>
      <c r="M1001" s="9" t="str">
        <f t="shared" si="95"/>
        <v>Different</v>
      </c>
      <c r="N1001" s="30" t="s">
        <v>1108</v>
      </c>
      <c r="O1001" s="30" t="s">
        <v>1612</v>
      </c>
    </row>
    <row r="1002" spans="1:15" ht="15" customHeight="1" x14ac:dyDescent="0.2">
      <c r="A1002" s="9">
        <v>997</v>
      </c>
      <c r="B1002" s="27">
        <f t="shared" si="90"/>
        <v>4870.5422569614075</v>
      </c>
      <c r="C1002" s="27">
        <f t="shared" si="91"/>
        <v>19657.508549096237</v>
      </c>
      <c r="D1002" s="28">
        <v>19.61</v>
      </c>
      <c r="E1002" s="28">
        <v>19.61</v>
      </c>
      <c r="F1002" s="9" t="str">
        <f t="shared" si="92"/>
        <v>Identical</v>
      </c>
      <c r="G1002" s="27">
        <f t="shared" si="93"/>
        <v>4870.5422569614075</v>
      </c>
      <c r="H1002" s="29" t="s">
        <v>1107</v>
      </c>
      <c r="I1002" s="29" t="s">
        <v>1611</v>
      </c>
      <c r="J1002" s="9" t="str">
        <f t="shared" si="94"/>
        <v>Above 5.00 A: now OL</v>
      </c>
      <c r="K1002" s="9" t="s">
        <v>535</v>
      </c>
      <c r="L1002" s="9" t="s">
        <v>539</v>
      </c>
      <c r="M1002" s="9" t="str">
        <f t="shared" si="95"/>
        <v>Different</v>
      </c>
      <c r="N1002" s="30" t="s">
        <v>1108</v>
      </c>
      <c r="O1002" s="30" t="s">
        <v>1612</v>
      </c>
    </row>
    <row r="1003" spans="1:15" ht="15" customHeight="1" x14ac:dyDescent="0.2">
      <c r="A1003" s="9">
        <v>998</v>
      </c>
      <c r="B1003" s="27">
        <f t="shared" si="90"/>
        <v>4875.4274548119201</v>
      </c>
      <c r="C1003" s="27">
        <f t="shared" si="91"/>
        <v>19677.225207620908</v>
      </c>
      <c r="D1003" s="28">
        <v>19.63</v>
      </c>
      <c r="E1003" s="28">
        <v>19.63</v>
      </c>
      <c r="F1003" s="9" t="str">
        <f t="shared" si="92"/>
        <v>Identical</v>
      </c>
      <c r="G1003" s="27">
        <f t="shared" si="93"/>
        <v>4875.4274548119201</v>
      </c>
      <c r="H1003" s="29" t="s">
        <v>1107</v>
      </c>
      <c r="I1003" s="29" t="s">
        <v>1611</v>
      </c>
      <c r="J1003" s="9" t="str">
        <f t="shared" si="94"/>
        <v>Above 5.00 A: now OL</v>
      </c>
      <c r="K1003" s="9" t="s">
        <v>535</v>
      </c>
      <c r="L1003" s="9" t="s">
        <v>539</v>
      </c>
      <c r="M1003" s="9" t="str">
        <f t="shared" si="95"/>
        <v>Different</v>
      </c>
      <c r="N1003" s="30" t="s">
        <v>1108</v>
      </c>
      <c r="O1003" s="30" t="s">
        <v>1612</v>
      </c>
    </row>
    <row r="1004" spans="1:15" ht="15" customHeight="1" x14ac:dyDescent="0.2">
      <c r="A1004" s="9">
        <v>999</v>
      </c>
      <c r="B1004" s="27">
        <f t="shared" si="90"/>
        <v>4880.3126526624337</v>
      </c>
      <c r="C1004" s="27">
        <f t="shared" si="91"/>
        <v>19696.941866145582</v>
      </c>
      <c r="D1004" s="28">
        <v>19.649999999999999</v>
      </c>
      <c r="E1004" s="28">
        <v>19.64</v>
      </c>
      <c r="F1004" s="9" t="str">
        <f t="shared" si="92"/>
        <v>Within 10 mV (calibration line)</v>
      </c>
      <c r="G1004" s="27">
        <f t="shared" si="93"/>
        <v>4880.3126526624337</v>
      </c>
      <c r="H1004" s="29" t="s">
        <v>1107</v>
      </c>
      <c r="I1004" s="29" t="s">
        <v>1611</v>
      </c>
      <c r="J1004" s="9" t="str">
        <f t="shared" si="94"/>
        <v>Above 5.00 A: now OL</v>
      </c>
      <c r="K1004" s="9" t="s">
        <v>535</v>
      </c>
      <c r="L1004" s="9" t="s">
        <v>539</v>
      </c>
      <c r="M1004" s="9" t="str">
        <f t="shared" si="95"/>
        <v>Different</v>
      </c>
      <c r="N1004" s="30" t="s">
        <v>1108</v>
      </c>
      <c r="O1004" s="30" t="s">
        <v>1612</v>
      </c>
    </row>
    <row r="1005" spans="1:15" ht="15" customHeight="1" x14ac:dyDescent="0.2">
      <c r="A1005" s="9">
        <v>1000</v>
      </c>
      <c r="B1005" s="27">
        <f t="shared" si="90"/>
        <v>4885.1978505129464</v>
      </c>
      <c r="C1005" s="27">
        <f t="shared" si="91"/>
        <v>19716.658524670249</v>
      </c>
      <c r="D1005" s="28">
        <v>19.670000000000002</v>
      </c>
      <c r="E1005" s="28">
        <v>19.66</v>
      </c>
      <c r="F1005" s="9" t="str">
        <f t="shared" si="92"/>
        <v>Within 10 mV (calibration line)</v>
      </c>
      <c r="G1005" s="27">
        <f t="shared" si="93"/>
        <v>4885.1978505129464</v>
      </c>
      <c r="H1005" s="29" t="s">
        <v>1107</v>
      </c>
      <c r="I1005" s="29" t="s">
        <v>1611</v>
      </c>
      <c r="J1005" s="9" t="str">
        <f t="shared" si="94"/>
        <v>Above 5.00 A: now OL</v>
      </c>
      <c r="K1005" s="9" t="s">
        <v>535</v>
      </c>
      <c r="L1005" s="9" t="s">
        <v>539</v>
      </c>
      <c r="M1005" s="9" t="str">
        <f t="shared" si="95"/>
        <v>Different</v>
      </c>
      <c r="N1005" s="30" t="s">
        <v>1108</v>
      </c>
      <c r="O1005" s="30" t="s">
        <v>1612</v>
      </c>
    </row>
    <row r="1006" spans="1:15" ht="15" customHeight="1" x14ac:dyDescent="0.2">
      <c r="A1006" s="9">
        <v>1001</v>
      </c>
      <c r="B1006" s="27">
        <f t="shared" si="90"/>
        <v>4890.0830483634591</v>
      </c>
      <c r="C1006" s="27">
        <f t="shared" si="91"/>
        <v>19736.375183194919</v>
      </c>
      <c r="D1006" s="28">
        <v>19.690000000000001</v>
      </c>
      <c r="E1006" s="28">
        <v>19.68</v>
      </c>
      <c r="F1006" s="9" t="str">
        <f t="shared" si="92"/>
        <v>Within 10 mV (calibration line)</v>
      </c>
      <c r="G1006" s="27">
        <f t="shared" si="93"/>
        <v>4890.0830483634591</v>
      </c>
      <c r="H1006" s="29" t="s">
        <v>1107</v>
      </c>
      <c r="I1006" s="29" t="s">
        <v>1611</v>
      </c>
      <c r="J1006" s="9" t="str">
        <f t="shared" si="94"/>
        <v>Above 5.00 A: now OL</v>
      </c>
      <c r="K1006" s="9" t="s">
        <v>535</v>
      </c>
      <c r="L1006" s="9" t="s">
        <v>539</v>
      </c>
      <c r="M1006" s="9" t="str">
        <f t="shared" si="95"/>
        <v>Different</v>
      </c>
      <c r="N1006" s="30" t="s">
        <v>1108</v>
      </c>
      <c r="O1006" s="30" t="s">
        <v>1612</v>
      </c>
    </row>
    <row r="1007" spans="1:15" ht="15" customHeight="1" x14ac:dyDescent="0.2">
      <c r="A1007" s="9">
        <v>1002</v>
      </c>
      <c r="B1007" s="27">
        <f t="shared" si="90"/>
        <v>4894.9682462139726</v>
      </c>
      <c r="C1007" s="27">
        <f t="shared" si="91"/>
        <v>19756.09184171959</v>
      </c>
      <c r="D1007" s="28">
        <v>19.71</v>
      </c>
      <c r="E1007" s="28">
        <v>19.7</v>
      </c>
      <c r="F1007" s="9" t="str">
        <f t="shared" si="92"/>
        <v>Within 10 mV (calibration line)</v>
      </c>
      <c r="G1007" s="27">
        <f t="shared" si="93"/>
        <v>4894.9682462139726</v>
      </c>
      <c r="H1007" s="29" t="s">
        <v>1107</v>
      </c>
      <c r="I1007" s="29" t="s">
        <v>1611</v>
      </c>
      <c r="J1007" s="9" t="str">
        <f t="shared" si="94"/>
        <v>Above 5.00 A: now OL</v>
      </c>
      <c r="K1007" s="9" t="s">
        <v>535</v>
      </c>
      <c r="L1007" s="9" t="s">
        <v>539</v>
      </c>
      <c r="M1007" s="9" t="str">
        <f t="shared" si="95"/>
        <v>Different</v>
      </c>
      <c r="N1007" s="30" t="s">
        <v>1108</v>
      </c>
      <c r="O1007" s="30" t="s">
        <v>1612</v>
      </c>
    </row>
    <row r="1008" spans="1:15" ht="15" customHeight="1" x14ac:dyDescent="0.2">
      <c r="A1008" s="9">
        <v>1003</v>
      </c>
      <c r="B1008" s="27">
        <f t="shared" si="90"/>
        <v>4899.8534440644853</v>
      </c>
      <c r="C1008" s="27">
        <f t="shared" si="91"/>
        <v>19775.80850024426</v>
      </c>
      <c r="D1008" s="28">
        <v>19.73</v>
      </c>
      <c r="E1008" s="28">
        <v>19.72</v>
      </c>
      <c r="F1008" s="9" t="str">
        <f t="shared" si="92"/>
        <v>Within 10 mV (calibration line)</v>
      </c>
      <c r="G1008" s="27">
        <f t="shared" si="93"/>
        <v>4899.8534440644853</v>
      </c>
      <c r="H1008" s="29" t="s">
        <v>1107</v>
      </c>
      <c r="I1008" s="29" t="s">
        <v>1611</v>
      </c>
      <c r="J1008" s="9" t="str">
        <f t="shared" si="94"/>
        <v>Above 5.00 A: now OL</v>
      </c>
      <c r="K1008" s="9" t="s">
        <v>535</v>
      </c>
      <c r="L1008" s="9" t="s">
        <v>539</v>
      </c>
      <c r="M1008" s="9" t="str">
        <f t="shared" si="95"/>
        <v>Different</v>
      </c>
      <c r="N1008" s="30" t="s">
        <v>1108</v>
      </c>
      <c r="O1008" s="30" t="s">
        <v>1612</v>
      </c>
    </row>
    <row r="1009" spans="1:15" ht="15" customHeight="1" x14ac:dyDescent="0.2">
      <c r="A1009" s="9">
        <v>1004</v>
      </c>
      <c r="B1009" s="27">
        <f t="shared" si="90"/>
        <v>4904.738641914998</v>
      </c>
      <c r="C1009" s="27">
        <f t="shared" si="91"/>
        <v>19795.525158768931</v>
      </c>
      <c r="D1009" s="28">
        <v>19.75</v>
      </c>
      <c r="E1009" s="28">
        <v>19.739999999999998</v>
      </c>
      <c r="F1009" s="9" t="str">
        <f t="shared" si="92"/>
        <v>Within 10 mV (calibration line)</v>
      </c>
      <c r="G1009" s="27">
        <f t="shared" si="93"/>
        <v>4904.738641914998</v>
      </c>
      <c r="H1009" s="29" t="s">
        <v>1107</v>
      </c>
      <c r="I1009" s="29" t="s">
        <v>1611</v>
      </c>
      <c r="J1009" s="9" t="str">
        <f t="shared" si="94"/>
        <v>Above 5.00 A: now OL</v>
      </c>
      <c r="K1009" s="9" t="s">
        <v>535</v>
      </c>
      <c r="L1009" s="9" t="s">
        <v>539</v>
      </c>
      <c r="M1009" s="9" t="str">
        <f t="shared" si="95"/>
        <v>Different</v>
      </c>
      <c r="N1009" s="30" t="s">
        <v>1108</v>
      </c>
      <c r="O1009" s="30" t="s">
        <v>1612</v>
      </c>
    </row>
    <row r="1010" spans="1:15" ht="15" customHeight="1" x14ac:dyDescent="0.2">
      <c r="A1010" s="9">
        <v>1005</v>
      </c>
      <c r="B1010" s="27">
        <f t="shared" si="90"/>
        <v>4909.6238397655115</v>
      </c>
      <c r="C1010" s="27">
        <f t="shared" si="91"/>
        <v>19815.241817293601</v>
      </c>
      <c r="D1010" s="28">
        <v>19.77</v>
      </c>
      <c r="E1010" s="28">
        <v>19.760000000000002</v>
      </c>
      <c r="F1010" s="9" t="str">
        <f t="shared" si="92"/>
        <v>Within 10 mV (calibration line)</v>
      </c>
      <c r="G1010" s="27">
        <f t="shared" si="93"/>
        <v>4909.6238397655115</v>
      </c>
      <c r="H1010" s="29" t="s">
        <v>1107</v>
      </c>
      <c r="I1010" s="29" t="s">
        <v>1611</v>
      </c>
      <c r="J1010" s="9" t="str">
        <f t="shared" si="94"/>
        <v>Above 5.00 A: now OL</v>
      </c>
      <c r="K1010" s="9" t="s">
        <v>535</v>
      </c>
      <c r="L1010" s="9" t="s">
        <v>539</v>
      </c>
      <c r="M1010" s="9" t="str">
        <f t="shared" si="95"/>
        <v>Different</v>
      </c>
      <c r="N1010" s="30" t="s">
        <v>1108</v>
      </c>
      <c r="O1010" s="30" t="s">
        <v>1612</v>
      </c>
    </row>
    <row r="1011" spans="1:15" ht="15" customHeight="1" x14ac:dyDescent="0.2">
      <c r="A1011" s="9">
        <v>1006</v>
      </c>
      <c r="B1011" s="27">
        <f t="shared" si="90"/>
        <v>4914.5090376160242</v>
      </c>
      <c r="C1011" s="27">
        <f t="shared" si="91"/>
        <v>19834.958475818272</v>
      </c>
      <c r="D1011" s="28">
        <v>19.79</v>
      </c>
      <c r="E1011" s="28">
        <v>19.78</v>
      </c>
      <c r="F1011" s="9" t="str">
        <f t="shared" si="92"/>
        <v>Within 10 mV (calibration line)</v>
      </c>
      <c r="G1011" s="27">
        <f t="shared" si="93"/>
        <v>4914.5090376160242</v>
      </c>
      <c r="H1011" s="29" t="s">
        <v>1107</v>
      </c>
      <c r="I1011" s="29" t="s">
        <v>1611</v>
      </c>
      <c r="J1011" s="9" t="str">
        <f t="shared" si="94"/>
        <v>Above 5.00 A: now OL</v>
      </c>
      <c r="K1011" s="9" t="s">
        <v>535</v>
      </c>
      <c r="L1011" s="9" t="s">
        <v>539</v>
      </c>
      <c r="M1011" s="9" t="str">
        <f t="shared" si="95"/>
        <v>Different</v>
      </c>
      <c r="N1011" s="30" t="s">
        <v>1108</v>
      </c>
      <c r="O1011" s="30" t="s">
        <v>1612</v>
      </c>
    </row>
    <row r="1012" spans="1:15" ht="15" customHeight="1" x14ac:dyDescent="0.2">
      <c r="A1012" s="9">
        <v>1007</v>
      </c>
      <c r="B1012" s="27">
        <f t="shared" si="90"/>
        <v>4919.3942354665369</v>
      </c>
      <c r="C1012" s="27">
        <f t="shared" si="91"/>
        <v>19854.675134342942</v>
      </c>
      <c r="D1012" s="28">
        <v>19.809999999999999</v>
      </c>
      <c r="E1012" s="28">
        <v>19.8</v>
      </c>
      <c r="F1012" s="9" t="str">
        <f t="shared" si="92"/>
        <v>Within 10 mV (calibration line)</v>
      </c>
      <c r="G1012" s="27">
        <f t="shared" si="93"/>
        <v>4919.3942354665369</v>
      </c>
      <c r="H1012" s="29" t="s">
        <v>1107</v>
      </c>
      <c r="I1012" s="29" t="s">
        <v>1611</v>
      </c>
      <c r="J1012" s="9" t="str">
        <f t="shared" si="94"/>
        <v>Above 5.00 A: now OL</v>
      </c>
      <c r="K1012" s="9" t="s">
        <v>535</v>
      </c>
      <c r="L1012" s="9" t="s">
        <v>539</v>
      </c>
      <c r="M1012" s="9" t="str">
        <f t="shared" si="95"/>
        <v>Different</v>
      </c>
      <c r="N1012" s="30" t="s">
        <v>1108</v>
      </c>
      <c r="O1012" s="30" t="s">
        <v>1612</v>
      </c>
    </row>
    <row r="1013" spans="1:15" ht="15" customHeight="1" x14ac:dyDescent="0.2">
      <c r="A1013" s="9">
        <v>1008</v>
      </c>
      <c r="B1013" s="27">
        <f t="shared" si="90"/>
        <v>4924.2794333170496</v>
      </c>
      <c r="C1013" s="27">
        <f t="shared" si="91"/>
        <v>19874.391792867609</v>
      </c>
      <c r="D1013" s="28">
        <v>19.829999999999998</v>
      </c>
      <c r="E1013" s="28">
        <v>19.82</v>
      </c>
      <c r="F1013" s="9" t="str">
        <f t="shared" si="92"/>
        <v>Within 10 mV (calibration line)</v>
      </c>
      <c r="G1013" s="27">
        <f t="shared" si="93"/>
        <v>4924.2794333170496</v>
      </c>
      <c r="H1013" s="29" t="s">
        <v>1107</v>
      </c>
      <c r="I1013" s="29" t="s">
        <v>1611</v>
      </c>
      <c r="J1013" s="9" t="str">
        <f t="shared" si="94"/>
        <v>Above 5.00 A: now OL</v>
      </c>
      <c r="K1013" s="9" t="s">
        <v>535</v>
      </c>
      <c r="L1013" s="9" t="s">
        <v>539</v>
      </c>
      <c r="M1013" s="9" t="str">
        <f t="shared" si="95"/>
        <v>Different</v>
      </c>
      <c r="N1013" s="30" t="s">
        <v>1108</v>
      </c>
      <c r="O1013" s="30" t="s">
        <v>1612</v>
      </c>
    </row>
    <row r="1014" spans="1:15" ht="15" customHeight="1" x14ac:dyDescent="0.2">
      <c r="A1014" s="9">
        <v>1009</v>
      </c>
      <c r="B1014" s="27">
        <f t="shared" si="90"/>
        <v>4929.1646311675631</v>
      </c>
      <c r="C1014" s="27">
        <f t="shared" si="91"/>
        <v>19894.108451392283</v>
      </c>
      <c r="D1014" s="28">
        <v>19.850000000000001</v>
      </c>
      <c r="E1014" s="28">
        <v>19.84</v>
      </c>
      <c r="F1014" s="9" t="str">
        <f t="shared" si="92"/>
        <v>Within 10 mV (calibration line)</v>
      </c>
      <c r="G1014" s="27">
        <f t="shared" si="93"/>
        <v>4929.1646311675631</v>
      </c>
      <c r="H1014" s="29" t="s">
        <v>1107</v>
      </c>
      <c r="I1014" s="29" t="s">
        <v>1611</v>
      </c>
      <c r="J1014" s="9" t="str">
        <f t="shared" si="94"/>
        <v>Above 5.00 A: now OL</v>
      </c>
      <c r="K1014" s="9" t="s">
        <v>535</v>
      </c>
      <c r="L1014" s="9" t="s">
        <v>539</v>
      </c>
      <c r="M1014" s="9" t="str">
        <f t="shared" si="95"/>
        <v>Different</v>
      </c>
      <c r="N1014" s="30" t="s">
        <v>1108</v>
      </c>
      <c r="O1014" s="30" t="s">
        <v>1612</v>
      </c>
    </row>
    <row r="1015" spans="1:15" ht="15" customHeight="1" x14ac:dyDescent="0.2">
      <c r="A1015" s="9">
        <v>1010</v>
      </c>
      <c r="B1015" s="27">
        <f t="shared" si="90"/>
        <v>4934.0498290180758</v>
      </c>
      <c r="C1015" s="27">
        <f t="shared" si="91"/>
        <v>19913.82510991695</v>
      </c>
      <c r="D1015" s="28">
        <v>19.87</v>
      </c>
      <c r="E1015" s="28">
        <v>19.86</v>
      </c>
      <c r="F1015" s="9" t="str">
        <f t="shared" si="92"/>
        <v>Within 10 mV (calibration line)</v>
      </c>
      <c r="G1015" s="27">
        <f t="shared" si="93"/>
        <v>4934.0498290180758</v>
      </c>
      <c r="H1015" s="29" t="s">
        <v>1107</v>
      </c>
      <c r="I1015" s="29" t="s">
        <v>1611</v>
      </c>
      <c r="J1015" s="9" t="str">
        <f t="shared" si="94"/>
        <v>Above 5.00 A: now OL</v>
      </c>
      <c r="K1015" s="9" t="s">
        <v>535</v>
      </c>
      <c r="L1015" s="9" t="s">
        <v>539</v>
      </c>
      <c r="M1015" s="9" t="str">
        <f t="shared" si="95"/>
        <v>Different</v>
      </c>
      <c r="N1015" s="30" t="s">
        <v>1108</v>
      </c>
      <c r="O1015" s="30" t="s">
        <v>1612</v>
      </c>
    </row>
    <row r="1016" spans="1:15" ht="15" customHeight="1" x14ac:dyDescent="0.2">
      <c r="A1016" s="9">
        <v>1011</v>
      </c>
      <c r="B1016" s="27">
        <f t="shared" si="90"/>
        <v>4938.9350268685885</v>
      </c>
      <c r="C1016" s="27">
        <f t="shared" si="91"/>
        <v>19933.541768441621</v>
      </c>
      <c r="D1016" s="28">
        <v>19.89</v>
      </c>
      <c r="E1016" s="28">
        <v>19.88</v>
      </c>
      <c r="F1016" s="9" t="str">
        <f t="shared" si="92"/>
        <v>Within 10 mV (calibration line)</v>
      </c>
      <c r="G1016" s="27">
        <f t="shared" si="93"/>
        <v>4938.9350268685885</v>
      </c>
      <c r="H1016" s="29" t="s">
        <v>1107</v>
      </c>
      <c r="I1016" s="29" t="s">
        <v>1611</v>
      </c>
      <c r="J1016" s="9" t="str">
        <f t="shared" si="94"/>
        <v>Above 5.00 A: now OL</v>
      </c>
      <c r="K1016" s="9" t="s">
        <v>535</v>
      </c>
      <c r="L1016" s="9" t="s">
        <v>539</v>
      </c>
      <c r="M1016" s="9" t="str">
        <f t="shared" si="95"/>
        <v>Different</v>
      </c>
      <c r="N1016" s="30" t="s">
        <v>1108</v>
      </c>
      <c r="O1016" s="30" t="s">
        <v>1612</v>
      </c>
    </row>
    <row r="1017" spans="1:15" ht="15" customHeight="1" x14ac:dyDescent="0.2">
      <c r="A1017" s="9">
        <v>1012</v>
      </c>
      <c r="B1017" s="27">
        <f t="shared" si="90"/>
        <v>4943.820224719102</v>
      </c>
      <c r="C1017" s="27">
        <f t="shared" si="91"/>
        <v>19953.258426966295</v>
      </c>
      <c r="D1017" s="28">
        <v>19.91</v>
      </c>
      <c r="E1017" s="28">
        <v>19.899999999999999</v>
      </c>
      <c r="F1017" s="9" t="str">
        <f t="shared" si="92"/>
        <v>Within 10 mV (calibration line)</v>
      </c>
      <c r="G1017" s="27">
        <f t="shared" si="93"/>
        <v>4943.820224719102</v>
      </c>
      <c r="H1017" s="29" t="s">
        <v>1107</v>
      </c>
      <c r="I1017" s="29" t="s">
        <v>1611</v>
      </c>
      <c r="J1017" s="9" t="str">
        <f t="shared" si="94"/>
        <v>Above 5.00 A: now OL</v>
      </c>
      <c r="K1017" s="9" t="s">
        <v>535</v>
      </c>
      <c r="L1017" s="9" t="s">
        <v>539</v>
      </c>
      <c r="M1017" s="9" t="str">
        <f t="shared" si="95"/>
        <v>Different</v>
      </c>
      <c r="N1017" s="30" t="s">
        <v>1108</v>
      </c>
      <c r="O1017" s="30" t="s">
        <v>1612</v>
      </c>
    </row>
    <row r="1018" spans="1:15" ht="15" customHeight="1" x14ac:dyDescent="0.2">
      <c r="A1018" s="9">
        <v>1013</v>
      </c>
      <c r="B1018" s="27">
        <f t="shared" si="90"/>
        <v>4948.7054225696147</v>
      </c>
      <c r="C1018" s="27">
        <f t="shared" si="91"/>
        <v>19972.975085490962</v>
      </c>
      <c r="D1018" s="28">
        <v>19.93</v>
      </c>
      <c r="E1018" s="28">
        <v>19.920000000000002</v>
      </c>
      <c r="F1018" s="9" t="str">
        <f t="shared" si="92"/>
        <v>Within 10 mV (calibration line)</v>
      </c>
      <c r="G1018" s="27">
        <f t="shared" si="93"/>
        <v>4948.7054225696147</v>
      </c>
      <c r="H1018" s="29" t="s">
        <v>1107</v>
      </c>
      <c r="I1018" s="29" t="s">
        <v>1611</v>
      </c>
      <c r="J1018" s="9" t="str">
        <f t="shared" si="94"/>
        <v>Above 5.00 A: now OL</v>
      </c>
      <c r="K1018" s="9" t="s">
        <v>535</v>
      </c>
      <c r="L1018" s="9" t="s">
        <v>539</v>
      </c>
      <c r="M1018" s="9" t="str">
        <f t="shared" si="95"/>
        <v>Different</v>
      </c>
      <c r="N1018" s="30" t="s">
        <v>1108</v>
      </c>
      <c r="O1018" s="30" t="s">
        <v>1612</v>
      </c>
    </row>
    <row r="1019" spans="1:15" ht="15" customHeight="1" x14ac:dyDescent="0.2">
      <c r="A1019" s="9">
        <v>1014</v>
      </c>
      <c r="B1019" s="27">
        <f t="shared" si="90"/>
        <v>4953.5906204201274</v>
      </c>
      <c r="C1019" s="27">
        <f t="shared" si="91"/>
        <v>19992.691744015632</v>
      </c>
      <c r="D1019" s="28">
        <v>19.95</v>
      </c>
      <c r="E1019" s="28">
        <v>19.940000000000001</v>
      </c>
      <c r="F1019" s="9" t="str">
        <f t="shared" si="92"/>
        <v>Within 10 mV (calibration line)</v>
      </c>
      <c r="G1019" s="27">
        <f t="shared" si="93"/>
        <v>4953.5906204201274</v>
      </c>
      <c r="H1019" s="29" t="s">
        <v>1107</v>
      </c>
      <c r="I1019" s="29" t="s">
        <v>1611</v>
      </c>
      <c r="J1019" s="9" t="str">
        <f t="shared" si="94"/>
        <v>Above 5.00 A: now OL</v>
      </c>
      <c r="K1019" s="9" t="s">
        <v>535</v>
      </c>
      <c r="L1019" s="9" t="s">
        <v>539</v>
      </c>
      <c r="M1019" s="9" t="str">
        <f t="shared" si="95"/>
        <v>Different</v>
      </c>
      <c r="N1019" s="30" t="s">
        <v>1108</v>
      </c>
      <c r="O1019" s="30" t="s">
        <v>1612</v>
      </c>
    </row>
    <row r="1020" spans="1:15" ht="15" customHeight="1" x14ac:dyDescent="0.2">
      <c r="A1020" s="9">
        <v>1015</v>
      </c>
      <c r="B1020" s="27">
        <f t="shared" si="90"/>
        <v>4958.475818270641</v>
      </c>
      <c r="C1020" s="27">
        <f t="shared" si="91"/>
        <v>20012.408402540306</v>
      </c>
      <c r="D1020" s="28">
        <v>19.97</v>
      </c>
      <c r="E1020" s="28">
        <v>19.96</v>
      </c>
      <c r="F1020" s="9" t="str">
        <f t="shared" si="92"/>
        <v>Within 10 mV (calibration line)</v>
      </c>
      <c r="G1020" s="27">
        <f t="shared" si="93"/>
        <v>4958.475818270641</v>
      </c>
      <c r="H1020" s="29" t="s">
        <v>1107</v>
      </c>
      <c r="I1020" s="29" t="s">
        <v>1611</v>
      </c>
      <c r="J1020" s="9" t="str">
        <f t="shared" si="94"/>
        <v>Above 5.00 A: now OL</v>
      </c>
      <c r="K1020" s="9" t="s">
        <v>535</v>
      </c>
      <c r="L1020" s="9" t="s">
        <v>539</v>
      </c>
      <c r="M1020" s="9" t="str">
        <f t="shared" si="95"/>
        <v>Different</v>
      </c>
      <c r="N1020" s="30" t="s">
        <v>1108</v>
      </c>
      <c r="O1020" s="30" t="s">
        <v>1612</v>
      </c>
    </row>
    <row r="1021" spans="1:15" ht="15" customHeight="1" x14ac:dyDescent="0.2">
      <c r="A1021" s="9">
        <v>1016</v>
      </c>
      <c r="B1021" s="27">
        <f t="shared" si="90"/>
        <v>4963.3610161211536</v>
      </c>
      <c r="C1021" s="27">
        <f t="shared" si="91"/>
        <v>20032.125061064973</v>
      </c>
      <c r="D1021" s="28">
        <v>19.989999999999998</v>
      </c>
      <c r="E1021" s="28">
        <v>19.98</v>
      </c>
      <c r="F1021" s="9" t="str">
        <f t="shared" si="92"/>
        <v>Within 10 mV (calibration line)</v>
      </c>
      <c r="G1021" s="27">
        <f t="shared" si="93"/>
        <v>4963.3610161211536</v>
      </c>
      <c r="H1021" s="29" t="s">
        <v>1107</v>
      </c>
      <c r="I1021" s="29" t="s">
        <v>1611</v>
      </c>
      <c r="J1021" s="9" t="str">
        <f t="shared" si="94"/>
        <v>Above 5.00 A: now OL</v>
      </c>
      <c r="K1021" s="9" t="s">
        <v>535</v>
      </c>
      <c r="L1021" s="9" t="s">
        <v>539</v>
      </c>
      <c r="M1021" s="9" t="str">
        <f t="shared" si="95"/>
        <v>Different</v>
      </c>
      <c r="N1021" s="30" t="s">
        <v>1108</v>
      </c>
      <c r="O1021" s="30" t="s">
        <v>1612</v>
      </c>
    </row>
    <row r="1022" spans="1:15" ht="15" customHeight="1" x14ac:dyDescent="0.2">
      <c r="A1022" s="9">
        <v>1017</v>
      </c>
      <c r="B1022" s="27">
        <f t="shared" si="90"/>
        <v>4968.2462139716663</v>
      </c>
      <c r="C1022" s="27">
        <f t="shared" si="91"/>
        <v>20051.841719589644</v>
      </c>
      <c r="D1022" s="28">
        <v>20.010000000000002</v>
      </c>
      <c r="E1022" s="28">
        <v>20</v>
      </c>
      <c r="F1022" s="9" t="str">
        <f t="shared" si="92"/>
        <v>Within 10 mV (calibration line)</v>
      </c>
      <c r="G1022" s="27">
        <f t="shared" si="93"/>
        <v>4968.2462139716663</v>
      </c>
      <c r="H1022" s="29" t="s">
        <v>1107</v>
      </c>
      <c r="I1022" s="29" t="s">
        <v>1611</v>
      </c>
      <c r="J1022" s="9" t="str">
        <f t="shared" si="94"/>
        <v>Above 5.00 A: now OL</v>
      </c>
      <c r="K1022" s="9" t="s">
        <v>535</v>
      </c>
      <c r="L1022" s="9" t="s">
        <v>539</v>
      </c>
      <c r="M1022" s="9" t="str">
        <f t="shared" si="95"/>
        <v>Different</v>
      </c>
      <c r="N1022" s="30" t="s">
        <v>1108</v>
      </c>
      <c r="O1022" s="30" t="s">
        <v>1612</v>
      </c>
    </row>
    <row r="1023" spans="1:15" ht="15" customHeight="1" x14ac:dyDescent="0.2">
      <c r="A1023" s="9">
        <v>1018</v>
      </c>
      <c r="B1023" s="27">
        <f t="shared" si="90"/>
        <v>4973.1314118221799</v>
      </c>
      <c r="C1023" s="27">
        <f t="shared" si="91"/>
        <v>20071.558378114314</v>
      </c>
      <c r="D1023" s="28">
        <v>20.03</v>
      </c>
      <c r="E1023" s="28">
        <v>20.02</v>
      </c>
      <c r="F1023" s="9" t="str">
        <f t="shared" si="92"/>
        <v>Within 10 mV (calibration line)</v>
      </c>
      <c r="G1023" s="27">
        <f t="shared" si="93"/>
        <v>4973.1314118221799</v>
      </c>
      <c r="H1023" s="29" t="s">
        <v>1107</v>
      </c>
      <c r="I1023" s="29" t="s">
        <v>1611</v>
      </c>
      <c r="J1023" s="9" t="str">
        <f t="shared" si="94"/>
        <v>Above 5.00 A: now OL</v>
      </c>
      <c r="K1023" s="9" t="s">
        <v>535</v>
      </c>
      <c r="L1023" s="9" t="s">
        <v>539</v>
      </c>
      <c r="M1023" s="9" t="str">
        <f t="shared" si="95"/>
        <v>Different</v>
      </c>
      <c r="N1023" s="30" t="s">
        <v>1108</v>
      </c>
      <c r="O1023" s="30" t="s">
        <v>1612</v>
      </c>
    </row>
    <row r="1024" spans="1:15" ht="15" customHeight="1" x14ac:dyDescent="0.2">
      <c r="A1024" s="9">
        <v>1019</v>
      </c>
      <c r="B1024" s="27">
        <f t="shared" si="90"/>
        <v>4978.0166096726925</v>
      </c>
      <c r="C1024" s="27">
        <f t="shared" si="91"/>
        <v>20091.275036638985</v>
      </c>
      <c r="D1024" s="28">
        <v>20.05</v>
      </c>
      <c r="E1024" s="28">
        <v>20.04</v>
      </c>
      <c r="F1024" s="9" t="str">
        <f t="shared" si="92"/>
        <v>Within 10 mV (calibration line)</v>
      </c>
      <c r="G1024" s="27">
        <f t="shared" si="93"/>
        <v>4978.0166096726925</v>
      </c>
      <c r="H1024" s="29" t="s">
        <v>1107</v>
      </c>
      <c r="I1024" s="29" t="s">
        <v>1611</v>
      </c>
      <c r="J1024" s="9" t="str">
        <f t="shared" si="94"/>
        <v>Above 5.00 A: now OL</v>
      </c>
      <c r="K1024" s="9" t="s">
        <v>535</v>
      </c>
      <c r="L1024" s="9" t="s">
        <v>539</v>
      </c>
      <c r="M1024" s="9" t="str">
        <f t="shared" si="95"/>
        <v>Different</v>
      </c>
      <c r="N1024" s="30" t="s">
        <v>1108</v>
      </c>
      <c r="O1024" s="30" t="s">
        <v>1612</v>
      </c>
    </row>
    <row r="1025" spans="1:15" ht="15" customHeight="1" x14ac:dyDescent="0.2">
      <c r="A1025" s="9">
        <v>1020</v>
      </c>
      <c r="B1025" s="27">
        <f t="shared" si="90"/>
        <v>4982.9018075232052</v>
      </c>
      <c r="C1025" s="27">
        <f t="shared" si="91"/>
        <v>20110.991695163655</v>
      </c>
      <c r="D1025" s="28">
        <v>20.07</v>
      </c>
      <c r="E1025" s="28">
        <v>20.059999999999999</v>
      </c>
      <c r="F1025" s="9" t="str">
        <f t="shared" si="92"/>
        <v>Within 10 mV (calibration line)</v>
      </c>
      <c r="G1025" s="27">
        <f t="shared" si="93"/>
        <v>4982.9018075232052</v>
      </c>
      <c r="H1025" s="29" t="s">
        <v>1107</v>
      </c>
      <c r="I1025" s="29" t="s">
        <v>1611</v>
      </c>
      <c r="J1025" s="9" t="str">
        <f t="shared" si="94"/>
        <v>Above 5.00 A: now OL</v>
      </c>
      <c r="K1025" s="9" t="s">
        <v>535</v>
      </c>
      <c r="L1025" s="9" t="s">
        <v>539</v>
      </c>
      <c r="M1025" s="9" t="str">
        <f t="shared" si="95"/>
        <v>Different</v>
      </c>
      <c r="N1025" s="30" t="s">
        <v>1108</v>
      </c>
      <c r="O1025" s="30" t="s">
        <v>1612</v>
      </c>
    </row>
    <row r="1026" spans="1:15" ht="15" customHeight="1" x14ac:dyDescent="0.2">
      <c r="A1026" s="9">
        <v>1021</v>
      </c>
      <c r="B1026" s="27">
        <f t="shared" si="90"/>
        <v>4987.7870053737188</v>
      </c>
      <c r="C1026" s="27">
        <f t="shared" si="91"/>
        <v>20130.708353688326</v>
      </c>
      <c r="D1026" s="28">
        <v>20.09</v>
      </c>
      <c r="E1026" s="28">
        <v>20.079999999999998</v>
      </c>
      <c r="F1026" s="9" t="str">
        <f t="shared" si="92"/>
        <v>Within 10 mV (calibration line)</v>
      </c>
      <c r="G1026" s="27">
        <f t="shared" si="93"/>
        <v>4987.7870053737188</v>
      </c>
      <c r="H1026" s="29" t="s">
        <v>1107</v>
      </c>
      <c r="I1026" s="29" t="s">
        <v>1611</v>
      </c>
      <c r="J1026" s="9" t="str">
        <f t="shared" si="94"/>
        <v>Above 5.00 A: now OL</v>
      </c>
      <c r="K1026" s="9" t="s">
        <v>535</v>
      </c>
      <c r="L1026" s="9" t="s">
        <v>539</v>
      </c>
      <c r="M1026" s="9" t="str">
        <f t="shared" si="95"/>
        <v>Different</v>
      </c>
      <c r="N1026" s="30" t="s">
        <v>1108</v>
      </c>
      <c r="O1026" s="30" t="s">
        <v>1612</v>
      </c>
    </row>
    <row r="1027" spans="1:15" ht="15" customHeight="1" x14ac:dyDescent="0.2">
      <c r="A1027" s="9">
        <v>1022</v>
      </c>
      <c r="B1027" s="27">
        <f t="shared" si="90"/>
        <v>4992.6722032242305</v>
      </c>
      <c r="C1027" s="27">
        <f t="shared" si="91"/>
        <v>20150.425012212992</v>
      </c>
      <c r="D1027" s="28">
        <v>20.11</v>
      </c>
      <c r="E1027" s="28">
        <v>20.100000000000001</v>
      </c>
      <c r="F1027" s="9" t="str">
        <f t="shared" si="92"/>
        <v>Within 10 mV (calibration line)</v>
      </c>
      <c r="G1027" s="27">
        <f t="shared" si="93"/>
        <v>4992.6722032242305</v>
      </c>
      <c r="H1027" s="29" t="s">
        <v>1107</v>
      </c>
      <c r="I1027" s="29" t="s">
        <v>1611</v>
      </c>
      <c r="J1027" s="9" t="str">
        <f t="shared" si="94"/>
        <v>Above 5.00 A: now OL</v>
      </c>
      <c r="K1027" s="9" t="s">
        <v>535</v>
      </c>
      <c r="L1027" s="9" t="s">
        <v>539</v>
      </c>
      <c r="M1027" s="9" t="str">
        <f t="shared" si="95"/>
        <v>Different</v>
      </c>
      <c r="N1027" s="30" t="s">
        <v>1108</v>
      </c>
      <c r="O1027" s="30" t="s">
        <v>1612</v>
      </c>
    </row>
    <row r="1028" spans="1:15" ht="15" customHeight="1" x14ac:dyDescent="0.2">
      <c r="A1028" s="9">
        <v>1023</v>
      </c>
      <c r="B1028" s="27">
        <f t="shared" si="90"/>
        <v>4997.5574010747441</v>
      </c>
      <c r="C1028" s="27">
        <f t="shared" si="91"/>
        <v>20170.141670737667</v>
      </c>
      <c r="D1028" s="28">
        <v>20.13</v>
      </c>
      <c r="E1028" s="28" t="s">
        <v>1611</v>
      </c>
      <c r="F1028" s="9" t="str">
        <f t="shared" si="92"/>
        <v>ADC full scale: now OL</v>
      </c>
      <c r="G1028" s="27">
        <f t="shared" si="93"/>
        <v>4997.5574010747441</v>
      </c>
      <c r="H1028" s="29" t="s">
        <v>1107</v>
      </c>
      <c r="I1028" s="29" t="s">
        <v>1611</v>
      </c>
      <c r="J1028" s="9" t="str">
        <f t="shared" si="94"/>
        <v>Above 5.00 A: now OL</v>
      </c>
      <c r="K1028" s="9" t="s">
        <v>535</v>
      </c>
      <c r="L1028" s="9" t="s">
        <v>539</v>
      </c>
      <c r="M1028" s="9" t="str">
        <f t="shared" si="95"/>
        <v>Different</v>
      </c>
      <c r="N1028" s="30" t="s">
        <v>1108</v>
      </c>
      <c r="O1028" s="30" t="s">
        <v>1612</v>
      </c>
    </row>
  </sheetData>
  <autoFilter ref="A4:O1028" xr:uid="{00000000-0009-0000-0000-000005000000}"/>
  <conditionalFormatting sqref="F5:F1028">
    <cfRule type="cellIs" dxfId="18" priority="2" operator="notEqual">
      <formula>"Identical"</formula>
    </cfRule>
  </conditionalFormatting>
  <conditionalFormatting sqref="J5:J1028">
    <cfRule type="cellIs" dxfId="17" priority="3" operator="notEqual">
      <formula>"Identical"</formula>
    </cfRule>
  </conditionalFormatting>
  <conditionalFormatting sqref="M5:M1028">
    <cfRule type="cellIs" dxfId="16" priority="4" operator="notEqual">
      <formula>"Same"</formula>
    </cfRule>
  </conditionalFormatting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31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36" customWidth="1"/>
    <col min="2" max="2" width="44" customWidth="1"/>
    <col min="3" max="3" width="11" customWidth="1"/>
    <col min="4" max="4" width="13" customWidth="1"/>
    <col min="5" max="6" width="16" customWidth="1"/>
    <col min="7" max="9" width="30" customWidth="1"/>
  </cols>
  <sheetData>
    <row r="1" spans="1:9" ht="17.25" customHeight="1" x14ac:dyDescent="0.2">
      <c r="A1" s="5" t="s">
        <v>1613</v>
      </c>
    </row>
    <row r="2" spans="1:9" ht="15" customHeight="1" x14ac:dyDescent="0.2">
      <c r="A2" s="6" t="s">
        <v>1614</v>
      </c>
    </row>
    <row r="4" spans="1:9" ht="34.5" customHeight="1" x14ac:dyDescent="0.2">
      <c r="A4" s="17" t="s">
        <v>1615</v>
      </c>
      <c r="B4" s="17" t="s">
        <v>281</v>
      </c>
      <c r="C4" s="17" t="s">
        <v>1616</v>
      </c>
      <c r="D4" s="17" t="s">
        <v>1617</v>
      </c>
      <c r="E4" s="17" t="s">
        <v>1618</v>
      </c>
      <c r="F4" s="17" t="s">
        <v>1619</v>
      </c>
      <c r="G4" s="17" t="s">
        <v>1620</v>
      </c>
      <c r="H4" s="17" t="s">
        <v>1621</v>
      </c>
      <c r="I4" s="17" t="s">
        <v>1622</v>
      </c>
    </row>
    <row r="5" spans="1:9" ht="15" customHeight="1" x14ac:dyDescent="0.2">
      <c r="A5" s="19" t="s">
        <v>1623</v>
      </c>
      <c r="B5" s="19" t="s">
        <v>1624</v>
      </c>
      <c r="C5" s="18">
        <v>300</v>
      </c>
      <c r="D5" s="18">
        <v>158</v>
      </c>
      <c r="E5" s="18">
        <v>3</v>
      </c>
      <c r="F5" s="18">
        <v>3</v>
      </c>
      <c r="G5" s="19" t="s">
        <v>1625</v>
      </c>
      <c r="H5" s="19" t="s">
        <v>1626</v>
      </c>
      <c r="I5" s="19" t="s">
        <v>1626</v>
      </c>
    </row>
    <row r="6" spans="1:9" ht="15" customHeight="1" x14ac:dyDescent="0.2">
      <c r="A6" s="19" t="s">
        <v>1627</v>
      </c>
      <c r="B6" s="19" t="s">
        <v>1628</v>
      </c>
      <c r="C6" s="18">
        <v>300</v>
      </c>
      <c r="D6" s="18">
        <v>188</v>
      </c>
      <c r="E6" s="18">
        <v>0</v>
      </c>
      <c r="F6" s="18">
        <v>0</v>
      </c>
      <c r="G6" s="19" t="s">
        <v>1629</v>
      </c>
      <c r="H6" s="19" t="s">
        <v>1630</v>
      </c>
      <c r="I6" s="19" t="s">
        <v>1630</v>
      </c>
    </row>
    <row r="7" spans="1:9" ht="15" customHeight="1" x14ac:dyDescent="0.2">
      <c r="A7" s="19" t="s">
        <v>1631</v>
      </c>
      <c r="B7" s="19" t="s">
        <v>1632</v>
      </c>
      <c r="C7" s="18">
        <v>300</v>
      </c>
      <c r="D7" s="18">
        <v>142</v>
      </c>
      <c r="E7" s="18">
        <v>1</v>
      </c>
      <c r="F7" s="18">
        <v>1</v>
      </c>
      <c r="G7" s="19" t="s">
        <v>1633</v>
      </c>
      <c r="H7" s="19" t="s">
        <v>1634</v>
      </c>
      <c r="I7" s="19" t="s">
        <v>1634</v>
      </c>
    </row>
    <row r="8" spans="1:9" ht="15" customHeight="1" x14ac:dyDescent="0.2">
      <c r="A8" s="19" t="s">
        <v>1635</v>
      </c>
      <c r="B8" s="19" t="s">
        <v>1636</v>
      </c>
      <c r="C8" s="18">
        <v>300</v>
      </c>
      <c r="D8" s="18">
        <v>30</v>
      </c>
      <c r="E8" s="18">
        <v>0</v>
      </c>
      <c r="F8" s="18">
        <v>0</v>
      </c>
      <c r="G8" s="19" t="s">
        <v>1637</v>
      </c>
      <c r="H8" s="19" t="s">
        <v>1638</v>
      </c>
      <c r="I8" s="19" t="s">
        <v>1638</v>
      </c>
    </row>
    <row r="9" spans="1:9" ht="23.25" customHeight="1" x14ac:dyDescent="0.2">
      <c r="A9" s="19" t="s">
        <v>1639</v>
      </c>
      <c r="B9" s="19" t="s">
        <v>1640</v>
      </c>
      <c r="C9" s="18">
        <v>300</v>
      </c>
      <c r="D9" s="18">
        <v>10</v>
      </c>
      <c r="E9" s="18">
        <v>215</v>
      </c>
      <c r="F9" s="18">
        <v>0</v>
      </c>
      <c r="G9" s="19" t="s">
        <v>1641</v>
      </c>
      <c r="H9" s="19" t="s">
        <v>1642</v>
      </c>
      <c r="I9" s="19" t="s">
        <v>1638</v>
      </c>
    </row>
    <row r="10" spans="1:9" ht="15" customHeight="1" x14ac:dyDescent="0.2">
      <c r="A10" s="16" t="s">
        <v>1643</v>
      </c>
      <c r="D10" s="31">
        <f>SUM(D5:D9)</f>
        <v>528</v>
      </c>
      <c r="E10" s="31">
        <f>SUM(E5:E9)</f>
        <v>219</v>
      </c>
      <c r="F10" s="31">
        <f>SUM(F5:F9)</f>
        <v>4</v>
      </c>
      <c r="G10" s="16" t="s">
        <v>1644</v>
      </c>
      <c r="H10" s="32">
        <f>IF(D10=0,0,1-F10/D10)</f>
        <v>0.99242424242424243</v>
      </c>
    </row>
    <row r="13" spans="1:9" ht="15" customHeight="1" x14ac:dyDescent="0.2">
      <c r="A13" s="16" t="s">
        <v>1645</v>
      </c>
    </row>
    <row r="14" spans="1:9" ht="15" customHeight="1" x14ac:dyDescent="0.2">
      <c r="A14" s="33" t="s">
        <v>1646</v>
      </c>
      <c r="B14" s="33" t="s">
        <v>1647</v>
      </c>
      <c r="C14" s="33" t="s">
        <v>1616</v>
      </c>
      <c r="D14" s="33" t="s">
        <v>1648</v>
      </c>
      <c r="E14" s="33" t="s">
        <v>1617</v>
      </c>
      <c r="F14" s="33" t="s">
        <v>1619</v>
      </c>
      <c r="G14" s="33" t="s">
        <v>1649</v>
      </c>
      <c r="H14" s="33" t="s">
        <v>1650</v>
      </c>
      <c r="I14" s="33" t="s">
        <v>1651</v>
      </c>
    </row>
    <row r="15" spans="1:9" ht="34.5" customHeight="1" x14ac:dyDescent="0.2">
      <c r="A15" s="19" t="s">
        <v>1652</v>
      </c>
      <c r="B15" s="18" t="s">
        <v>1653</v>
      </c>
      <c r="C15" s="18">
        <v>601</v>
      </c>
      <c r="D15" s="18">
        <v>34</v>
      </c>
      <c r="E15" s="18">
        <v>33</v>
      </c>
      <c r="F15" s="18">
        <v>33</v>
      </c>
      <c r="G15" s="18">
        <v>0.01</v>
      </c>
      <c r="H15" s="18">
        <v>0.01</v>
      </c>
      <c r="I15" s="19" t="s">
        <v>1654</v>
      </c>
    </row>
    <row r="16" spans="1:9" ht="15" customHeight="1" x14ac:dyDescent="0.2">
      <c r="A16" s="19" t="s">
        <v>1652</v>
      </c>
      <c r="B16" s="18" t="s">
        <v>1655</v>
      </c>
      <c r="C16" s="18">
        <v>601</v>
      </c>
      <c r="D16" s="18">
        <v>34</v>
      </c>
      <c r="E16" s="18">
        <v>33</v>
      </c>
      <c r="F16" s="18">
        <v>33</v>
      </c>
      <c r="G16" s="18">
        <v>0.01</v>
      </c>
      <c r="H16" s="18">
        <v>0.01</v>
      </c>
      <c r="I16" s="19"/>
    </row>
    <row r="17" spans="1:9" ht="57" customHeight="1" x14ac:dyDescent="0.2">
      <c r="A17" s="19" t="s">
        <v>1656</v>
      </c>
      <c r="B17" s="18" t="s">
        <v>1653</v>
      </c>
      <c r="C17" s="18">
        <v>601</v>
      </c>
      <c r="D17" s="18">
        <v>118</v>
      </c>
      <c r="E17" s="18">
        <v>59</v>
      </c>
      <c r="F17" s="18">
        <v>117</v>
      </c>
      <c r="G17" s="18">
        <v>0.01</v>
      </c>
      <c r="H17" s="18">
        <v>0.01</v>
      </c>
      <c r="I17" s="19" t="s">
        <v>1657</v>
      </c>
    </row>
    <row r="18" spans="1:9" ht="15" customHeight="1" x14ac:dyDescent="0.2">
      <c r="A18" s="19" t="s">
        <v>1656</v>
      </c>
      <c r="B18" s="18" t="s">
        <v>1655</v>
      </c>
      <c r="C18" s="18">
        <v>601</v>
      </c>
      <c r="D18" s="18">
        <v>118</v>
      </c>
      <c r="E18" s="18">
        <v>59</v>
      </c>
      <c r="F18" s="18">
        <v>117</v>
      </c>
      <c r="G18" s="18">
        <v>0.01</v>
      </c>
      <c r="H18" s="18">
        <v>0.01</v>
      </c>
      <c r="I18" s="19"/>
    </row>
    <row r="19" spans="1:9" ht="68.25" customHeight="1" x14ac:dyDescent="0.2">
      <c r="A19" s="19" t="s">
        <v>1658</v>
      </c>
      <c r="B19" s="18" t="s">
        <v>1653</v>
      </c>
      <c r="C19" s="18">
        <v>241</v>
      </c>
      <c r="D19" s="18">
        <v>19</v>
      </c>
      <c r="E19" s="18">
        <v>9</v>
      </c>
      <c r="F19" s="18">
        <v>19</v>
      </c>
      <c r="G19" s="18">
        <v>0.79</v>
      </c>
      <c r="H19" s="18">
        <v>0.01</v>
      </c>
      <c r="I19" s="19" t="s">
        <v>1659</v>
      </c>
    </row>
    <row r="20" spans="1:9" ht="15" customHeight="1" x14ac:dyDescent="0.2">
      <c r="A20" s="19" t="s">
        <v>1658</v>
      </c>
      <c r="B20" s="18" t="s">
        <v>1655</v>
      </c>
      <c r="C20" s="18">
        <v>241</v>
      </c>
      <c r="D20" s="18">
        <v>19</v>
      </c>
      <c r="E20" s="18">
        <v>9</v>
      </c>
      <c r="F20" s="18">
        <v>19</v>
      </c>
      <c r="G20" s="18">
        <v>0.79</v>
      </c>
      <c r="H20" s="18">
        <v>0.01</v>
      </c>
      <c r="I20" s="19"/>
    </row>
    <row r="23" spans="1:9" ht="15" customHeight="1" x14ac:dyDescent="0.2">
      <c r="A23" s="16" t="s">
        <v>1660</v>
      </c>
    </row>
    <row r="24" spans="1:9" ht="23.25" customHeight="1" x14ac:dyDescent="0.2">
      <c r="A24" s="33" t="s">
        <v>1661</v>
      </c>
      <c r="B24" s="33" t="s">
        <v>1662</v>
      </c>
      <c r="D24" s="33" t="s">
        <v>1663</v>
      </c>
      <c r="E24" s="33" t="s">
        <v>1664</v>
      </c>
      <c r="F24" s="33" t="s">
        <v>1665</v>
      </c>
      <c r="G24" s="33" t="s">
        <v>1666</v>
      </c>
      <c r="H24" s="33" t="s">
        <v>1667</v>
      </c>
    </row>
    <row r="25" spans="1:9" ht="15" customHeight="1" x14ac:dyDescent="0.2">
      <c r="A25" s="19" t="s">
        <v>1668</v>
      </c>
      <c r="B25" s="19" t="s">
        <v>1669</v>
      </c>
      <c r="C25" s="19"/>
      <c r="D25" s="34">
        <v>2E-3</v>
      </c>
      <c r="E25" s="34">
        <v>0.14499999999999999</v>
      </c>
      <c r="F25" s="34">
        <v>2E-3</v>
      </c>
      <c r="G25" s="34">
        <v>0.14499999999999999</v>
      </c>
      <c r="H25" s="19" t="s">
        <v>1670</v>
      </c>
      <c r="I25" s="19"/>
    </row>
    <row r="26" spans="1:9" ht="15" customHeight="1" x14ac:dyDescent="0.2">
      <c r="A26" s="19" t="s">
        <v>1671</v>
      </c>
      <c r="B26" s="19" t="s">
        <v>1672</v>
      </c>
      <c r="C26" s="19"/>
      <c r="D26" s="34">
        <v>2.3E-2</v>
      </c>
      <c r="E26" s="34">
        <v>0.56999999999999995</v>
      </c>
      <c r="F26" s="34">
        <v>6.9000000000000006E-2</v>
      </c>
      <c r="G26" s="34">
        <v>0.83699999999999997</v>
      </c>
      <c r="H26" s="19" t="s">
        <v>1673</v>
      </c>
      <c r="I26" s="19"/>
    </row>
    <row r="27" spans="1:9" ht="15" customHeight="1" x14ac:dyDescent="0.2">
      <c r="A27" s="19" t="s">
        <v>1674</v>
      </c>
      <c r="B27" s="19" t="s">
        <v>1675</v>
      </c>
      <c r="C27" s="19"/>
      <c r="D27" s="34">
        <v>-2.1999999999999999E-2</v>
      </c>
      <c r="E27" s="34">
        <v>1.4450000000000001</v>
      </c>
      <c r="F27" s="34">
        <v>0.30199999999999999</v>
      </c>
      <c r="G27" s="34">
        <v>3.0939999999999999</v>
      </c>
      <c r="H27" s="19" t="s">
        <v>1676</v>
      </c>
      <c r="I27" s="19"/>
    </row>
    <row r="28" spans="1:9" ht="15" customHeight="1" x14ac:dyDescent="0.2">
      <c r="A28" s="19" t="s">
        <v>1677</v>
      </c>
      <c r="B28" s="19" t="s">
        <v>1678</v>
      </c>
      <c r="C28" s="19"/>
      <c r="D28" s="34">
        <v>4.0000000000000001E-3</v>
      </c>
      <c r="E28" s="34">
        <v>1.083</v>
      </c>
      <c r="F28" s="34">
        <v>0.23400000000000001</v>
      </c>
      <c r="G28" s="34">
        <v>2.4380000000000002</v>
      </c>
      <c r="H28" s="19" t="s">
        <v>1676</v>
      </c>
      <c r="I28" s="19"/>
    </row>
    <row r="29" spans="1:9" ht="23.25" customHeight="1" x14ac:dyDescent="0.2">
      <c r="A29" s="19" t="s">
        <v>1679</v>
      </c>
      <c r="B29" s="19" t="s">
        <v>1680</v>
      </c>
      <c r="C29" s="19"/>
      <c r="D29" s="34">
        <v>7.0000000000000001E-3</v>
      </c>
      <c r="E29" s="34">
        <v>1.135</v>
      </c>
      <c r="F29" s="34">
        <v>3</v>
      </c>
      <c r="G29" s="34">
        <v>7.6999999999999999E-2</v>
      </c>
      <c r="H29" s="19" t="s">
        <v>1676</v>
      </c>
      <c r="I29" s="19"/>
    </row>
    <row r="30" spans="1:9" ht="15" customHeight="1" x14ac:dyDescent="0.2">
      <c r="A30" s="19" t="s">
        <v>1681</v>
      </c>
      <c r="B30" s="19" t="s">
        <v>1682</v>
      </c>
      <c r="C30" s="19"/>
      <c r="D30" s="34">
        <v>-10.083</v>
      </c>
      <c r="E30" s="34">
        <v>8.9049999999999994</v>
      </c>
      <c r="F30" s="34">
        <v>2E-3</v>
      </c>
      <c r="G30" s="34">
        <v>7.5999999999999998E-2</v>
      </c>
      <c r="H30" s="19" t="s">
        <v>1683</v>
      </c>
      <c r="I30" s="19"/>
    </row>
    <row r="31" spans="1:9" ht="15" customHeight="1" x14ac:dyDescent="0.2">
      <c r="A31" s="6" t="s">
        <v>1684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44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2" width="6" customWidth="1"/>
    <col min="3" max="3" width="44" customWidth="1"/>
    <col min="4" max="5" width="20" customWidth="1"/>
    <col min="6" max="7" width="7" customWidth="1"/>
    <col min="8" max="9" width="20" customWidth="1"/>
    <col min="10" max="11" width="7" customWidth="1"/>
    <col min="12" max="12" width="40" customWidth="1"/>
  </cols>
  <sheetData>
    <row r="1" spans="1:12" ht="17.25" customHeight="1" x14ac:dyDescent="0.2">
      <c r="A1" s="5" t="s">
        <v>1685</v>
      </c>
    </row>
    <row r="2" spans="1:12" ht="15" customHeight="1" x14ac:dyDescent="0.2">
      <c r="A2" s="6" t="s">
        <v>1686</v>
      </c>
    </row>
    <row r="4" spans="1:12" ht="23.25" customHeight="1" x14ac:dyDescent="0.2">
      <c r="A4" s="17" t="s">
        <v>1615</v>
      </c>
      <c r="B4" s="17" t="s">
        <v>1687</v>
      </c>
      <c r="C4" s="17" t="s">
        <v>281</v>
      </c>
      <c r="D4" s="17" t="s">
        <v>1688</v>
      </c>
      <c r="E4" s="17" t="s">
        <v>1689</v>
      </c>
      <c r="F4" s="17" t="s">
        <v>1690</v>
      </c>
      <c r="G4" s="17" t="s">
        <v>1691</v>
      </c>
      <c r="H4" s="17" t="s">
        <v>1692</v>
      </c>
      <c r="I4" s="17" t="s">
        <v>1693</v>
      </c>
      <c r="J4" s="17" t="s">
        <v>1694</v>
      </c>
      <c r="K4" s="17" t="s">
        <v>1695</v>
      </c>
      <c r="L4" s="17" t="s">
        <v>1651</v>
      </c>
    </row>
    <row r="5" spans="1:12" ht="23.25" customHeight="1" x14ac:dyDescent="0.2">
      <c r="A5" s="19" t="s">
        <v>1696</v>
      </c>
      <c r="B5" s="18">
        <v>0</v>
      </c>
      <c r="C5" s="19" t="s">
        <v>1697</v>
      </c>
      <c r="D5" s="35" t="s">
        <v>1698</v>
      </c>
      <c r="E5" s="35" t="s">
        <v>1698</v>
      </c>
      <c r="F5" s="18" t="s">
        <v>1699</v>
      </c>
      <c r="G5" s="18">
        <v>0</v>
      </c>
      <c r="H5" s="35" t="s">
        <v>929</v>
      </c>
      <c r="I5" s="35" t="s">
        <v>929</v>
      </c>
      <c r="J5" s="18" t="s">
        <v>1699</v>
      </c>
      <c r="K5" s="18">
        <v>0</v>
      </c>
      <c r="L5" s="19"/>
    </row>
    <row r="6" spans="1:12" ht="23.25" customHeight="1" x14ac:dyDescent="0.2">
      <c r="A6" s="19" t="s">
        <v>1696</v>
      </c>
      <c r="B6" s="18">
        <v>1</v>
      </c>
      <c r="C6" s="19" t="s">
        <v>1700</v>
      </c>
      <c r="D6" s="35" t="s">
        <v>1698</v>
      </c>
      <c r="E6" s="35" t="s">
        <v>1108</v>
      </c>
      <c r="F6" s="18" t="s">
        <v>1701</v>
      </c>
      <c r="G6" s="18">
        <v>0</v>
      </c>
      <c r="H6" s="35" t="s">
        <v>929</v>
      </c>
      <c r="I6" s="35" t="s">
        <v>1612</v>
      </c>
      <c r="J6" s="18" t="s">
        <v>1699</v>
      </c>
      <c r="K6" s="18">
        <v>0</v>
      </c>
      <c r="L6" s="19" t="s">
        <v>1702</v>
      </c>
    </row>
    <row r="7" spans="1:12" ht="23.25" customHeight="1" x14ac:dyDescent="0.2">
      <c r="A7" s="19" t="s">
        <v>1696</v>
      </c>
      <c r="B7" s="18">
        <v>2</v>
      </c>
      <c r="C7" s="19" t="s">
        <v>1703</v>
      </c>
      <c r="D7" s="35" t="s">
        <v>1698</v>
      </c>
      <c r="E7" s="35" t="s">
        <v>1698</v>
      </c>
      <c r="F7" s="18" t="s">
        <v>1699</v>
      </c>
      <c r="G7" s="18">
        <v>0</v>
      </c>
      <c r="H7" s="35" t="s">
        <v>929</v>
      </c>
      <c r="I7" s="35" t="s">
        <v>929</v>
      </c>
      <c r="J7" s="18" t="s">
        <v>1699</v>
      </c>
      <c r="K7" s="18">
        <v>0</v>
      </c>
      <c r="L7" s="19" t="s">
        <v>1704</v>
      </c>
    </row>
    <row r="8" spans="1:12" ht="23.25" customHeight="1" x14ac:dyDescent="0.2">
      <c r="A8" s="19" t="s">
        <v>1696</v>
      </c>
      <c r="B8" s="18">
        <v>3</v>
      </c>
      <c r="C8" s="19" t="s">
        <v>1705</v>
      </c>
      <c r="D8" s="35" t="s">
        <v>1698</v>
      </c>
      <c r="E8" s="35" t="s">
        <v>1706</v>
      </c>
      <c r="F8" s="18" t="s">
        <v>1699</v>
      </c>
      <c r="G8" s="18">
        <v>0</v>
      </c>
      <c r="H8" s="35" t="s">
        <v>929</v>
      </c>
      <c r="I8" s="35" t="s">
        <v>1707</v>
      </c>
      <c r="J8" s="18" t="s">
        <v>1699</v>
      </c>
      <c r="K8" s="18">
        <v>0</v>
      </c>
      <c r="L8" s="19" t="s">
        <v>1708</v>
      </c>
    </row>
    <row r="9" spans="1:12" ht="23.25" customHeight="1" x14ac:dyDescent="0.2">
      <c r="A9" s="19" t="s">
        <v>1696</v>
      </c>
      <c r="B9" s="18">
        <v>4</v>
      </c>
      <c r="C9" s="19" t="s">
        <v>1709</v>
      </c>
      <c r="D9" s="35" t="s">
        <v>1698</v>
      </c>
      <c r="E9" s="35" t="s">
        <v>1698</v>
      </c>
      <c r="F9" s="18" t="s">
        <v>1699</v>
      </c>
      <c r="G9" s="18">
        <v>0</v>
      </c>
      <c r="H9" s="35" t="s">
        <v>929</v>
      </c>
      <c r="I9" s="35" t="s">
        <v>929</v>
      </c>
      <c r="J9" s="18" t="s">
        <v>1699</v>
      </c>
      <c r="K9" s="18">
        <v>0</v>
      </c>
      <c r="L9" s="19"/>
    </row>
    <row r="10" spans="1:12" ht="23.25" customHeight="1" x14ac:dyDescent="0.2">
      <c r="A10" s="19" t="s">
        <v>1696</v>
      </c>
      <c r="B10" s="18">
        <v>5</v>
      </c>
      <c r="C10" s="19" t="s">
        <v>1710</v>
      </c>
      <c r="D10" s="35" t="s">
        <v>1698</v>
      </c>
      <c r="E10" s="35" t="s">
        <v>1711</v>
      </c>
      <c r="F10" s="18" t="s">
        <v>1701</v>
      </c>
      <c r="G10" s="18">
        <v>0</v>
      </c>
      <c r="H10" s="35" t="s">
        <v>929</v>
      </c>
      <c r="I10" s="35" t="s">
        <v>1712</v>
      </c>
      <c r="J10" s="18" t="s">
        <v>1699</v>
      </c>
      <c r="K10" s="18">
        <v>0</v>
      </c>
      <c r="L10" s="19"/>
    </row>
    <row r="11" spans="1:12" ht="23.25" customHeight="1" x14ac:dyDescent="0.2">
      <c r="A11" s="19" t="s">
        <v>1696</v>
      </c>
      <c r="B11" s="18">
        <v>6</v>
      </c>
      <c r="C11" s="19" t="s">
        <v>1713</v>
      </c>
      <c r="D11" s="35" t="s">
        <v>1698</v>
      </c>
      <c r="E11" s="35" t="s">
        <v>1698</v>
      </c>
      <c r="F11" s="18" t="s">
        <v>1699</v>
      </c>
      <c r="G11" s="18">
        <v>0</v>
      </c>
      <c r="H11" s="35" t="s">
        <v>929</v>
      </c>
      <c r="I11" s="35" t="s">
        <v>929</v>
      </c>
      <c r="J11" s="18" t="s">
        <v>1699</v>
      </c>
      <c r="K11" s="18">
        <v>0</v>
      </c>
      <c r="L11" s="19"/>
    </row>
    <row r="12" spans="1:12" ht="23.25" customHeight="1" x14ac:dyDescent="0.2">
      <c r="A12" s="19" t="s">
        <v>1696</v>
      </c>
      <c r="B12" s="18">
        <v>7</v>
      </c>
      <c r="C12" s="19" t="s">
        <v>1714</v>
      </c>
      <c r="D12" s="35" t="s">
        <v>1698</v>
      </c>
      <c r="E12" s="35" t="s">
        <v>1609</v>
      </c>
      <c r="F12" s="18" t="s">
        <v>1699</v>
      </c>
      <c r="G12" s="18">
        <v>0</v>
      </c>
      <c r="H12" s="35" t="s">
        <v>929</v>
      </c>
      <c r="I12" s="35" t="s">
        <v>1610</v>
      </c>
      <c r="J12" s="18" t="s">
        <v>1699</v>
      </c>
      <c r="K12" s="18">
        <v>0</v>
      </c>
      <c r="L12" s="19"/>
    </row>
    <row r="13" spans="1:12" ht="23.25" customHeight="1" x14ac:dyDescent="0.2">
      <c r="A13" s="19" t="s">
        <v>1696</v>
      </c>
      <c r="B13" s="18">
        <v>8</v>
      </c>
      <c r="C13" s="19" t="s">
        <v>1715</v>
      </c>
      <c r="D13" s="35" t="s">
        <v>1698</v>
      </c>
      <c r="E13" s="35" t="s">
        <v>1108</v>
      </c>
      <c r="F13" s="18" t="s">
        <v>1701</v>
      </c>
      <c r="G13" s="18">
        <v>0</v>
      </c>
      <c r="H13" s="35" t="s">
        <v>929</v>
      </c>
      <c r="I13" s="35" t="s">
        <v>1612</v>
      </c>
      <c r="J13" s="18" t="s">
        <v>1699</v>
      </c>
      <c r="K13" s="18">
        <v>0</v>
      </c>
      <c r="L13" s="19"/>
    </row>
    <row r="14" spans="1:12" ht="23.25" customHeight="1" x14ac:dyDescent="0.2">
      <c r="A14" s="19" t="s">
        <v>532</v>
      </c>
      <c r="B14" s="18">
        <v>0</v>
      </c>
      <c r="C14" s="19" t="s">
        <v>1716</v>
      </c>
      <c r="D14" s="35" t="s">
        <v>1717</v>
      </c>
      <c r="E14" s="35" t="s">
        <v>1718</v>
      </c>
      <c r="F14" s="18" t="s">
        <v>1719</v>
      </c>
      <c r="G14" s="18">
        <v>0</v>
      </c>
      <c r="H14" s="35" t="s">
        <v>1720</v>
      </c>
      <c r="I14" s="35" t="s">
        <v>857</v>
      </c>
      <c r="J14" s="18" t="s">
        <v>1719</v>
      </c>
      <c r="K14" s="18">
        <v>0</v>
      </c>
      <c r="L14" s="19"/>
    </row>
    <row r="15" spans="1:12" ht="23.25" customHeight="1" x14ac:dyDescent="0.2">
      <c r="A15" s="19" t="s">
        <v>532</v>
      </c>
      <c r="B15" s="18">
        <v>1</v>
      </c>
      <c r="C15" s="19" t="s">
        <v>1721</v>
      </c>
      <c r="D15" s="35" t="s">
        <v>1717</v>
      </c>
      <c r="E15" s="35" t="s">
        <v>1718</v>
      </c>
      <c r="F15" s="18" t="s">
        <v>1719</v>
      </c>
      <c r="G15" s="18">
        <v>0</v>
      </c>
      <c r="H15" s="35" t="s">
        <v>1720</v>
      </c>
      <c r="I15" s="35" t="s">
        <v>857</v>
      </c>
      <c r="J15" s="18" t="s">
        <v>1719</v>
      </c>
      <c r="K15" s="18">
        <v>0</v>
      </c>
      <c r="L15" s="19"/>
    </row>
    <row r="16" spans="1:12" ht="23.25" customHeight="1" x14ac:dyDescent="0.2">
      <c r="A16" s="19" t="s">
        <v>532</v>
      </c>
      <c r="B16" s="18">
        <v>2</v>
      </c>
      <c r="C16" s="19" t="s">
        <v>1722</v>
      </c>
      <c r="D16" s="35" t="s">
        <v>1717</v>
      </c>
      <c r="E16" s="35" t="s">
        <v>1723</v>
      </c>
      <c r="F16" s="18" t="s">
        <v>1724</v>
      </c>
      <c r="G16" s="18">
        <v>0</v>
      </c>
      <c r="H16" s="35" t="s">
        <v>1720</v>
      </c>
      <c r="I16" s="35" t="s">
        <v>858</v>
      </c>
      <c r="J16" s="18" t="s">
        <v>1724</v>
      </c>
      <c r="K16" s="18">
        <v>0</v>
      </c>
      <c r="L16" s="19"/>
    </row>
    <row r="17" spans="1:12" ht="23.25" customHeight="1" x14ac:dyDescent="0.2">
      <c r="A17" s="19" t="s">
        <v>532</v>
      </c>
      <c r="B17" s="18">
        <v>3</v>
      </c>
      <c r="C17" s="19" t="s">
        <v>1725</v>
      </c>
      <c r="D17" s="35" t="s">
        <v>1717</v>
      </c>
      <c r="E17" s="35" t="s">
        <v>1723</v>
      </c>
      <c r="F17" s="18" t="s">
        <v>1724</v>
      </c>
      <c r="G17" s="18">
        <v>0</v>
      </c>
      <c r="H17" s="35" t="s">
        <v>1720</v>
      </c>
      <c r="I17" s="35" t="s">
        <v>858</v>
      </c>
      <c r="J17" s="18" t="s">
        <v>1724</v>
      </c>
      <c r="K17" s="18">
        <v>0</v>
      </c>
      <c r="L17" s="19"/>
    </row>
    <row r="18" spans="1:12" ht="23.25" customHeight="1" x14ac:dyDescent="0.2">
      <c r="A18" s="19" t="s">
        <v>532</v>
      </c>
      <c r="B18" s="18">
        <v>4</v>
      </c>
      <c r="C18" s="19" t="s">
        <v>1726</v>
      </c>
      <c r="D18" s="35" t="s">
        <v>1717</v>
      </c>
      <c r="E18" s="35" t="s">
        <v>1609</v>
      </c>
      <c r="F18" s="18" t="s">
        <v>1724</v>
      </c>
      <c r="G18" s="18">
        <v>0</v>
      </c>
      <c r="H18" s="35" t="s">
        <v>1720</v>
      </c>
      <c r="I18" s="35" t="s">
        <v>1610</v>
      </c>
      <c r="J18" s="18" t="s">
        <v>1724</v>
      </c>
      <c r="K18" s="18">
        <v>0</v>
      </c>
      <c r="L18" s="19"/>
    </row>
    <row r="19" spans="1:12" ht="23.25" customHeight="1" x14ac:dyDescent="0.2">
      <c r="A19" s="19" t="s">
        <v>532</v>
      </c>
      <c r="B19" s="18">
        <v>5</v>
      </c>
      <c r="C19" s="19" t="s">
        <v>1727</v>
      </c>
      <c r="D19" s="35" t="s">
        <v>1717</v>
      </c>
      <c r="E19" s="35" t="s">
        <v>1108</v>
      </c>
      <c r="F19" s="18" t="s">
        <v>1719</v>
      </c>
      <c r="G19" s="18">
        <v>0</v>
      </c>
      <c r="H19" s="35" t="s">
        <v>1720</v>
      </c>
      <c r="I19" s="35" t="s">
        <v>1612</v>
      </c>
      <c r="J19" s="18" t="s">
        <v>1724</v>
      </c>
      <c r="K19" s="18">
        <v>0</v>
      </c>
      <c r="L19" s="19" t="s">
        <v>1728</v>
      </c>
    </row>
    <row r="20" spans="1:12" ht="23.25" customHeight="1" x14ac:dyDescent="0.2">
      <c r="A20" s="19" t="s">
        <v>532</v>
      </c>
      <c r="B20" s="18">
        <v>6</v>
      </c>
      <c r="C20" s="19" t="s">
        <v>1729</v>
      </c>
      <c r="D20" s="35" t="s">
        <v>1717</v>
      </c>
      <c r="E20" s="35" t="s">
        <v>1108</v>
      </c>
      <c r="F20" s="18" t="s">
        <v>1719</v>
      </c>
      <c r="G20" s="18">
        <v>0</v>
      </c>
      <c r="H20" s="35" t="s">
        <v>1720</v>
      </c>
      <c r="I20" s="35" t="s">
        <v>1612</v>
      </c>
      <c r="J20" s="18" t="s">
        <v>1724</v>
      </c>
      <c r="K20" s="18">
        <v>0</v>
      </c>
      <c r="L20" s="19" t="s">
        <v>1728</v>
      </c>
    </row>
    <row r="21" spans="1:12" ht="23.25" customHeight="1" x14ac:dyDescent="0.2">
      <c r="A21" s="19" t="s">
        <v>532</v>
      </c>
      <c r="B21" s="18">
        <v>7</v>
      </c>
      <c r="C21" s="19" t="s">
        <v>1716</v>
      </c>
      <c r="D21" s="35" t="s">
        <v>1717</v>
      </c>
      <c r="E21" s="35" t="s">
        <v>1718</v>
      </c>
      <c r="F21" s="18" t="s">
        <v>1719</v>
      </c>
      <c r="G21" s="18">
        <v>0</v>
      </c>
      <c r="H21" s="35" t="s">
        <v>1720</v>
      </c>
      <c r="I21" s="35" t="s">
        <v>857</v>
      </c>
      <c r="J21" s="18" t="s">
        <v>1719</v>
      </c>
      <c r="K21" s="18">
        <v>0</v>
      </c>
      <c r="L21" s="19"/>
    </row>
    <row r="22" spans="1:12" ht="23.25" customHeight="1" x14ac:dyDescent="0.2">
      <c r="A22" s="19" t="s">
        <v>159</v>
      </c>
      <c r="B22" s="18">
        <v>0</v>
      </c>
      <c r="C22" s="19" t="s">
        <v>1730</v>
      </c>
      <c r="D22" s="35" t="s">
        <v>1717</v>
      </c>
      <c r="E22" s="35" t="s">
        <v>1698</v>
      </c>
      <c r="F22" s="18" t="s">
        <v>1724</v>
      </c>
      <c r="G22" s="18">
        <v>0</v>
      </c>
      <c r="H22" s="35" t="s">
        <v>1720</v>
      </c>
      <c r="I22" s="35" t="s">
        <v>929</v>
      </c>
      <c r="J22" s="18" t="s">
        <v>1724</v>
      </c>
      <c r="K22" s="18">
        <v>0</v>
      </c>
      <c r="L22" s="19"/>
    </row>
    <row r="23" spans="1:12" ht="23.25" customHeight="1" x14ac:dyDescent="0.2">
      <c r="A23" s="19" t="s">
        <v>159</v>
      </c>
      <c r="B23" s="18">
        <v>1</v>
      </c>
      <c r="C23" s="19" t="s">
        <v>1730</v>
      </c>
      <c r="D23" s="35" t="s">
        <v>1717</v>
      </c>
      <c r="E23" s="35" t="s">
        <v>1698</v>
      </c>
      <c r="F23" s="18" t="s">
        <v>1724</v>
      </c>
      <c r="G23" s="18">
        <v>0</v>
      </c>
      <c r="H23" s="35" t="s">
        <v>1720</v>
      </c>
      <c r="I23" s="35" t="s">
        <v>929</v>
      </c>
      <c r="J23" s="18" t="s">
        <v>1724</v>
      </c>
      <c r="K23" s="18">
        <v>0</v>
      </c>
      <c r="L23" s="19"/>
    </row>
    <row r="24" spans="1:12" ht="23.25" customHeight="1" x14ac:dyDescent="0.2">
      <c r="A24" s="19" t="s">
        <v>159</v>
      </c>
      <c r="B24" s="18">
        <v>2</v>
      </c>
      <c r="C24" s="19" t="s">
        <v>1731</v>
      </c>
      <c r="D24" s="35" t="s">
        <v>1732</v>
      </c>
      <c r="E24" s="35" t="s">
        <v>1733</v>
      </c>
      <c r="F24" s="18" t="s">
        <v>1724</v>
      </c>
      <c r="G24" s="18">
        <v>1</v>
      </c>
      <c r="H24" s="35" t="s">
        <v>1734</v>
      </c>
      <c r="I24" s="35" t="s">
        <v>1733</v>
      </c>
      <c r="J24" s="18" t="s">
        <v>1724</v>
      </c>
      <c r="K24" s="18">
        <v>1</v>
      </c>
      <c r="L24" s="19" t="s">
        <v>1735</v>
      </c>
    </row>
    <row r="25" spans="1:12" ht="23.25" customHeight="1" x14ac:dyDescent="0.2">
      <c r="A25" s="19" t="s">
        <v>159</v>
      </c>
      <c r="B25" s="18">
        <v>3</v>
      </c>
      <c r="C25" s="19" t="s">
        <v>1731</v>
      </c>
      <c r="D25" s="35" t="s">
        <v>1732</v>
      </c>
      <c r="E25" s="35" t="s">
        <v>1733</v>
      </c>
      <c r="F25" s="18" t="s">
        <v>1724</v>
      </c>
      <c r="G25" s="18">
        <v>1</v>
      </c>
      <c r="H25" s="35" t="s">
        <v>1734</v>
      </c>
      <c r="I25" s="35" t="s">
        <v>1733</v>
      </c>
      <c r="J25" s="18" t="s">
        <v>1724</v>
      </c>
      <c r="K25" s="18">
        <v>0</v>
      </c>
      <c r="L25" s="19"/>
    </row>
    <row r="26" spans="1:12" ht="23.25" customHeight="1" x14ac:dyDescent="0.2">
      <c r="A26" s="19" t="s">
        <v>159</v>
      </c>
      <c r="B26" s="18">
        <v>4</v>
      </c>
      <c r="C26" s="19" t="s">
        <v>1736</v>
      </c>
      <c r="D26" s="35" t="s">
        <v>1737</v>
      </c>
      <c r="E26" s="35" t="s">
        <v>1738</v>
      </c>
      <c r="F26" s="18" t="s">
        <v>1724</v>
      </c>
      <c r="G26" s="18">
        <v>0</v>
      </c>
      <c r="H26" s="35" t="s">
        <v>1734</v>
      </c>
      <c r="I26" s="35" t="s">
        <v>1733</v>
      </c>
      <c r="J26" s="18" t="s">
        <v>1724</v>
      </c>
      <c r="K26" s="18">
        <v>0</v>
      </c>
      <c r="L26" s="19" t="s">
        <v>1739</v>
      </c>
    </row>
    <row r="27" spans="1:12" ht="23.25" customHeight="1" x14ac:dyDescent="0.2">
      <c r="A27" s="19" t="s">
        <v>159</v>
      </c>
      <c r="B27" s="18">
        <v>5</v>
      </c>
      <c r="C27" s="19" t="s">
        <v>1740</v>
      </c>
      <c r="D27" s="35" t="s">
        <v>1737</v>
      </c>
      <c r="E27" s="35" t="s">
        <v>1738</v>
      </c>
      <c r="F27" s="18" t="s">
        <v>1724</v>
      </c>
      <c r="G27" s="18">
        <v>0</v>
      </c>
      <c r="H27" s="35" t="s">
        <v>1734</v>
      </c>
      <c r="I27" s="35" t="s">
        <v>1733</v>
      </c>
      <c r="J27" s="18" t="s">
        <v>1724</v>
      </c>
      <c r="K27" s="18">
        <v>0</v>
      </c>
      <c r="L27" s="19"/>
    </row>
    <row r="28" spans="1:12" ht="23.25" customHeight="1" x14ac:dyDescent="0.2">
      <c r="A28" s="19" t="s">
        <v>159</v>
      </c>
      <c r="B28" s="18">
        <v>6</v>
      </c>
      <c r="C28" s="19" t="s">
        <v>1736</v>
      </c>
      <c r="D28" s="35" t="s">
        <v>1737</v>
      </c>
      <c r="E28" s="35" t="s">
        <v>1738</v>
      </c>
      <c r="F28" s="18" t="s">
        <v>1724</v>
      </c>
      <c r="G28" s="18">
        <v>0</v>
      </c>
      <c r="H28" s="35" t="s">
        <v>1734</v>
      </c>
      <c r="I28" s="35" t="s">
        <v>1733</v>
      </c>
      <c r="J28" s="18" t="s">
        <v>1724</v>
      </c>
      <c r="K28" s="18">
        <v>0</v>
      </c>
      <c r="L28" s="19"/>
    </row>
    <row r="29" spans="1:12" ht="23.25" customHeight="1" x14ac:dyDescent="0.2">
      <c r="A29" s="19" t="s">
        <v>159</v>
      </c>
      <c r="B29" s="18">
        <v>7</v>
      </c>
      <c r="C29" s="19" t="s">
        <v>1731</v>
      </c>
      <c r="D29" s="35" t="s">
        <v>1732</v>
      </c>
      <c r="E29" s="35" t="s">
        <v>1733</v>
      </c>
      <c r="F29" s="18" t="s">
        <v>1724</v>
      </c>
      <c r="G29" s="18">
        <v>1</v>
      </c>
      <c r="H29" s="35" t="s">
        <v>1734</v>
      </c>
      <c r="I29" s="35" t="s">
        <v>1733</v>
      </c>
      <c r="J29" s="18" t="s">
        <v>1724</v>
      </c>
      <c r="K29" s="18">
        <v>0</v>
      </c>
      <c r="L29" s="19"/>
    </row>
    <row r="30" spans="1:12" ht="23.25" customHeight="1" x14ac:dyDescent="0.2">
      <c r="A30" s="19" t="s">
        <v>159</v>
      </c>
      <c r="B30" s="18">
        <v>8</v>
      </c>
      <c r="C30" s="19" t="s">
        <v>1740</v>
      </c>
      <c r="D30" s="35" t="s">
        <v>1737</v>
      </c>
      <c r="E30" s="35" t="s">
        <v>1738</v>
      </c>
      <c r="F30" s="18" t="s">
        <v>1724</v>
      </c>
      <c r="G30" s="18">
        <v>0</v>
      </c>
      <c r="H30" s="35" t="s">
        <v>1734</v>
      </c>
      <c r="I30" s="35" t="s">
        <v>1733</v>
      </c>
      <c r="J30" s="18" t="s">
        <v>1724</v>
      </c>
      <c r="K30" s="18">
        <v>0</v>
      </c>
      <c r="L30" s="19"/>
    </row>
    <row r="31" spans="1:12" ht="23.25" customHeight="1" x14ac:dyDescent="0.2">
      <c r="A31" s="19" t="s">
        <v>159</v>
      </c>
      <c r="B31" s="18">
        <v>9</v>
      </c>
      <c r="C31" s="19" t="s">
        <v>1741</v>
      </c>
      <c r="D31" s="35" t="s">
        <v>1737</v>
      </c>
      <c r="E31" s="35" t="s">
        <v>1738</v>
      </c>
      <c r="F31" s="18" t="s">
        <v>1724</v>
      </c>
      <c r="G31" s="18">
        <v>0</v>
      </c>
      <c r="H31" s="35" t="s">
        <v>1720</v>
      </c>
      <c r="I31" s="35" t="s">
        <v>929</v>
      </c>
      <c r="J31" s="18" t="s">
        <v>1724</v>
      </c>
      <c r="K31" s="18">
        <v>1</v>
      </c>
      <c r="L31" s="19" t="s">
        <v>1742</v>
      </c>
    </row>
    <row r="32" spans="1:12" ht="23.25" customHeight="1" x14ac:dyDescent="0.2">
      <c r="A32" s="19" t="s">
        <v>159</v>
      </c>
      <c r="B32" s="18">
        <v>10</v>
      </c>
      <c r="C32" s="19" t="s">
        <v>1743</v>
      </c>
      <c r="D32" s="35" t="s">
        <v>1737</v>
      </c>
      <c r="E32" s="35" t="s">
        <v>1738</v>
      </c>
      <c r="F32" s="18" t="s">
        <v>1724</v>
      </c>
      <c r="G32" s="18">
        <v>0</v>
      </c>
      <c r="H32" s="35" t="s">
        <v>1720</v>
      </c>
      <c r="I32" s="35" t="s">
        <v>929</v>
      </c>
      <c r="J32" s="18" t="s">
        <v>1724</v>
      </c>
      <c r="K32" s="18">
        <v>0</v>
      </c>
      <c r="L32" s="19"/>
    </row>
    <row r="33" spans="1:12" ht="23.25" customHeight="1" x14ac:dyDescent="0.2">
      <c r="A33" s="19" t="s">
        <v>159</v>
      </c>
      <c r="B33" s="18">
        <v>11</v>
      </c>
      <c r="C33" s="19" t="s">
        <v>1730</v>
      </c>
      <c r="D33" s="35" t="s">
        <v>1737</v>
      </c>
      <c r="E33" s="35" t="s">
        <v>1738</v>
      </c>
      <c r="F33" s="18" t="s">
        <v>1724</v>
      </c>
      <c r="G33" s="18">
        <v>0</v>
      </c>
      <c r="H33" s="35" t="s">
        <v>1720</v>
      </c>
      <c r="I33" s="35" t="s">
        <v>929</v>
      </c>
      <c r="J33" s="18" t="s">
        <v>1724</v>
      </c>
      <c r="K33" s="18">
        <v>0</v>
      </c>
      <c r="L33" s="19"/>
    </row>
    <row r="34" spans="1:12" ht="23.25" customHeight="1" x14ac:dyDescent="0.2">
      <c r="A34" s="19" t="s">
        <v>159</v>
      </c>
      <c r="B34" s="18">
        <v>12</v>
      </c>
      <c r="C34" s="19" t="s">
        <v>1730</v>
      </c>
      <c r="D34" s="35" t="s">
        <v>1737</v>
      </c>
      <c r="E34" s="35" t="s">
        <v>1738</v>
      </c>
      <c r="F34" s="18" t="s">
        <v>1724</v>
      </c>
      <c r="G34" s="18">
        <v>0</v>
      </c>
      <c r="H34" s="35" t="s">
        <v>1720</v>
      </c>
      <c r="I34" s="35" t="s">
        <v>929</v>
      </c>
      <c r="J34" s="18" t="s">
        <v>1724</v>
      </c>
      <c r="K34" s="18">
        <v>0</v>
      </c>
      <c r="L34" s="19"/>
    </row>
    <row r="35" spans="1:12" ht="23.25" customHeight="1" x14ac:dyDescent="0.2">
      <c r="A35" s="19" t="s">
        <v>159</v>
      </c>
      <c r="B35" s="18">
        <v>13</v>
      </c>
      <c r="C35" s="19" t="s">
        <v>1731</v>
      </c>
      <c r="D35" s="35" t="s">
        <v>1732</v>
      </c>
      <c r="E35" s="35" t="s">
        <v>1733</v>
      </c>
      <c r="F35" s="18" t="s">
        <v>1724</v>
      </c>
      <c r="G35" s="18">
        <v>1</v>
      </c>
      <c r="H35" s="35" t="s">
        <v>1734</v>
      </c>
      <c r="I35" s="35" t="s">
        <v>1733</v>
      </c>
      <c r="J35" s="18" t="s">
        <v>1724</v>
      </c>
      <c r="K35" s="18">
        <v>1</v>
      </c>
      <c r="L35" s="19" t="s">
        <v>1744</v>
      </c>
    </row>
    <row r="36" spans="1:12" ht="23.25" customHeight="1" x14ac:dyDescent="0.2">
      <c r="A36" s="19" t="s">
        <v>159</v>
      </c>
      <c r="B36" s="18">
        <v>14</v>
      </c>
      <c r="C36" s="19" t="s">
        <v>1736</v>
      </c>
      <c r="D36" s="35" t="s">
        <v>1737</v>
      </c>
      <c r="E36" s="35" t="s">
        <v>1738</v>
      </c>
      <c r="F36" s="18" t="s">
        <v>1724</v>
      </c>
      <c r="G36" s="18">
        <v>0</v>
      </c>
      <c r="H36" s="35" t="s">
        <v>1734</v>
      </c>
      <c r="I36" s="35" t="s">
        <v>1733</v>
      </c>
      <c r="J36" s="18" t="s">
        <v>1724</v>
      </c>
      <c r="K36" s="18">
        <v>0</v>
      </c>
      <c r="L36" s="19" t="s">
        <v>1744</v>
      </c>
    </row>
    <row r="37" spans="1:12" ht="23.25" customHeight="1" x14ac:dyDescent="0.2">
      <c r="A37" s="19" t="s">
        <v>159</v>
      </c>
      <c r="B37" s="18">
        <v>15</v>
      </c>
      <c r="C37" s="19" t="s">
        <v>1731</v>
      </c>
      <c r="D37" s="35" t="s">
        <v>1732</v>
      </c>
      <c r="E37" s="35" t="s">
        <v>1733</v>
      </c>
      <c r="F37" s="18" t="s">
        <v>1724</v>
      </c>
      <c r="G37" s="18">
        <v>1</v>
      </c>
      <c r="H37" s="35" t="s">
        <v>1734</v>
      </c>
      <c r="I37" s="35" t="s">
        <v>1733</v>
      </c>
      <c r="J37" s="18" t="s">
        <v>1724</v>
      </c>
      <c r="K37" s="18">
        <v>0</v>
      </c>
      <c r="L37" s="19" t="s">
        <v>1744</v>
      </c>
    </row>
    <row r="38" spans="1:12" ht="23.25" customHeight="1" x14ac:dyDescent="0.2">
      <c r="A38" s="19" t="s">
        <v>159</v>
      </c>
      <c r="B38" s="18">
        <v>16</v>
      </c>
      <c r="C38" s="19" t="s">
        <v>1736</v>
      </c>
      <c r="D38" s="35" t="s">
        <v>1737</v>
      </c>
      <c r="E38" s="35" t="s">
        <v>1738</v>
      </c>
      <c r="F38" s="18" t="s">
        <v>1724</v>
      </c>
      <c r="G38" s="18">
        <v>0</v>
      </c>
      <c r="H38" s="35" t="s">
        <v>1734</v>
      </c>
      <c r="I38" s="35" t="s">
        <v>1733</v>
      </c>
      <c r="J38" s="18" t="s">
        <v>1724</v>
      </c>
      <c r="K38" s="18">
        <v>0</v>
      </c>
      <c r="L38" s="19" t="s">
        <v>1744</v>
      </c>
    </row>
    <row r="39" spans="1:12" ht="23.25" customHeight="1" x14ac:dyDescent="0.2">
      <c r="A39" s="19" t="s">
        <v>159</v>
      </c>
      <c r="B39" s="18">
        <v>17</v>
      </c>
      <c r="C39" s="19" t="s">
        <v>1730</v>
      </c>
      <c r="D39" s="35" t="s">
        <v>1737</v>
      </c>
      <c r="E39" s="35" t="s">
        <v>1738</v>
      </c>
      <c r="F39" s="18" t="s">
        <v>1724</v>
      </c>
      <c r="G39" s="18">
        <v>0</v>
      </c>
      <c r="H39" s="35" t="s">
        <v>1720</v>
      </c>
      <c r="I39" s="35" t="s">
        <v>929</v>
      </c>
      <c r="J39" s="18" t="s">
        <v>1724</v>
      </c>
      <c r="K39" s="18">
        <v>1</v>
      </c>
      <c r="L39" s="19"/>
    </row>
    <row r="40" spans="1:12" ht="23.25" customHeight="1" x14ac:dyDescent="0.2">
      <c r="A40" s="19" t="s">
        <v>1745</v>
      </c>
      <c r="B40" s="18">
        <v>0</v>
      </c>
      <c r="C40" s="19" t="s">
        <v>1746</v>
      </c>
      <c r="D40" s="35" t="s">
        <v>1737</v>
      </c>
      <c r="E40" s="35" t="s">
        <v>1747</v>
      </c>
      <c r="F40" s="18" t="s">
        <v>1724</v>
      </c>
      <c r="G40" s="18">
        <v>0</v>
      </c>
      <c r="H40" s="35" t="s">
        <v>1720</v>
      </c>
      <c r="I40" s="35" t="s">
        <v>1748</v>
      </c>
      <c r="J40" s="18" t="s">
        <v>1724</v>
      </c>
      <c r="K40" s="18">
        <v>0</v>
      </c>
      <c r="L40" s="19"/>
    </row>
    <row r="41" spans="1:12" ht="23.25" customHeight="1" x14ac:dyDescent="0.2">
      <c r="A41" s="19" t="s">
        <v>1745</v>
      </c>
      <c r="B41" s="18">
        <v>1</v>
      </c>
      <c r="C41" s="19" t="s">
        <v>1749</v>
      </c>
      <c r="D41" s="35" t="s">
        <v>1737</v>
      </c>
      <c r="E41" s="35" t="s">
        <v>1747</v>
      </c>
      <c r="F41" s="18" t="s">
        <v>1724</v>
      </c>
      <c r="G41" s="18">
        <v>0</v>
      </c>
      <c r="H41" s="35" t="s">
        <v>1720</v>
      </c>
      <c r="I41" s="35" t="s">
        <v>1748</v>
      </c>
      <c r="J41" s="18" t="s">
        <v>1724</v>
      </c>
      <c r="K41" s="18">
        <v>0</v>
      </c>
      <c r="L41" s="19"/>
    </row>
    <row r="42" spans="1:12" ht="23.25" customHeight="1" x14ac:dyDescent="0.2">
      <c r="A42" s="19" t="s">
        <v>1745</v>
      </c>
      <c r="B42" s="18">
        <v>2</v>
      </c>
      <c r="C42" s="19" t="s">
        <v>1750</v>
      </c>
      <c r="D42" s="35" t="s">
        <v>1751</v>
      </c>
      <c r="E42" s="35" t="s">
        <v>1752</v>
      </c>
      <c r="F42" s="18" t="s">
        <v>1719</v>
      </c>
      <c r="G42" s="18">
        <v>0</v>
      </c>
      <c r="H42" s="35" t="s">
        <v>1720</v>
      </c>
      <c r="I42" s="35" t="s">
        <v>1748</v>
      </c>
      <c r="J42" s="18" t="s">
        <v>1724</v>
      </c>
      <c r="K42" s="18">
        <v>0</v>
      </c>
      <c r="L42" s="19" t="s">
        <v>1753</v>
      </c>
    </row>
    <row r="44" spans="1:12" ht="15" customHeight="1" x14ac:dyDescent="0.2">
      <c r="A44" s="6" t="s">
        <v>1754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18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7" customWidth="1"/>
    <col min="2" max="2" width="12" customWidth="1"/>
    <col min="3" max="3" width="22" customWidth="1"/>
    <col min="4" max="4" width="34" customWidth="1"/>
    <col min="5" max="5" width="58" customWidth="1"/>
    <col min="6" max="6" width="26" customWidth="1"/>
    <col min="7" max="7" width="58" customWidth="1"/>
  </cols>
  <sheetData>
    <row r="1" spans="1:7" ht="17.25" customHeight="1" x14ac:dyDescent="0.2">
      <c r="A1" s="5" t="s">
        <v>1755</v>
      </c>
    </row>
    <row r="2" spans="1:7" ht="15" customHeight="1" x14ac:dyDescent="0.2">
      <c r="A2" s="6" t="s">
        <v>1756</v>
      </c>
    </row>
    <row r="4" spans="1:7" ht="15" customHeight="1" x14ac:dyDescent="0.2">
      <c r="A4" s="17" t="s">
        <v>100</v>
      </c>
      <c r="B4" s="17" t="s">
        <v>1757</v>
      </c>
      <c r="C4" s="17" t="s">
        <v>285</v>
      </c>
      <c r="D4" s="17" t="s">
        <v>1758</v>
      </c>
      <c r="E4" s="17" t="s">
        <v>1759</v>
      </c>
      <c r="F4" s="17" t="s">
        <v>228</v>
      </c>
      <c r="G4" s="17" t="s">
        <v>1760</v>
      </c>
    </row>
    <row r="5" spans="1:7" ht="68.25" customHeight="1" x14ac:dyDescent="0.2">
      <c r="A5" s="18" t="s">
        <v>1761</v>
      </c>
      <c r="B5" s="18" t="s">
        <v>1762</v>
      </c>
      <c r="C5" s="23" t="s">
        <v>1763</v>
      </c>
      <c r="D5" s="19" t="s">
        <v>1764</v>
      </c>
      <c r="E5" s="19" t="s">
        <v>1765</v>
      </c>
      <c r="F5" s="19" t="s">
        <v>1766</v>
      </c>
      <c r="G5" s="19" t="s">
        <v>1767</v>
      </c>
    </row>
    <row r="6" spans="1:7" ht="34.5" customHeight="1" x14ac:dyDescent="0.2">
      <c r="A6" s="18" t="s">
        <v>1768</v>
      </c>
      <c r="B6" s="18" t="s">
        <v>1762</v>
      </c>
      <c r="C6" s="23" t="s">
        <v>1769</v>
      </c>
      <c r="D6" s="19" t="s">
        <v>1770</v>
      </c>
      <c r="E6" s="19" t="s">
        <v>1771</v>
      </c>
      <c r="F6" s="19" t="s">
        <v>1772</v>
      </c>
      <c r="G6" s="19" t="s">
        <v>1773</v>
      </c>
    </row>
    <row r="7" spans="1:7" ht="34.5" customHeight="1" x14ac:dyDescent="0.2">
      <c r="A7" s="18" t="s">
        <v>1774</v>
      </c>
      <c r="B7" s="18" t="s">
        <v>1762</v>
      </c>
      <c r="C7" s="23" t="s">
        <v>1769</v>
      </c>
      <c r="D7" s="19" t="s">
        <v>1775</v>
      </c>
      <c r="E7" s="19" t="s">
        <v>1776</v>
      </c>
      <c r="F7" s="19" t="s">
        <v>1777</v>
      </c>
      <c r="G7" s="19" t="s">
        <v>1778</v>
      </c>
    </row>
    <row r="8" spans="1:7" ht="34.5" customHeight="1" x14ac:dyDescent="0.2">
      <c r="A8" s="18" t="s">
        <v>1779</v>
      </c>
      <c r="B8" s="18" t="s">
        <v>1762</v>
      </c>
      <c r="C8" s="23" t="s">
        <v>1780</v>
      </c>
      <c r="D8" s="19" t="s">
        <v>1781</v>
      </c>
      <c r="E8" s="19" t="s">
        <v>1782</v>
      </c>
      <c r="F8" s="19" t="s">
        <v>1783</v>
      </c>
      <c r="G8" s="19" t="s">
        <v>1784</v>
      </c>
    </row>
    <row r="9" spans="1:7" ht="23.25" customHeight="1" x14ac:dyDescent="0.2">
      <c r="A9" s="18" t="s">
        <v>1785</v>
      </c>
      <c r="B9" s="18" t="s">
        <v>1762</v>
      </c>
      <c r="C9" s="23" t="s">
        <v>1780</v>
      </c>
      <c r="D9" s="19" t="s">
        <v>1786</v>
      </c>
      <c r="E9" s="19" t="s">
        <v>1787</v>
      </c>
      <c r="F9" s="19" t="s">
        <v>1788</v>
      </c>
      <c r="G9" s="19" t="s">
        <v>1789</v>
      </c>
    </row>
    <row r="10" spans="1:7" ht="23.25" customHeight="1" x14ac:dyDescent="0.2">
      <c r="A10" s="18" t="s">
        <v>1790</v>
      </c>
      <c r="B10" s="18" t="s">
        <v>1791</v>
      </c>
      <c r="C10" s="23" t="s">
        <v>1780</v>
      </c>
      <c r="D10" s="19" t="s">
        <v>1792</v>
      </c>
      <c r="E10" s="19" t="s">
        <v>1793</v>
      </c>
      <c r="F10" s="19" t="s">
        <v>1794</v>
      </c>
      <c r="G10" s="19" t="s">
        <v>1795</v>
      </c>
    </row>
    <row r="11" spans="1:7" ht="23.25" customHeight="1" x14ac:dyDescent="0.2">
      <c r="A11" s="18" t="s">
        <v>1796</v>
      </c>
      <c r="B11" s="18" t="s">
        <v>1797</v>
      </c>
      <c r="C11" s="23" t="s">
        <v>1763</v>
      </c>
      <c r="D11" s="19" t="s">
        <v>1798</v>
      </c>
      <c r="E11" s="19" t="s">
        <v>1799</v>
      </c>
      <c r="F11" s="19" t="s">
        <v>1800</v>
      </c>
      <c r="G11" s="19" t="s">
        <v>1801</v>
      </c>
    </row>
    <row r="12" spans="1:7" ht="15" customHeight="1" x14ac:dyDescent="0.2">
      <c r="A12" s="18" t="s">
        <v>1802</v>
      </c>
      <c r="B12" s="18" t="s">
        <v>1791</v>
      </c>
      <c r="C12" s="23" t="s">
        <v>1763</v>
      </c>
      <c r="D12" s="19" t="s">
        <v>1803</v>
      </c>
      <c r="E12" s="19" t="s">
        <v>1804</v>
      </c>
      <c r="F12" s="19" t="s">
        <v>1805</v>
      </c>
      <c r="G12" s="19" t="s">
        <v>1806</v>
      </c>
    </row>
    <row r="13" spans="1:7" ht="34.5" customHeight="1" x14ac:dyDescent="0.2">
      <c r="A13" s="18" t="s">
        <v>1807</v>
      </c>
      <c r="B13" s="18" t="s">
        <v>1791</v>
      </c>
      <c r="C13" s="23" t="s">
        <v>1780</v>
      </c>
      <c r="D13" s="19" t="s">
        <v>1808</v>
      </c>
      <c r="E13" s="19" t="s">
        <v>1809</v>
      </c>
      <c r="F13" s="19" t="s">
        <v>1810</v>
      </c>
      <c r="G13" s="19" t="s">
        <v>1811</v>
      </c>
    </row>
    <row r="14" spans="1:7" ht="45.75" customHeight="1" x14ac:dyDescent="0.2">
      <c r="A14" s="18" t="s">
        <v>1812</v>
      </c>
      <c r="B14" s="18" t="s">
        <v>1813</v>
      </c>
      <c r="C14" s="23" t="s">
        <v>1780</v>
      </c>
      <c r="D14" s="19" t="s">
        <v>1814</v>
      </c>
      <c r="E14" s="19" t="s">
        <v>1815</v>
      </c>
      <c r="F14" s="19" t="s">
        <v>1816</v>
      </c>
      <c r="G14" s="19" t="s">
        <v>1817</v>
      </c>
    </row>
    <row r="15" spans="1:7" ht="23.25" customHeight="1" x14ac:dyDescent="0.2">
      <c r="A15" s="18" t="s">
        <v>1818</v>
      </c>
      <c r="B15" s="18" t="s">
        <v>1813</v>
      </c>
      <c r="C15" s="23" t="s">
        <v>1780</v>
      </c>
      <c r="D15" s="19" t="s">
        <v>1819</v>
      </c>
      <c r="E15" s="19" t="s">
        <v>1820</v>
      </c>
      <c r="F15" s="19" t="s">
        <v>304</v>
      </c>
      <c r="G15" s="19" t="s">
        <v>1821</v>
      </c>
    </row>
    <row r="16" spans="1:7" ht="23.25" customHeight="1" x14ac:dyDescent="0.2">
      <c r="A16" s="18" t="s">
        <v>1822</v>
      </c>
      <c r="B16" s="18" t="s">
        <v>1791</v>
      </c>
      <c r="C16" s="23" t="s">
        <v>1780</v>
      </c>
      <c r="D16" s="19" t="s">
        <v>1823</v>
      </c>
      <c r="E16" s="19" t="s">
        <v>1824</v>
      </c>
      <c r="F16" s="19" t="s">
        <v>304</v>
      </c>
      <c r="G16" s="19" t="s">
        <v>1825</v>
      </c>
    </row>
    <row r="17" spans="1:7" ht="23.25" customHeight="1" x14ac:dyDescent="0.2">
      <c r="A17" s="18" t="s">
        <v>1826</v>
      </c>
      <c r="B17" s="18" t="s">
        <v>1791</v>
      </c>
      <c r="C17" s="23" t="s">
        <v>1763</v>
      </c>
      <c r="D17" s="19" t="s">
        <v>1827</v>
      </c>
      <c r="E17" s="19" t="s">
        <v>1828</v>
      </c>
      <c r="F17" s="19" t="s">
        <v>1829</v>
      </c>
      <c r="G17" s="19" t="s">
        <v>1830</v>
      </c>
    </row>
    <row r="18" spans="1:7" ht="23.25" customHeight="1" x14ac:dyDescent="0.2">
      <c r="A18" s="18" t="s">
        <v>1831</v>
      </c>
      <c r="B18" s="18" t="s">
        <v>1791</v>
      </c>
      <c r="C18" s="23" t="s">
        <v>1780</v>
      </c>
      <c r="D18" s="19" t="s">
        <v>1832</v>
      </c>
      <c r="E18" s="19" t="s">
        <v>1833</v>
      </c>
      <c r="F18" s="19" t="s">
        <v>1834</v>
      </c>
      <c r="G18" s="19" t="s">
        <v>1835</v>
      </c>
    </row>
  </sheetData>
  <conditionalFormatting sqref="C5:C18">
    <cfRule type="cellIs" dxfId="15" priority="2" operator="equal">
      <formula>"PASS"</formula>
    </cfRule>
    <cfRule type="cellIs" dxfId="14" priority="3" operator="equal">
      <formula>"FAIL"</formula>
    </cfRule>
    <cfRule type="cellIs" dxfId="13" priority="4" operator="equal">
      <formula>"OBSERVATION"</formula>
    </cfRule>
    <cfRule type="cellIs" dxfId="12" priority="5" operator="equal">
      <formula>"Fixed in final file"</formula>
    </cfRule>
    <cfRule type="cellIs" dxfId="11" priority="6" operator="equal">
      <formula>"Fixed and verified"</formula>
    </cfRule>
    <cfRule type="cellIs" dxfId="10" priority="7" operator="equal">
      <formula>"Applied"</formula>
    </cfRule>
    <cfRule type="cellIs" dxfId="9" priority="8" operator="equal">
      <formula>"Open - recommendation"</formula>
    </cfRule>
    <cfRule type="cellIs" dxfId="8" priority="9" operator="equal">
      <formula>"Open - check on bench"</formula>
    </cfRule>
  </conditionalFormatting>
  <pageMargins left="0.75" right="0.75" top="1" bottom="1" header="0.511811023622047" footer="0.511811023622047"/>
  <pageSetup paperSize="9"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E19"/>
  <sheetViews>
    <sheetView showGridLines="0" zoomScaleNormal="100" workbookViewId="0">
      <pane ySplit="7" topLeftCell="A8" activePane="bottomLeft" state="frozen"/>
      <selection pane="bottomLeft"/>
    </sheetView>
  </sheetViews>
  <sheetFormatPr baseColWidth="10" defaultColWidth="8.6640625" defaultRowHeight="15" x14ac:dyDescent="0.2"/>
  <cols>
    <col min="1" max="1" width="40" customWidth="1"/>
    <col min="2" max="2" width="16" customWidth="1"/>
    <col min="3" max="4" width="20" customWidth="1"/>
    <col min="5" max="5" width="60" customWidth="1"/>
  </cols>
  <sheetData>
    <row r="1" spans="1:5" ht="17.25" customHeight="1" x14ac:dyDescent="0.2">
      <c r="A1" s="5" t="s">
        <v>1836</v>
      </c>
    </row>
    <row r="2" spans="1:5" ht="15" customHeight="1" x14ac:dyDescent="0.2">
      <c r="A2" s="6" t="s">
        <v>1837</v>
      </c>
    </row>
    <row r="3" spans="1:5" ht="15" customHeight="1" x14ac:dyDescent="0.2">
      <c r="A3" s="16" t="s">
        <v>1838</v>
      </c>
      <c r="E3" s="26">
        <v>30720</v>
      </c>
    </row>
    <row r="4" spans="1:5" ht="15" customHeight="1" x14ac:dyDescent="0.2">
      <c r="A4" s="16" t="s">
        <v>1839</v>
      </c>
      <c r="E4" s="26">
        <v>2048</v>
      </c>
    </row>
    <row r="5" spans="1:5" ht="15" customHeight="1" x14ac:dyDescent="0.2">
      <c r="A5" s="16" t="s">
        <v>1840</v>
      </c>
      <c r="E5" s="26">
        <v>2000</v>
      </c>
    </row>
    <row r="7" spans="1:5" ht="15" customHeight="1" x14ac:dyDescent="0.2">
      <c r="A7" s="17" t="s">
        <v>226</v>
      </c>
      <c r="B7" s="17" t="s">
        <v>46</v>
      </c>
      <c r="C7" s="17" t="s">
        <v>1841</v>
      </c>
      <c r="D7" s="17" t="s">
        <v>1842</v>
      </c>
      <c r="E7" s="17" t="s">
        <v>1843</v>
      </c>
    </row>
    <row r="8" spans="1:5" ht="15" customHeight="1" x14ac:dyDescent="0.2">
      <c r="A8" s="24" t="s">
        <v>1844</v>
      </c>
      <c r="B8" s="22">
        <v>8052</v>
      </c>
      <c r="C8" s="22">
        <v>9358</v>
      </c>
      <c r="D8" s="22">
        <v>10358</v>
      </c>
      <c r="E8" s="19" t="s">
        <v>1845</v>
      </c>
    </row>
    <row r="9" spans="1:5" ht="15" customHeight="1" x14ac:dyDescent="0.2">
      <c r="A9" s="24" t="s">
        <v>1846</v>
      </c>
      <c r="B9" s="36">
        <f>B8/$E$3</f>
        <v>0.26210937499999998</v>
      </c>
      <c r="C9" s="36">
        <f>C8/$E$3</f>
        <v>0.30462239583333334</v>
      </c>
      <c r="D9" s="36">
        <f>D8/$E$3</f>
        <v>0.33717447916666665</v>
      </c>
      <c r="E9" s="19" t="s">
        <v>1847</v>
      </c>
    </row>
    <row r="10" spans="1:5" ht="15" customHeight="1" x14ac:dyDescent="0.2">
      <c r="A10" s="24" t="s">
        <v>1848</v>
      </c>
      <c r="B10" s="22">
        <v>1319</v>
      </c>
      <c r="C10" s="22">
        <v>273</v>
      </c>
      <c r="D10" s="22">
        <v>287</v>
      </c>
      <c r="E10" s="19" t="s">
        <v>1849</v>
      </c>
    </row>
    <row r="11" spans="1:5" ht="15" customHeight="1" x14ac:dyDescent="0.2">
      <c r="A11" s="24" t="s">
        <v>1850</v>
      </c>
      <c r="B11" s="22">
        <v>133</v>
      </c>
      <c r="C11" s="22">
        <v>210</v>
      </c>
      <c r="D11" s="22">
        <v>226</v>
      </c>
      <c r="E11" s="19" t="s">
        <v>1851</v>
      </c>
    </row>
    <row r="12" spans="1:5" ht="15" customHeight="1" x14ac:dyDescent="0.2">
      <c r="A12" s="24" t="s">
        <v>1852</v>
      </c>
      <c r="B12" s="22">
        <f>$E$4-B10-B11</f>
        <v>596</v>
      </c>
      <c r="C12" s="22">
        <f>$E$4-C10-C11</f>
        <v>1565</v>
      </c>
      <c r="D12" s="22">
        <f>$E$4-D10-D11</f>
        <v>1535</v>
      </c>
      <c r="E12" s="19" t="s">
        <v>1847</v>
      </c>
    </row>
    <row r="13" spans="1:5" ht="15" customHeight="1" x14ac:dyDescent="0.2">
      <c r="A13" s="24" t="s">
        <v>1853</v>
      </c>
      <c r="B13" s="37">
        <v>13</v>
      </c>
      <c r="C13" s="37">
        <v>42.7</v>
      </c>
      <c r="D13" s="37">
        <v>47.2</v>
      </c>
      <c r="E13" s="19" t="s">
        <v>1854</v>
      </c>
    </row>
    <row r="14" spans="1:5" ht="15" customHeight="1" x14ac:dyDescent="0.2">
      <c r="A14" s="24" t="s">
        <v>265</v>
      </c>
      <c r="B14" s="18">
        <v>573</v>
      </c>
      <c r="C14" s="18">
        <v>560</v>
      </c>
      <c r="D14" s="18">
        <v>560</v>
      </c>
      <c r="E14" s="19" t="s">
        <v>1855</v>
      </c>
    </row>
    <row r="15" spans="1:5" ht="15" customHeight="1" x14ac:dyDescent="0.2">
      <c r="A15" s="24" t="s">
        <v>1856</v>
      </c>
      <c r="B15" s="21" t="s">
        <v>155</v>
      </c>
      <c r="C15" s="21">
        <f>$E$5/C13</f>
        <v>46.838407494145194</v>
      </c>
      <c r="D15" s="21">
        <f>$E$5/D13</f>
        <v>42.372881355932201</v>
      </c>
      <c r="E15" s="19" t="s">
        <v>1857</v>
      </c>
    </row>
    <row r="16" spans="1:5" ht="15" customHeight="1" x14ac:dyDescent="0.2">
      <c r="A16" s="24" t="s">
        <v>1858</v>
      </c>
      <c r="B16" s="18">
        <v>10</v>
      </c>
      <c r="C16" s="18">
        <v>282</v>
      </c>
      <c r="D16" s="18">
        <v>282</v>
      </c>
      <c r="E16" s="19"/>
    </row>
    <row r="17" spans="1:5" ht="23.25" customHeight="1" x14ac:dyDescent="0.2">
      <c r="A17" s="24" t="s">
        <v>1859</v>
      </c>
      <c r="B17" s="34" t="s">
        <v>155</v>
      </c>
      <c r="C17" s="34">
        <v>3.476</v>
      </c>
      <c r="D17" s="34">
        <v>3.476</v>
      </c>
      <c r="E17" s="19" t="s">
        <v>1860</v>
      </c>
    </row>
    <row r="18" spans="1:5" ht="15" customHeight="1" x14ac:dyDescent="0.2">
      <c r="A18" s="24" t="s">
        <v>1861</v>
      </c>
      <c r="B18" s="37">
        <v>13</v>
      </c>
      <c r="C18" s="37">
        <f>C13+4*C17</f>
        <v>56.603999999999999</v>
      </c>
      <c r="D18" s="37">
        <f>D13+4*D17</f>
        <v>61.103999999999999</v>
      </c>
      <c r="E18" s="19" t="s">
        <v>1862</v>
      </c>
    </row>
    <row r="19" spans="1:5" ht="15" customHeight="1" x14ac:dyDescent="0.2">
      <c r="A19" s="24" t="s">
        <v>1863</v>
      </c>
      <c r="B19" s="21" t="s">
        <v>155</v>
      </c>
      <c r="C19" s="21">
        <f>$E$5/C18</f>
        <v>35.333192000565333</v>
      </c>
      <c r="D19" s="21">
        <f>$E$5/D18</f>
        <v>32.731081434930609</v>
      </c>
      <c r="E19" s="19" t="s">
        <v>1847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K62"/>
  <sheetViews>
    <sheetView showGridLines="0" zoomScaleNormal="100" workbookViewId="0">
      <pane ySplit="8" topLeftCell="A9" activePane="bottomLeft" state="frozen"/>
      <selection pane="bottomLeft"/>
    </sheetView>
  </sheetViews>
  <sheetFormatPr baseColWidth="10" defaultColWidth="8.6640625" defaultRowHeight="15" x14ac:dyDescent="0.2"/>
  <cols>
    <col min="1" max="1" width="8" customWidth="1"/>
    <col min="2" max="2" width="13" customWidth="1"/>
    <col min="3" max="3" width="9" customWidth="1"/>
    <col min="4" max="4" width="46" customWidth="1"/>
    <col min="5" max="5" width="13" customWidth="1"/>
    <col min="6" max="7" width="15" customWidth="1"/>
    <col min="8" max="10" width="12" customWidth="1"/>
    <col min="11" max="11" width="34" customWidth="1"/>
  </cols>
  <sheetData>
    <row r="1" spans="1:11" ht="17.25" customHeight="1" x14ac:dyDescent="0.2">
      <c r="A1" s="5" t="s">
        <v>1864</v>
      </c>
    </row>
    <row r="2" spans="1:11" ht="15" customHeight="1" x14ac:dyDescent="0.2">
      <c r="A2" s="6" t="s">
        <v>1865</v>
      </c>
    </row>
    <row r="3" spans="1:11" ht="15" customHeight="1" x14ac:dyDescent="0.2">
      <c r="A3" s="16" t="s">
        <v>1866</v>
      </c>
    </row>
    <row r="4" spans="1:11" ht="15" customHeight="1" x14ac:dyDescent="0.2">
      <c r="A4" s="16" t="s">
        <v>1867</v>
      </c>
      <c r="E4" s="38">
        <v>0.01</v>
      </c>
      <c r="F4" s="6" t="s">
        <v>1868</v>
      </c>
    </row>
    <row r="5" spans="1:11" ht="15" customHeight="1" x14ac:dyDescent="0.2">
      <c r="A5" s="16" t="s">
        <v>1869</v>
      </c>
      <c r="E5" s="38">
        <v>0.02</v>
      </c>
      <c r="F5" s="6" t="s">
        <v>1870</v>
      </c>
    </row>
    <row r="6" spans="1:11" x14ac:dyDescent="0.2">
      <c r="A6" s="16" t="s">
        <v>1871</v>
      </c>
      <c r="E6" s="39">
        <v>1E-3</v>
      </c>
      <c r="F6" s="6" t="s">
        <v>1872</v>
      </c>
    </row>
    <row r="8" spans="1:11" ht="23.25" customHeight="1" x14ac:dyDescent="0.2">
      <c r="A8" s="17" t="s">
        <v>100</v>
      </c>
      <c r="B8" s="17" t="s">
        <v>101</v>
      </c>
      <c r="C8" s="17" t="s">
        <v>1873</v>
      </c>
      <c r="D8" s="17" t="s">
        <v>1874</v>
      </c>
      <c r="E8" s="17" t="s">
        <v>5</v>
      </c>
      <c r="F8" s="17" t="s">
        <v>1875</v>
      </c>
      <c r="G8" s="17" t="s">
        <v>1876</v>
      </c>
      <c r="H8" s="17" t="s">
        <v>1877</v>
      </c>
      <c r="I8" s="17" t="s">
        <v>1878</v>
      </c>
      <c r="J8" s="17" t="s">
        <v>818</v>
      </c>
      <c r="K8" s="17" t="s">
        <v>1879</v>
      </c>
    </row>
    <row r="9" spans="1:11" ht="15" customHeight="1" x14ac:dyDescent="0.2">
      <c r="A9" s="40" t="s">
        <v>1880</v>
      </c>
      <c r="B9" s="41" t="s">
        <v>1881</v>
      </c>
      <c r="C9" s="40" t="s">
        <v>1882</v>
      </c>
      <c r="D9" s="41" t="s">
        <v>1883</v>
      </c>
      <c r="E9" s="42">
        <v>12</v>
      </c>
      <c r="F9" s="42">
        <v>12.012</v>
      </c>
      <c r="G9" s="42">
        <v>12.03</v>
      </c>
      <c r="H9" s="42">
        <f>IF(OR(F9="",G9=""),"",G9-F9)</f>
        <v>1.7999999999998906E-2</v>
      </c>
      <c r="I9" s="42">
        <f>ROUND($E$6*E9+$E$5,3)</f>
        <v>3.2000000000000001E-2</v>
      </c>
      <c r="J9" s="40" t="str">
        <f>IF(H9="","",IF(ABS(H9)&lt;=I9,"PASS","FAIL"))</f>
        <v>PASS</v>
      </c>
      <c r="K9" s="41" t="s">
        <v>1884</v>
      </c>
    </row>
    <row r="10" spans="1:11" ht="23.25" customHeight="1" x14ac:dyDescent="0.2">
      <c r="A10" s="18" t="s">
        <v>1885</v>
      </c>
      <c r="B10" s="19" t="s">
        <v>1886</v>
      </c>
      <c r="C10" s="18" t="s">
        <v>1887</v>
      </c>
      <c r="D10" s="19" t="s">
        <v>1888</v>
      </c>
      <c r="E10" s="34"/>
      <c r="F10" s="34"/>
      <c r="G10" s="34"/>
      <c r="H10" s="34"/>
      <c r="I10" s="34"/>
      <c r="J10" s="43"/>
      <c r="K10" s="19" t="s">
        <v>1796</v>
      </c>
    </row>
    <row r="11" spans="1:11" ht="23.25" customHeight="1" x14ac:dyDescent="0.2">
      <c r="A11" s="18" t="s">
        <v>1889</v>
      </c>
      <c r="B11" s="19" t="s">
        <v>1890</v>
      </c>
      <c r="C11" s="18" t="s">
        <v>1887</v>
      </c>
      <c r="D11" s="19" t="s">
        <v>1891</v>
      </c>
      <c r="E11" s="34"/>
      <c r="F11" s="34"/>
      <c r="G11" s="34"/>
      <c r="H11" s="34"/>
      <c r="I11" s="34"/>
      <c r="J11" s="43"/>
      <c r="K11" s="19" t="s">
        <v>1802</v>
      </c>
    </row>
    <row r="12" spans="1:11" ht="15" customHeight="1" x14ac:dyDescent="0.2">
      <c r="A12" s="18" t="s">
        <v>1892</v>
      </c>
      <c r="B12" s="19" t="s">
        <v>124</v>
      </c>
      <c r="C12" s="18" t="s">
        <v>1882</v>
      </c>
      <c r="D12" s="19" t="s">
        <v>1893</v>
      </c>
      <c r="E12" s="34">
        <v>0.8</v>
      </c>
      <c r="F12" s="44"/>
      <c r="G12" s="44"/>
      <c r="H12" s="34" t="str">
        <f t="shared" ref="H12:H51" si="0">IF(OR(F12="",G12=""),"",G12-F12)</f>
        <v/>
      </c>
      <c r="I12" s="34">
        <f t="shared" ref="I12:I31" si="1">ROUND($E$6*E12+$E$5,3)</f>
        <v>2.1000000000000001E-2</v>
      </c>
      <c r="J12" s="18" t="str">
        <f t="shared" ref="J12:J51" si="2">IF(H12="","",IF(ABS(H12)&lt;=I12,"PASS","FAIL"))</f>
        <v/>
      </c>
      <c r="K12" s="19" t="s">
        <v>1894</v>
      </c>
    </row>
    <row r="13" spans="1:11" ht="15" customHeight="1" x14ac:dyDescent="0.2">
      <c r="A13" s="18" t="s">
        <v>1895</v>
      </c>
      <c r="B13" s="19" t="s">
        <v>124</v>
      </c>
      <c r="C13" s="18" t="s">
        <v>1882</v>
      </c>
      <c r="D13" s="19" t="s">
        <v>1896</v>
      </c>
      <c r="E13" s="34">
        <v>4.1500000000000004</v>
      </c>
      <c r="F13" s="44"/>
      <c r="G13" s="44"/>
      <c r="H13" s="34" t="str">
        <f t="shared" si="0"/>
        <v/>
      </c>
      <c r="I13" s="34">
        <f t="shared" si="1"/>
        <v>2.4E-2</v>
      </c>
      <c r="J13" s="18" t="str">
        <f t="shared" si="2"/>
        <v/>
      </c>
      <c r="K13" s="19" t="s">
        <v>1897</v>
      </c>
    </row>
    <row r="14" spans="1:11" ht="15" customHeight="1" x14ac:dyDescent="0.2">
      <c r="A14" s="18" t="s">
        <v>1898</v>
      </c>
      <c r="B14" s="19" t="s">
        <v>124</v>
      </c>
      <c r="C14" s="18" t="s">
        <v>1882</v>
      </c>
      <c r="D14" s="19" t="s">
        <v>1899</v>
      </c>
      <c r="E14" s="34">
        <v>1</v>
      </c>
      <c r="F14" s="44"/>
      <c r="G14" s="44"/>
      <c r="H14" s="34" t="str">
        <f t="shared" si="0"/>
        <v/>
      </c>
      <c r="I14" s="34">
        <f t="shared" si="1"/>
        <v>2.1000000000000001E-2</v>
      </c>
      <c r="J14" s="18" t="str">
        <f t="shared" si="2"/>
        <v/>
      </c>
      <c r="K14" s="19"/>
    </row>
    <row r="15" spans="1:11" ht="15" customHeight="1" x14ac:dyDescent="0.2">
      <c r="A15" s="18" t="s">
        <v>1900</v>
      </c>
      <c r="B15" s="19" t="s">
        <v>124</v>
      </c>
      <c r="C15" s="18" t="s">
        <v>1882</v>
      </c>
      <c r="D15" s="19" t="s">
        <v>1901</v>
      </c>
      <c r="E15" s="34">
        <v>3.3</v>
      </c>
      <c r="F15" s="44"/>
      <c r="G15" s="44"/>
      <c r="H15" s="34" t="str">
        <f t="shared" si="0"/>
        <v/>
      </c>
      <c r="I15" s="34">
        <f t="shared" si="1"/>
        <v>2.3E-2</v>
      </c>
      <c r="J15" s="18" t="str">
        <f t="shared" si="2"/>
        <v/>
      </c>
      <c r="K15" s="19"/>
    </row>
    <row r="16" spans="1:11" ht="15" customHeight="1" x14ac:dyDescent="0.2">
      <c r="A16" s="18" t="s">
        <v>1902</v>
      </c>
      <c r="B16" s="19" t="s">
        <v>124</v>
      </c>
      <c r="C16" s="18" t="s">
        <v>1882</v>
      </c>
      <c r="D16" s="19" t="s">
        <v>1903</v>
      </c>
      <c r="E16" s="34">
        <v>5</v>
      </c>
      <c r="F16" s="44"/>
      <c r="G16" s="44"/>
      <c r="H16" s="34" t="str">
        <f t="shared" si="0"/>
        <v/>
      </c>
      <c r="I16" s="34">
        <f t="shared" si="1"/>
        <v>2.5000000000000001E-2</v>
      </c>
      <c r="J16" s="18" t="str">
        <f t="shared" si="2"/>
        <v/>
      </c>
      <c r="K16" s="19"/>
    </row>
    <row r="17" spans="1:11" ht="15" customHeight="1" x14ac:dyDescent="0.2">
      <c r="A17" s="18" t="s">
        <v>1904</v>
      </c>
      <c r="B17" s="19" t="s">
        <v>124</v>
      </c>
      <c r="C17" s="18" t="s">
        <v>1882</v>
      </c>
      <c r="D17" s="19" t="s">
        <v>1905</v>
      </c>
      <c r="E17" s="34">
        <v>9</v>
      </c>
      <c r="F17" s="44"/>
      <c r="G17" s="44"/>
      <c r="H17" s="34" t="str">
        <f t="shared" si="0"/>
        <v/>
      </c>
      <c r="I17" s="34">
        <f t="shared" si="1"/>
        <v>2.9000000000000001E-2</v>
      </c>
      <c r="J17" s="18" t="str">
        <f t="shared" si="2"/>
        <v/>
      </c>
      <c r="K17" s="19"/>
    </row>
    <row r="18" spans="1:11" ht="15" customHeight="1" x14ac:dyDescent="0.2">
      <c r="A18" s="18" t="s">
        <v>1906</v>
      </c>
      <c r="B18" s="19" t="s">
        <v>124</v>
      </c>
      <c r="C18" s="18" t="s">
        <v>1882</v>
      </c>
      <c r="D18" s="19" t="s">
        <v>1907</v>
      </c>
      <c r="E18" s="34">
        <v>12</v>
      </c>
      <c r="F18" s="44"/>
      <c r="G18" s="44"/>
      <c r="H18" s="34" t="str">
        <f t="shared" si="0"/>
        <v/>
      </c>
      <c r="I18" s="34">
        <f t="shared" si="1"/>
        <v>3.2000000000000001E-2</v>
      </c>
      <c r="J18" s="18" t="str">
        <f t="shared" si="2"/>
        <v/>
      </c>
      <c r="K18" s="19"/>
    </row>
    <row r="19" spans="1:11" ht="15" customHeight="1" x14ac:dyDescent="0.2">
      <c r="A19" s="18" t="s">
        <v>1908</v>
      </c>
      <c r="B19" s="19" t="s">
        <v>124</v>
      </c>
      <c r="C19" s="18" t="s">
        <v>1882</v>
      </c>
      <c r="D19" s="19" t="s">
        <v>1909</v>
      </c>
      <c r="E19" s="34">
        <v>15</v>
      </c>
      <c r="F19" s="44"/>
      <c r="G19" s="44"/>
      <c r="H19" s="34" t="str">
        <f t="shared" si="0"/>
        <v/>
      </c>
      <c r="I19" s="34">
        <f t="shared" si="1"/>
        <v>3.5000000000000003E-2</v>
      </c>
      <c r="J19" s="18" t="str">
        <f t="shared" si="2"/>
        <v/>
      </c>
      <c r="K19" s="19"/>
    </row>
    <row r="20" spans="1:11" ht="15" customHeight="1" x14ac:dyDescent="0.2">
      <c r="A20" s="18" t="s">
        <v>1910</v>
      </c>
      <c r="B20" s="19" t="s">
        <v>124</v>
      </c>
      <c r="C20" s="18" t="s">
        <v>1882</v>
      </c>
      <c r="D20" s="19" t="s">
        <v>1911</v>
      </c>
      <c r="E20" s="34">
        <v>18</v>
      </c>
      <c r="F20" s="44"/>
      <c r="G20" s="44"/>
      <c r="H20" s="34" t="str">
        <f t="shared" si="0"/>
        <v/>
      </c>
      <c r="I20" s="34">
        <f t="shared" si="1"/>
        <v>3.7999999999999999E-2</v>
      </c>
      <c r="J20" s="18" t="str">
        <f t="shared" si="2"/>
        <v/>
      </c>
      <c r="K20" s="19"/>
    </row>
    <row r="21" spans="1:11" ht="15" customHeight="1" x14ac:dyDescent="0.2">
      <c r="A21" s="18" t="s">
        <v>1912</v>
      </c>
      <c r="B21" s="19" t="s">
        <v>124</v>
      </c>
      <c r="C21" s="18" t="s">
        <v>1882</v>
      </c>
      <c r="D21" s="19" t="s">
        <v>1913</v>
      </c>
      <c r="E21" s="34">
        <v>20</v>
      </c>
      <c r="F21" s="44"/>
      <c r="G21" s="44"/>
      <c r="H21" s="34" t="str">
        <f t="shared" si="0"/>
        <v/>
      </c>
      <c r="I21" s="34">
        <f t="shared" si="1"/>
        <v>0.04</v>
      </c>
      <c r="J21" s="18" t="str">
        <f t="shared" si="2"/>
        <v/>
      </c>
      <c r="K21" s="19"/>
    </row>
    <row r="22" spans="1:11" ht="15" customHeight="1" x14ac:dyDescent="0.2">
      <c r="A22" s="18" t="s">
        <v>1914</v>
      </c>
      <c r="B22" s="19" t="s">
        <v>124</v>
      </c>
      <c r="C22" s="18" t="s">
        <v>1915</v>
      </c>
      <c r="D22" s="19" t="s">
        <v>1893</v>
      </c>
      <c r="E22" s="34">
        <v>0.8</v>
      </c>
      <c r="F22" s="44"/>
      <c r="G22" s="44"/>
      <c r="H22" s="34" t="str">
        <f t="shared" si="0"/>
        <v/>
      </c>
      <c r="I22" s="34">
        <f t="shared" si="1"/>
        <v>2.1000000000000001E-2</v>
      </c>
      <c r="J22" s="18" t="str">
        <f t="shared" si="2"/>
        <v/>
      </c>
      <c r="K22" s="19" t="s">
        <v>1894</v>
      </c>
    </row>
    <row r="23" spans="1:11" ht="15" customHeight="1" x14ac:dyDescent="0.2">
      <c r="A23" s="18" t="s">
        <v>1916</v>
      </c>
      <c r="B23" s="19" t="s">
        <v>124</v>
      </c>
      <c r="C23" s="18" t="s">
        <v>1915</v>
      </c>
      <c r="D23" s="19" t="s">
        <v>1896</v>
      </c>
      <c r="E23" s="34">
        <v>4.1500000000000004</v>
      </c>
      <c r="F23" s="44"/>
      <c r="G23" s="44"/>
      <c r="H23" s="34" t="str">
        <f t="shared" si="0"/>
        <v/>
      </c>
      <c r="I23" s="34">
        <f t="shared" si="1"/>
        <v>2.4E-2</v>
      </c>
      <c r="J23" s="18" t="str">
        <f t="shared" si="2"/>
        <v/>
      </c>
      <c r="K23" s="19" t="s">
        <v>1897</v>
      </c>
    </row>
    <row r="24" spans="1:11" ht="15" customHeight="1" x14ac:dyDescent="0.2">
      <c r="A24" s="18" t="s">
        <v>1917</v>
      </c>
      <c r="B24" s="19" t="s">
        <v>124</v>
      </c>
      <c r="C24" s="18" t="s">
        <v>1915</v>
      </c>
      <c r="D24" s="19" t="s">
        <v>1899</v>
      </c>
      <c r="E24" s="34">
        <v>1</v>
      </c>
      <c r="F24" s="44"/>
      <c r="G24" s="44"/>
      <c r="H24" s="34" t="str">
        <f t="shared" si="0"/>
        <v/>
      </c>
      <c r="I24" s="34">
        <f t="shared" si="1"/>
        <v>2.1000000000000001E-2</v>
      </c>
      <c r="J24" s="18" t="str">
        <f t="shared" si="2"/>
        <v/>
      </c>
      <c r="K24" s="19"/>
    </row>
    <row r="25" spans="1:11" ht="15" customHeight="1" x14ac:dyDescent="0.2">
      <c r="A25" s="18" t="s">
        <v>1918</v>
      </c>
      <c r="B25" s="19" t="s">
        <v>124</v>
      </c>
      <c r="C25" s="18" t="s">
        <v>1915</v>
      </c>
      <c r="D25" s="19" t="s">
        <v>1901</v>
      </c>
      <c r="E25" s="34">
        <v>3.3</v>
      </c>
      <c r="F25" s="44"/>
      <c r="G25" s="44"/>
      <c r="H25" s="34" t="str">
        <f t="shared" si="0"/>
        <v/>
      </c>
      <c r="I25" s="34">
        <f t="shared" si="1"/>
        <v>2.3E-2</v>
      </c>
      <c r="J25" s="18" t="str">
        <f t="shared" si="2"/>
        <v/>
      </c>
      <c r="K25" s="19"/>
    </row>
    <row r="26" spans="1:11" ht="15" customHeight="1" x14ac:dyDescent="0.2">
      <c r="A26" s="18" t="s">
        <v>1919</v>
      </c>
      <c r="B26" s="19" t="s">
        <v>124</v>
      </c>
      <c r="C26" s="18" t="s">
        <v>1915</v>
      </c>
      <c r="D26" s="19" t="s">
        <v>1903</v>
      </c>
      <c r="E26" s="34">
        <v>5</v>
      </c>
      <c r="F26" s="44"/>
      <c r="G26" s="44"/>
      <c r="H26" s="34" t="str">
        <f t="shared" si="0"/>
        <v/>
      </c>
      <c r="I26" s="34">
        <f t="shared" si="1"/>
        <v>2.5000000000000001E-2</v>
      </c>
      <c r="J26" s="18" t="str">
        <f t="shared" si="2"/>
        <v/>
      </c>
      <c r="K26" s="19"/>
    </row>
    <row r="27" spans="1:11" ht="15" customHeight="1" x14ac:dyDescent="0.2">
      <c r="A27" s="18" t="s">
        <v>1920</v>
      </c>
      <c r="B27" s="19" t="s">
        <v>124</v>
      </c>
      <c r="C27" s="18" t="s">
        <v>1915</v>
      </c>
      <c r="D27" s="19" t="s">
        <v>1905</v>
      </c>
      <c r="E27" s="34">
        <v>9</v>
      </c>
      <c r="F27" s="44"/>
      <c r="G27" s="44"/>
      <c r="H27" s="34" t="str">
        <f t="shared" si="0"/>
        <v/>
      </c>
      <c r="I27" s="34">
        <f t="shared" si="1"/>
        <v>2.9000000000000001E-2</v>
      </c>
      <c r="J27" s="18" t="str">
        <f t="shared" si="2"/>
        <v/>
      </c>
      <c r="K27" s="19"/>
    </row>
    <row r="28" spans="1:11" ht="15" customHeight="1" x14ac:dyDescent="0.2">
      <c r="A28" s="18" t="s">
        <v>1921</v>
      </c>
      <c r="B28" s="19" t="s">
        <v>124</v>
      </c>
      <c r="C28" s="18" t="s">
        <v>1915</v>
      </c>
      <c r="D28" s="19" t="s">
        <v>1907</v>
      </c>
      <c r="E28" s="34">
        <v>12</v>
      </c>
      <c r="F28" s="44"/>
      <c r="G28" s="44"/>
      <c r="H28" s="34" t="str">
        <f t="shared" si="0"/>
        <v/>
      </c>
      <c r="I28" s="34">
        <f t="shared" si="1"/>
        <v>3.2000000000000001E-2</v>
      </c>
      <c r="J28" s="18" t="str">
        <f t="shared" si="2"/>
        <v/>
      </c>
      <c r="K28" s="19"/>
    </row>
    <row r="29" spans="1:11" ht="15" customHeight="1" x14ac:dyDescent="0.2">
      <c r="A29" s="18" t="s">
        <v>1922</v>
      </c>
      <c r="B29" s="19" t="s">
        <v>124</v>
      </c>
      <c r="C29" s="18" t="s">
        <v>1915</v>
      </c>
      <c r="D29" s="19" t="s">
        <v>1909</v>
      </c>
      <c r="E29" s="34">
        <v>15</v>
      </c>
      <c r="F29" s="44"/>
      <c r="G29" s="44"/>
      <c r="H29" s="34" t="str">
        <f t="shared" si="0"/>
        <v/>
      </c>
      <c r="I29" s="34">
        <f t="shared" si="1"/>
        <v>3.5000000000000003E-2</v>
      </c>
      <c r="J29" s="18" t="str">
        <f t="shared" si="2"/>
        <v/>
      </c>
      <c r="K29" s="19"/>
    </row>
    <row r="30" spans="1:11" ht="15" customHeight="1" x14ac:dyDescent="0.2">
      <c r="A30" s="18" t="s">
        <v>1923</v>
      </c>
      <c r="B30" s="19" t="s">
        <v>124</v>
      </c>
      <c r="C30" s="18" t="s">
        <v>1915</v>
      </c>
      <c r="D30" s="19" t="s">
        <v>1911</v>
      </c>
      <c r="E30" s="34">
        <v>18</v>
      </c>
      <c r="F30" s="44"/>
      <c r="G30" s="44"/>
      <c r="H30" s="34" t="str">
        <f t="shared" si="0"/>
        <v/>
      </c>
      <c r="I30" s="34">
        <f t="shared" si="1"/>
        <v>3.7999999999999999E-2</v>
      </c>
      <c r="J30" s="18" t="str">
        <f t="shared" si="2"/>
        <v/>
      </c>
      <c r="K30" s="19"/>
    </row>
    <row r="31" spans="1:11" ht="15" customHeight="1" x14ac:dyDescent="0.2">
      <c r="A31" s="18" t="s">
        <v>1924</v>
      </c>
      <c r="B31" s="19" t="s">
        <v>124</v>
      </c>
      <c r="C31" s="18" t="s">
        <v>1915</v>
      </c>
      <c r="D31" s="19" t="s">
        <v>1913</v>
      </c>
      <c r="E31" s="34">
        <v>20</v>
      </c>
      <c r="F31" s="44"/>
      <c r="G31" s="44"/>
      <c r="H31" s="34" t="str">
        <f t="shared" si="0"/>
        <v/>
      </c>
      <c r="I31" s="34">
        <f t="shared" si="1"/>
        <v>0.04</v>
      </c>
      <c r="J31" s="18" t="str">
        <f t="shared" si="2"/>
        <v/>
      </c>
      <c r="K31" s="19"/>
    </row>
    <row r="32" spans="1:11" ht="15" customHeight="1" x14ac:dyDescent="0.2">
      <c r="A32" s="18" t="s">
        <v>1925</v>
      </c>
      <c r="B32" s="19" t="s">
        <v>108</v>
      </c>
      <c r="C32" s="18" t="s">
        <v>1882</v>
      </c>
      <c r="D32" s="19" t="s">
        <v>1926</v>
      </c>
      <c r="E32" s="34">
        <v>0.05</v>
      </c>
      <c r="F32" s="44"/>
      <c r="G32" s="44"/>
      <c r="H32" s="34" t="str">
        <f t="shared" si="0"/>
        <v/>
      </c>
      <c r="I32" s="34">
        <f t="shared" ref="I32:I51" si="3">$E$4</f>
        <v>0.01</v>
      </c>
      <c r="J32" s="18" t="str">
        <f t="shared" si="2"/>
        <v/>
      </c>
      <c r="K32" s="19"/>
    </row>
    <row r="33" spans="1:11" ht="15" customHeight="1" x14ac:dyDescent="0.2">
      <c r="A33" s="18" t="s">
        <v>1927</v>
      </c>
      <c r="B33" s="19" t="s">
        <v>108</v>
      </c>
      <c r="C33" s="18" t="s">
        <v>1882</v>
      </c>
      <c r="D33" s="19" t="s">
        <v>1928</v>
      </c>
      <c r="E33" s="34">
        <v>0.1</v>
      </c>
      <c r="F33" s="44"/>
      <c r="G33" s="44"/>
      <c r="H33" s="34" t="str">
        <f t="shared" si="0"/>
        <v/>
      </c>
      <c r="I33" s="34">
        <f t="shared" si="3"/>
        <v>0.01</v>
      </c>
      <c r="J33" s="18" t="str">
        <f t="shared" si="2"/>
        <v/>
      </c>
      <c r="K33" s="19"/>
    </row>
    <row r="34" spans="1:11" ht="15" customHeight="1" x14ac:dyDescent="0.2">
      <c r="A34" s="18" t="s">
        <v>1929</v>
      </c>
      <c r="B34" s="19" t="s">
        <v>108</v>
      </c>
      <c r="C34" s="18" t="s">
        <v>1882</v>
      </c>
      <c r="D34" s="19" t="s">
        <v>1930</v>
      </c>
      <c r="E34" s="34">
        <v>0.5</v>
      </c>
      <c r="F34" s="44"/>
      <c r="G34" s="44"/>
      <c r="H34" s="34" t="str">
        <f t="shared" si="0"/>
        <v/>
      </c>
      <c r="I34" s="34">
        <f t="shared" si="3"/>
        <v>0.01</v>
      </c>
      <c r="J34" s="18" t="str">
        <f t="shared" si="2"/>
        <v/>
      </c>
      <c r="K34" s="19"/>
    </row>
    <row r="35" spans="1:11" ht="15" customHeight="1" x14ac:dyDescent="0.2">
      <c r="A35" s="18" t="s">
        <v>1931</v>
      </c>
      <c r="B35" s="19" t="s">
        <v>108</v>
      </c>
      <c r="C35" s="18" t="s">
        <v>1882</v>
      </c>
      <c r="D35" s="19" t="s">
        <v>1932</v>
      </c>
      <c r="E35" s="34">
        <v>0.72</v>
      </c>
      <c r="F35" s="44"/>
      <c r="G35" s="44"/>
      <c r="H35" s="34" t="str">
        <f t="shared" si="0"/>
        <v/>
      </c>
      <c r="I35" s="34">
        <f t="shared" si="3"/>
        <v>0.01</v>
      </c>
      <c r="J35" s="18" t="str">
        <f t="shared" si="2"/>
        <v/>
      </c>
      <c r="K35" s="19"/>
    </row>
    <row r="36" spans="1:11" ht="15" customHeight="1" x14ac:dyDescent="0.2">
      <c r="A36" s="18" t="s">
        <v>1933</v>
      </c>
      <c r="B36" s="19" t="s">
        <v>108</v>
      </c>
      <c r="C36" s="18" t="s">
        <v>1882</v>
      </c>
      <c r="D36" s="19" t="s">
        <v>1934</v>
      </c>
      <c r="E36" s="34">
        <v>1</v>
      </c>
      <c r="F36" s="44"/>
      <c r="G36" s="44"/>
      <c r="H36" s="34" t="str">
        <f t="shared" si="0"/>
        <v/>
      </c>
      <c r="I36" s="34">
        <f t="shared" si="3"/>
        <v>0.01</v>
      </c>
      <c r="J36" s="18" t="str">
        <f t="shared" si="2"/>
        <v/>
      </c>
      <c r="K36" s="19"/>
    </row>
    <row r="37" spans="1:11" ht="15" customHeight="1" x14ac:dyDescent="0.2">
      <c r="A37" s="18" t="s">
        <v>1935</v>
      </c>
      <c r="B37" s="19" t="s">
        <v>108</v>
      </c>
      <c r="C37" s="18" t="s">
        <v>1882</v>
      </c>
      <c r="D37" s="19" t="s">
        <v>1936</v>
      </c>
      <c r="E37" s="34">
        <v>2.4900000000000002</v>
      </c>
      <c r="F37" s="44"/>
      <c r="G37" s="44"/>
      <c r="H37" s="34" t="str">
        <f t="shared" si="0"/>
        <v/>
      </c>
      <c r="I37" s="34">
        <f t="shared" si="3"/>
        <v>0.01</v>
      </c>
      <c r="J37" s="18" t="str">
        <f t="shared" si="2"/>
        <v/>
      </c>
      <c r="K37" s="19" t="s">
        <v>1937</v>
      </c>
    </row>
    <row r="38" spans="1:11" ht="15" customHeight="1" x14ac:dyDescent="0.2">
      <c r="A38" s="18" t="s">
        <v>1938</v>
      </c>
      <c r="B38" s="19" t="s">
        <v>108</v>
      </c>
      <c r="C38" s="18" t="s">
        <v>1882</v>
      </c>
      <c r="D38" s="19" t="s">
        <v>1939</v>
      </c>
      <c r="E38" s="34">
        <v>2.5</v>
      </c>
      <c r="F38" s="44"/>
      <c r="G38" s="44"/>
      <c r="H38" s="34" t="str">
        <f t="shared" si="0"/>
        <v/>
      </c>
      <c r="I38" s="34">
        <f t="shared" si="3"/>
        <v>0.01</v>
      </c>
      <c r="J38" s="18" t="str">
        <f t="shared" si="2"/>
        <v/>
      </c>
      <c r="K38" s="19" t="s">
        <v>1937</v>
      </c>
    </row>
    <row r="39" spans="1:11" ht="15" customHeight="1" x14ac:dyDescent="0.2">
      <c r="A39" s="18" t="s">
        <v>1940</v>
      </c>
      <c r="B39" s="19" t="s">
        <v>108</v>
      </c>
      <c r="C39" s="18" t="s">
        <v>1882</v>
      </c>
      <c r="D39" s="19" t="s">
        <v>1941</v>
      </c>
      <c r="E39" s="34">
        <v>3</v>
      </c>
      <c r="F39" s="44"/>
      <c r="G39" s="44"/>
      <c r="H39" s="34" t="str">
        <f t="shared" si="0"/>
        <v/>
      </c>
      <c r="I39" s="34">
        <f t="shared" si="3"/>
        <v>0.01</v>
      </c>
      <c r="J39" s="18" t="str">
        <f t="shared" si="2"/>
        <v/>
      </c>
      <c r="K39" s="19"/>
    </row>
    <row r="40" spans="1:11" ht="15" customHeight="1" x14ac:dyDescent="0.2">
      <c r="A40" s="18" t="s">
        <v>1942</v>
      </c>
      <c r="B40" s="19" t="s">
        <v>108</v>
      </c>
      <c r="C40" s="18" t="s">
        <v>1882</v>
      </c>
      <c r="D40" s="19" t="s">
        <v>1943</v>
      </c>
      <c r="E40" s="34">
        <v>4</v>
      </c>
      <c r="F40" s="44"/>
      <c r="G40" s="44"/>
      <c r="H40" s="34" t="str">
        <f t="shared" si="0"/>
        <v/>
      </c>
      <c r="I40" s="34">
        <f t="shared" si="3"/>
        <v>0.01</v>
      </c>
      <c r="J40" s="18" t="str">
        <f t="shared" si="2"/>
        <v/>
      </c>
      <c r="K40" s="19"/>
    </row>
    <row r="41" spans="1:11" ht="15" customHeight="1" x14ac:dyDescent="0.2">
      <c r="A41" s="18" t="s">
        <v>1944</v>
      </c>
      <c r="B41" s="19" t="s">
        <v>108</v>
      </c>
      <c r="C41" s="18" t="s">
        <v>1882</v>
      </c>
      <c r="D41" s="19" t="s">
        <v>1945</v>
      </c>
      <c r="E41" s="34">
        <v>4.9000000000000004</v>
      </c>
      <c r="F41" s="44"/>
      <c r="G41" s="44"/>
      <c r="H41" s="34" t="str">
        <f t="shared" si="0"/>
        <v/>
      </c>
      <c r="I41" s="34">
        <f t="shared" si="3"/>
        <v>0.01</v>
      </c>
      <c r="J41" s="18" t="str">
        <f t="shared" si="2"/>
        <v/>
      </c>
      <c r="K41" s="19"/>
    </row>
    <row r="42" spans="1:11" ht="15" customHeight="1" x14ac:dyDescent="0.2">
      <c r="A42" s="18" t="s">
        <v>1946</v>
      </c>
      <c r="B42" s="19" t="s">
        <v>108</v>
      </c>
      <c r="C42" s="18" t="s">
        <v>1915</v>
      </c>
      <c r="D42" s="19" t="s">
        <v>1926</v>
      </c>
      <c r="E42" s="34">
        <v>0.05</v>
      </c>
      <c r="F42" s="44"/>
      <c r="G42" s="44"/>
      <c r="H42" s="34" t="str">
        <f t="shared" si="0"/>
        <v/>
      </c>
      <c r="I42" s="34">
        <f t="shared" si="3"/>
        <v>0.01</v>
      </c>
      <c r="J42" s="18" t="str">
        <f t="shared" si="2"/>
        <v/>
      </c>
      <c r="K42" s="19"/>
    </row>
    <row r="43" spans="1:11" ht="15" customHeight="1" x14ac:dyDescent="0.2">
      <c r="A43" s="18" t="s">
        <v>1947</v>
      </c>
      <c r="B43" s="19" t="s">
        <v>108</v>
      </c>
      <c r="C43" s="18" t="s">
        <v>1915</v>
      </c>
      <c r="D43" s="19" t="s">
        <v>1928</v>
      </c>
      <c r="E43" s="34">
        <v>0.1</v>
      </c>
      <c r="F43" s="44"/>
      <c r="G43" s="44"/>
      <c r="H43" s="34" t="str">
        <f t="shared" si="0"/>
        <v/>
      </c>
      <c r="I43" s="34">
        <f t="shared" si="3"/>
        <v>0.01</v>
      </c>
      <c r="J43" s="18" t="str">
        <f t="shared" si="2"/>
        <v/>
      </c>
      <c r="K43" s="19"/>
    </row>
    <row r="44" spans="1:11" ht="15" customHeight="1" x14ac:dyDescent="0.2">
      <c r="A44" s="18" t="s">
        <v>1948</v>
      </c>
      <c r="B44" s="19" t="s">
        <v>108</v>
      </c>
      <c r="C44" s="18" t="s">
        <v>1915</v>
      </c>
      <c r="D44" s="19" t="s">
        <v>1930</v>
      </c>
      <c r="E44" s="34">
        <v>0.5</v>
      </c>
      <c r="F44" s="44"/>
      <c r="G44" s="44"/>
      <c r="H44" s="34" t="str">
        <f t="shared" si="0"/>
        <v/>
      </c>
      <c r="I44" s="34">
        <f t="shared" si="3"/>
        <v>0.01</v>
      </c>
      <c r="J44" s="18" t="str">
        <f t="shared" si="2"/>
        <v/>
      </c>
      <c r="K44" s="19"/>
    </row>
    <row r="45" spans="1:11" ht="15" customHeight="1" x14ac:dyDescent="0.2">
      <c r="A45" s="18" t="s">
        <v>1949</v>
      </c>
      <c r="B45" s="19" t="s">
        <v>108</v>
      </c>
      <c r="C45" s="18" t="s">
        <v>1915</v>
      </c>
      <c r="D45" s="19" t="s">
        <v>1932</v>
      </c>
      <c r="E45" s="34">
        <v>0.72</v>
      </c>
      <c r="F45" s="44"/>
      <c r="G45" s="44"/>
      <c r="H45" s="34" t="str">
        <f t="shared" si="0"/>
        <v/>
      </c>
      <c r="I45" s="34">
        <f t="shared" si="3"/>
        <v>0.01</v>
      </c>
      <c r="J45" s="18" t="str">
        <f t="shared" si="2"/>
        <v/>
      </c>
      <c r="K45" s="19"/>
    </row>
    <row r="46" spans="1:11" ht="15" customHeight="1" x14ac:dyDescent="0.2">
      <c r="A46" s="18" t="s">
        <v>1950</v>
      </c>
      <c r="B46" s="19" t="s">
        <v>108</v>
      </c>
      <c r="C46" s="18" t="s">
        <v>1915</v>
      </c>
      <c r="D46" s="19" t="s">
        <v>1934</v>
      </c>
      <c r="E46" s="34">
        <v>1</v>
      </c>
      <c r="F46" s="44"/>
      <c r="G46" s="44"/>
      <c r="H46" s="34" t="str">
        <f t="shared" si="0"/>
        <v/>
      </c>
      <c r="I46" s="34">
        <f t="shared" si="3"/>
        <v>0.01</v>
      </c>
      <c r="J46" s="18" t="str">
        <f t="shared" si="2"/>
        <v/>
      </c>
      <c r="K46" s="19"/>
    </row>
    <row r="47" spans="1:11" ht="15" customHeight="1" x14ac:dyDescent="0.2">
      <c r="A47" s="18" t="s">
        <v>1951</v>
      </c>
      <c r="B47" s="19" t="s">
        <v>108</v>
      </c>
      <c r="C47" s="18" t="s">
        <v>1915</v>
      </c>
      <c r="D47" s="19" t="s">
        <v>1936</v>
      </c>
      <c r="E47" s="34">
        <v>2.4900000000000002</v>
      </c>
      <c r="F47" s="44"/>
      <c r="G47" s="44"/>
      <c r="H47" s="34" t="str">
        <f t="shared" si="0"/>
        <v/>
      </c>
      <c r="I47" s="34">
        <f t="shared" si="3"/>
        <v>0.01</v>
      </c>
      <c r="J47" s="18" t="str">
        <f t="shared" si="2"/>
        <v/>
      </c>
      <c r="K47" s="19" t="s">
        <v>1937</v>
      </c>
    </row>
    <row r="48" spans="1:11" ht="15" customHeight="1" x14ac:dyDescent="0.2">
      <c r="A48" s="18" t="s">
        <v>1952</v>
      </c>
      <c r="B48" s="19" t="s">
        <v>108</v>
      </c>
      <c r="C48" s="18" t="s">
        <v>1915</v>
      </c>
      <c r="D48" s="19" t="s">
        <v>1939</v>
      </c>
      <c r="E48" s="34">
        <v>2.5</v>
      </c>
      <c r="F48" s="44"/>
      <c r="G48" s="44"/>
      <c r="H48" s="34" t="str">
        <f t="shared" si="0"/>
        <v/>
      </c>
      <c r="I48" s="34">
        <f t="shared" si="3"/>
        <v>0.01</v>
      </c>
      <c r="J48" s="18" t="str">
        <f t="shared" si="2"/>
        <v/>
      </c>
      <c r="K48" s="19" t="s">
        <v>1937</v>
      </c>
    </row>
    <row r="49" spans="1:11" ht="15" customHeight="1" x14ac:dyDescent="0.2">
      <c r="A49" s="18" t="s">
        <v>1953</v>
      </c>
      <c r="B49" s="19" t="s">
        <v>108</v>
      </c>
      <c r="C49" s="18" t="s">
        <v>1915</v>
      </c>
      <c r="D49" s="19" t="s">
        <v>1941</v>
      </c>
      <c r="E49" s="34">
        <v>3</v>
      </c>
      <c r="F49" s="44"/>
      <c r="G49" s="44"/>
      <c r="H49" s="34" t="str">
        <f t="shared" si="0"/>
        <v/>
      </c>
      <c r="I49" s="34">
        <f t="shared" si="3"/>
        <v>0.01</v>
      </c>
      <c r="J49" s="18" t="str">
        <f t="shared" si="2"/>
        <v/>
      </c>
      <c r="K49" s="19"/>
    </row>
    <row r="50" spans="1:11" ht="15" customHeight="1" x14ac:dyDescent="0.2">
      <c r="A50" s="18" t="s">
        <v>1954</v>
      </c>
      <c r="B50" s="19" t="s">
        <v>108</v>
      </c>
      <c r="C50" s="18" t="s">
        <v>1915</v>
      </c>
      <c r="D50" s="19" t="s">
        <v>1943</v>
      </c>
      <c r="E50" s="34">
        <v>4</v>
      </c>
      <c r="F50" s="44"/>
      <c r="G50" s="44"/>
      <c r="H50" s="34" t="str">
        <f t="shared" si="0"/>
        <v/>
      </c>
      <c r="I50" s="34">
        <f t="shared" si="3"/>
        <v>0.01</v>
      </c>
      <c r="J50" s="18" t="str">
        <f t="shared" si="2"/>
        <v/>
      </c>
      <c r="K50" s="19"/>
    </row>
    <row r="51" spans="1:11" ht="15" customHeight="1" x14ac:dyDescent="0.2">
      <c r="A51" s="18" t="s">
        <v>1955</v>
      </c>
      <c r="B51" s="19" t="s">
        <v>108</v>
      </c>
      <c r="C51" s="18" t="s">
        <v>1915</v>
      </c>
      <c r="D51" s="19" t="s">
        <v>1945</v>
      </c>
      <c r="E51" s="34">
        <v>4.9000000000000004</v>
      </c>
      <c r="F51" s="44"/>
      <c r="G51" s="44"/>
      <c r="H51" s="34" t="str">
        <f t="shared" si="0"/>
        <v/>
      </c>
      <c r="I51" s="34">
        <f t="shared" si="3"/>
        <v>0.01</v>
      </c>
      <c r="J51" s="18" t="str">
        <f t="shared" si="2"/>
        <v/>
      </c>
      <c r="K51" s="19"/>
    </row>
    <row r="52" spans="1:11" ht="45.75" customHeight="1" x14ac:dyDescent="0.2">
      <c r="A52" s="18" t="s">
        <v>1956</v>
      </c>
      <c r="B52" s="19" t="s">
        <v>1957</v>
      </c>
      <c r="C52" s="18" t="s">
        <v>1958</v>
      </c>
      <c r="D52" s="19" t="s">
        <v>1959</v>
      </c>
      <c r="E52" s="34"/>
      <c r="F52" s="34"/>
      <c r="G52" s="34"/>
      <c r="H52" s="34"/>
      <c r="I52" s="34"/>
      <c r="J52" s="43"/>
      <c r="K52" s="19" t="s">
        <v>1761</v>
      </c>
    </row>
    <row r="53" spans="1:11" ht="23.25" customHeight="1" x14ac:dyDescent="0.2">
      <c r="A53" s="18" t="s">
        <v>1960</v>
      </c>
      <c r="B53" s="19" t="s">
        <v>1957</v>
      </c>
      <c r="C53" s="18" t="s">
        <v>1958</v>
      </c>
      <c r="D53" s="19" t="s">
        <v>1961</v>
      </c>
      <c r="E53" s="34"/>
      <c r="F53" s="34"/>
      <c r="G53" s="34"/>
      <c r="H53" s="34"/>
      <c r="I53" s="34"/>
      <c r="J53" s="43"/>
      <c r="K53" s="19"/>
    </row>
    <row r="54" spans="1:11" ht="15" customHeight="1" x14ac:dyDescent="0.2">
      <c r="A54" s="18" t="s">
        <v>1962</v>
      </c>
      <c r="B54" s="19" t="s">
        <v>532</v>
      </c>
      <c r="C54" s="18" t="s">
        <v>1958</v>
      </c>
      <c r="D54" s="19" t="s">
        <v>1963</v>
      </c>
      <c r="E54" s="34"/>
      <c r="F54" s="34"/>
      <c r="G54" s="34"/>
      <c r="H54" s="34"/>
      <c r="I54" s="34"/>
      <c r="J54" s="43"/>
      <c r="K54" s="19"/>
    </row>
    <row r="55" spans="1:11" ht="23.25" customHeight="1" x14ac:dyDescent="0.2">
      <c r="A55" s="18" t="s">
        <v>1964</v>
      </c>
      <c r="B55" s="19" t="s">
        <v>150</v>
      </c>
      <c r="C55" s="18" t="s">
        <v>1958</v>
      </c>
      <c r="D55" s="19" t="s">
        <v>1965</v>
      </c>
      <c r="E55" s="34"/>
      <c r="F55" s="34"/>
      <c r="G55" s="34"/>
      <c r="H55" s="34"/>
      <c r="I55" s="34"/>
      <c r="J55" s="43"/>
      <c r="K55" s="19"/>
    </row>
    <row r="56" spans="1:11" ht="23.25" customHeight="1" x14ac:dyDescent="0.2">
      <c r="A56" s="18" t="s">
        <v>1966</v>
      </c>
      <c r="B56" s="19" t="s">
        <v>159</v>
      </c>
      <c r="C56" s="18" t="s">
        <v>1887</v>
      </c>
      <c r="D56" s="19" t="s">
        <v>1967</v>
      </c>
      <c r="E56" s="34"/>
      <c r="F56" s="34"/>
      <c r="G56" s="34"/>
      <c r="H56" s="34"/>
      <c r="I56" s="34"/>
      <c r="J56" s="43"/>
      <c r="K56" s="19" t="s">
        <v>1785</v>
      </c>
    </row>
    <row r="57" spans="1:11" ht="23.25" customHeight="1" x14ac:dyDescent="0.2">
      <c r="A57" s="18" t="s">
        <v>1968</v>
      </c>
      <c r="B57" s="19" t="s">
        <v>1969</v>
      </c>
      <c r="C57" s="18" t="s">
        <v>1958</v>
      </c>
      <c r="D57" s="19" t="s">
        <v>1970</v>
      </c>
      <c r="E57" s="34"/>
      <c r="F57" s="34"/>
      <c r="G57" s="34"/>
      <c r="H57" s="34"/>
      <c r="I57" s="34"/>
      <c r="J57" s="43"/>
      <c r="K57" s="19"/>
    </row>
    <row r="58" spans="1:11" ht="23.25" customHeight="1" x14ac:dyDescent="0.2">
      <c r="A58" s="18" t="s">
        <v>1971</v>
      </c>
      <c r="B58" s="19" t="s">
        <v>124</v>
      </c>
      <c r="C58" s="18" t="s">
        <v>1958</v>
      </c>
      <c r="D58" s="19" t="s">
        <v>1972</v>
      </c>
      <c r="E58" s="34"/>
      <c r="F58" s="34"/>
      <c r="G58" s="34"/>
      <c r="H58" s="34"/>
      <c r="I58" s="34"/>
      <c r="J58" s="43"/>
      <c r="K58" s="19" t="s">
        <v>1826</v>
      </c>
    </row>
    <row r="59" spans="1:11" ht="15" customHeight="1" x14ac:dyDescent="0.2">
      <c r="A59" s="16" t="s">
        <v>1973</v>
      </c>
    </row>
    <row r="60" spans="1:11" ht="15" customHeight="1" x14ac:dyDescent="0.2">
      <c r="D60" s="16" t="s">
        <v>1974</v>
      </c>
      <c r="E60" s="16">
        <f>COUNTIF(J10:J58,"PASS")</f>
        <v>0</v>
      </c>
    </row>
    <row r="61" spans="1:11" ht="15" customHeight="1" x14ac:dyDescent="0.2">
      <c r="D61" s="16" t="s">
        <v>1975</v>
      </c>
      <c r="E61" s="16">
        <f>COUNTIF(J10:J58,"FAIL")</f>
        <v>0</v>
      </c>
    </row>
    <row r="62" spans="1:11" ht="15" customHeight="1" x14ac:dyDescent="0.2">
      <c r="D62" s="16" t="s">
        <v>1976</v>
      </c>
      <c r="E62" s="16">
        <f>ROWS(J10:J58)-E60-E61</f>
        <v>49</v>
      </c>
    </row>
  </sheetData>
  <conditionalFormatting sqref="J9:J58">
    <cfRule type="cellIs" dxfId="7" priority="2" operator="equal">
      <formula>"PASS"</formula>
    </cfRule>
    <cfRule type="cellIs" dxfId="6" priority="3" operator="equal">
      <formula>"FAIL"</formula>
    </cfRule>
    <cfRule type="cellIs" dxfId="5" priority="4" operator="equal">
      <formula>"OBSERVATION"</formula>
    </cfRule>
    <cfRule type="cellIs" dxfId="4" priority="5" operator="equal">
      <formula>"Fixed in final file"</formula>
    </cfRule>
    <cfRule type="cellIs" dxfId="3" priority="6" operator="equal">
      <formula>"Fixed and verified"</formula>
    </cfRule>
    <cfRule type="cellIs" dxfId="2" priority="7" operator="equal">
      <formula>"Applied"</formula>
    </cfRule>
    <cfRule type="cellIs" dxfId="1" priority="8" operator="equal">
      <formula>"Open - recommendation"</formula>
    </cfRule>
    <cfRule type="cellIs" dxfId="0" priority="9" operator="equal">
      <formula>"Open - check on bench"</formula>
    </cfRule>
  </conditionalFormatting>
  <dataValidations count="1">
    <dataValidation type="list" allowBlank="1" sqref="J10:J11 J52:J58" xr:uid="{00000000-0002-0000-0A00-000000000000}">
      <formula1>"PASS,FAIL"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1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46" customWidth="1"/>
    <col min="2" max="9" width="15" customWidth="1"/>
    <col min="10" max="10" width="34" customWidth="1"/>
  </cols>
  <sheetData>
    <row r="1" spans="1:10" ht="15" customHeight="1" x14ac:dyDescent="0.2">
      <c r="A1" s="5" t="s">
        <v>1977</v>
      </c>
    </row>
    <row r="2" spans="1:10" ht="15" customHeight="1" x14ac:dyDescent="0.2">
      <c r="A2" s="6" t="s">
        <v>1978</v>
      </c>
    </row>
    <row r="3" spans="1:10" ht="15" customHeight="1" x14ac:dyDescent="0.2"/>
    <row r="4" spans="1:10" ht="15" customHeight="1" x14ac:dyDescent="0.2">
      <c r="A4" s="19" t="s">
        <v>1979</v>
      </c>
      <c r="B4" s="39">
        <v>1E-3</v>
      </c>
      <c r="C4" s="6" t="s">
        <v>1980</v>
      </c>
    </row>
    <row r="5" spans="1:10" ht="15" customHeight="1" x14ac:dyDescent="0.2">
      <c r="A5" s="19" t="s">
        <v>1981</v>
      </c>
      <c r="B5" s="45">
        <v>0.02</v>
      </c>
      <c r="C5" s="6" t="s">
        <v>1982</v>
      </c>
    </row>
    <row r="6" spans="1:10" ht="15" customHeight="1" x14ac:dyDescent="0.2">
      <c r="A6" s="19" t="s">
        <v>1983</v>
      </c>
      <c r="B6" s="39">
        <v>5.0000000000000001E-3</v>
      </c>
      <c r="C6" s="6" t="s">
        <v>1984</v>
      </c>
    </row>
    <row r="7" spans="1:10" ht="15" customHeight="1" x14ac:dyDescent="0.2"/>
    <row r="8" spans="1:10" ht="15" customHeight="1" x14ac:dyDescent="0.2">
      <c r="A8" s="7" t="s">
        <v>1985</v>
      </c>
    </row>
    <row r="9" spans="1:10" ht="30" customHeight="1" x14ac:dyDescent="0.2">
      <c r="A9" s="46" t="s">
        <v>1986</v>
      </c>
      <c r="B9" s="46" t="s">
        <v>1987</v>
      </c>
      <c r="C9" s="46" t="s">
        <v>1988</v>
      </c>
      <c r="D9" s="46" t="s">
        <v>1989</v>
      </c>
      <c r="E9" s="46" t="s">
        <v>1990</v>
      </c>
      <c r="F9" s="46" t="s">
        <v>1991</v>
      </c>
      <c r="G9" s="46" t="s">
        <v>1992</v>
      </c>
      <c r="H9" s="46" t="s">
        <v>1993</v>
      </c>
      <c r="I9" s="46" t="s">
        <v>1994</v>
      </c>
      <c r="J9" s="46" t="s">
        <v>1995</v>
      </c>
    </row>
    <row r="10" spans="1:10" ht="24" customHeight="1" x14ac:dyDescent="0.2">
      <c r="A10" s="19" t="s">
        <v>1996</v>
      </c>
      <c r="B10" s="47">
        <v>0.8</v>
      </c>
      <c r="C10" s="47">
        <v>0.80700000000000005</v>
      </c>
      <c r="D10" s="48">
        <f t="shared" ref="D10:D19" si="0">ROUND((B10-C10)*1000,1)</f>
        <v>-7</v>
      </c>
      <c r="E10" s="49">
        <f t="shared" ref="E10:E19" si="1">IF(C10&lt;4,0.001,0.01)</f>
        <v>1E-3</v>
      </c>
      <c r="F10" s="48">
        <f t="shared" ref="F10:F19" si="2">ROUND(($B$6*C10+3*E10)*1000,1)</f>
        <v>7</v>
      </c>
      <c r="G10" s="19" t="str">
        <f t="shared" ref="G10:G19" si="3">IF(ABS(D10)&lt;=F10,"Yes","No")</f>
        <v>Yes</v>
      </c>
      <c r="H10" s="48">
        <f t="shared" ref="H10:H19" si="4">ROUND(($B$4*C10+$B$5)*1000,1)</f>
        <v>20.8</v>
      </c>
      <c r="I10" s="19" t="str">
        <f t="shared" ref="I10:I19" si="5">IF(ABS(D10)&lt;=H10,"Yes","No")</f>
        <v>Yes</v>
      </c>
      <c r="J10" s="19" t="str">
        <f t="shared" ref="J10:J19" si="6">IF(F10&lt;H10,"Yes: Fluke tighter than the spec","No: Fluke tolerance too wide")</f>
        <v>Yes: Fluke tighter than the spec</v>
      </c>
    </row>
    <row r="11" spans="1:10" ht="24" customHeight="1" x14ac:dyDescent="0.2">
      <c r="A11" s="19" t="s">
        <v>1997</v>
      </c>
      <c r="B11" s="47">
        <v>1.01</v>
      </c>
      <c r="C11" s="47">
        <v>1.016</v>
      </c>
      <c r="D11" s="48">
        <f t="shared" si="0"/>
        <v>-6</v>
      </c>
      <c r="E11" s="49">
        <f t="shared" si="1"/>
        <v>1E-3</v>
      </c>
      <c r="F11" s="48">
        <f t="shared" si="2"/>
        <v>8.1</v>
      </c>
      <c r="G11" s="19" t="str">
        <f t="shared" si="3"/>
        <v>Yes</v>
      </c>
      <c r="H11" s="48">
        <f t="shared" si="4"/>
        <v>21</v>
      </c>
      <c r="I11" s="19" t="str">
        <f t="shared" si="5"/>
        <v>Yes</v>
      </c>
      <c r="J11" s="19" t="str">
        <f t="shared" si="6"/>
        <v>Yes: Fluke tighter than the spec</v>
      </c>
    </row>
    <row r="12" spans="1:10" ht="24" customHeight="1" x14ac:dyDescent="0.2">
      <c r="A12" s="19" t="s">
        <v>1998</v>
      </c>
      <c r="B12" s="47">
        <v>2.0099999999999998</v>
      </c>
      <c r="C12" s="47">
        <v>2.012</v>
      </c>
      <c r="D12" s="48">
        <f t="shared" si="0"/>
        <v>-2</v>
      </c>
      <c r="E12" s="49">
        <f t="shared" si="1"/>
        <v>1E-3</v>
      </c>
      <c r="F12" s="48">
        <f t="shared" si="2"/>
        <v>13.1</v>
      </c>
      <c r="G12" s="19" t="str">
        <f t="shared" si="3"/>
        <v>Yes</v>
      </c>
      <c r="H12" s="48">
        <f t="shared" si="4"/>
        <v>22</v>
      </c>
      <c r="I12" s="19" t="str">
        <f t="shared" si="5"/>
        <v>Yes</v>
      </c>
      <c r="J12" s="19" t="str">
        <f t="shared" si="6"/>
        <v>Yes: Fluke tighter than the spec</v>
      </c>
    </row>
    <row r="13" spans="1:10" ht="24" customHeight="1" x14ac:dyDescent="0.2">
      <c r="A13" s="19" t="s">
        <v>1999</v>
      </c>
      <c r="B13" s="47">
        <v>5</v>
      </c>
      <c r="C13" s="47">
        <v>4.99</v>
      </c>
      <c r="D13" s="48">
        <f t="shared" si="0"/>
        <v>10</v>
      </c>
      <c r="E13" s="49">
        <f t="shared" si="1"/>
        <v>0.01</v>
      </c>
      <c r="F13" s="48">
        <f t="shared" si="2"/>
        <v>55</v>
      </c>
      <c r="G13" s="19" t="str">
        <f t="shared" si="3"/>
        <v>Yes</v>
      </c>
      <c r="H13" s="48">
        <f t="shared" si="4"/>
        <v>25</v>
      </c>
      <c r="I13" s="19" t="str">
        <f t="shared" si="5"/>
        <v>Yes</v>
      </c>
      <c r="J13" s="19" t="str">
        <f t="shared" si="6"/>
        <v>No: Fluke tolerance too wide</v>
      </c>
    </row>
    <row r="14" spans="1:10" ht="24" customHeight="1" x14ac:dyDescent="0.2">
      <c r="A14" s="19" t="s">
        <v>2000</v>
      </c>
      <c r="B14" s="47">
        <v>8</v>
      </c>
      <c r="C14" s="47">
        <v>8</v>
      </c>
      <c r="D14" s="48">
        <f t="shared" si="0"/>
        <v>0</v>
      </c>
      <c r="E14" s="49">
        <f t="shared" si="1"/>
        <v>0.01</v>
      </c>
      <c r="F14" s="48">
        <f t="shared" si="2"/>
        <v>70</v>
      </c>
      <c r="G14" s="19" t="str">
        <f t="shared" si="3"/>
        <v>Yes</v>
      </c>
      <c r="H14" s="48">
        <f t="shared" si="4"/>
        <v>28</v>
      </c>
      <c r="I14" s="19" t="str">
        <f t="shared" si="5"/>
        <v>Yes</v>
      </c>
      <c r="J14" s="19" t="str">
        <f t="shared" si="6"/>
        <v>No: Fluke tolerance too wide</v>
      </c>
    </row>
    <row r="15" spans="1:10" ht="24" customHeight="1" x14ac:dyDescent="0.2">
      <c r="A15" s="19" t="s">
        <v>2001</v>
      </c>
      <c r="B15" s="47">
        <v>10</v>
      </c>
      <c r="C15" s="47">
        <v>9.98</v>
      </c>
      <c r="D15" s="48">
        <f t="shared" si="0"/>
        <v>20</v>
      </c>
      <c r="E15" s="49">
        <f t="shared" si="1"/>
        <v>0.01</v>
      </c>
      <c r="F15" s="48">
        <f t="shared" si="2"/>
        <v>79.900000000000006</v>
      </c>
      <c r="G15" s="19" t="str">
        <f t="shared" si="3"/>
        <v>Yes</v>
      </c>
      <c r="H15" s="48">
        <f t="shared" si="4"/>
        <v>30</v>
      </c>
      <c r="I15" s="19" t="str">
        <f t="shared" si="5"/>
        <v>Yes</v>
      </c>
      <c r="J15" s="19" t="str">
        <f t="shared" si="6"/>
        <v>No: Fluke tolerance too wide</v>
      </c>
    </row>
    <row r="16" spans="1:10" ht="24" customHeight="1" x14ac:dyDescent="0.2">
      <c r="A16" s="19" t="s">
        <v>2002</v>
      </c>
      <c r="B16" s="47">
        <v>12.01</v>
      </c>
      <c r="C16" s="47">
        <v>11.98</v>
      </c>
      <c r="D16" s="48">
        <f t="shared" si="0"/>
        <v>30</v>
      </c>
      <c r="E16" s="49">
        <f t="shared" si="1"/>
        <v>0.01</v>
      </c>
      <c r="F16" s="48">
        <f t="shared" si="2"/>
        <v>89.9</v>
      </c>
      <c r="G16" s="19" t="str">
        <f t="shared" si="3"/>
        <v>Yes</v>
      </c>
      <c r="H16" s="48">
        <f t="shared" si="4"/>
        <v>32</v>
      </c>
      <c r="I16" s="19" t="str">
        <f t="shared" si="5"/>
        <v>Yes</v>
      </c>
      <c r="J16" s="19" t="str">
        <f t="shared" si="6"/>
        <v>No: Fluke tolerance too wide</v>
      </c>
    </row>
    <row r="17" spans="1:10" ht="24" customHeight="1" x14ac:dyDescent="0.2">
      <c r="A17" s="19" t="s">
        <v>2003</v>
      </c>
      <c r="B17" s="47">
        <v>15.01</v>
      </c>
      <c r="C17" s="47">
        <v>14.96</v>
      </c>
      <c r="D17" s="48">
        <f t="shared" si="0"/>
        <v>50</v>
      </c>
      <c r="E17" s="49">
        <f t="shared" si="1"/>
        <v>0.01</v>
      </c>
      <c r="F17" s="48">
        <f t="shared" si="2"/>
        <v>104.8</v>
      </c>
      <c r="G17" s="19" t="str">
        <f t="shared" si="3"/>
        <v>Yes</v>
      </c>
      <c r="H17" s="48">
        <f t="shared" si="4"/>
        <v>35</v>
      </c>
      <c r="I17" s="19" t="str">
        <f t="shared" si="5"/>
        <v>No</v>
      </c>
      <c r="J17" s="19" t="str">
        <f t="shared" si="6"/>
        <v>No: Fluke tolerance too wide</v>
      </c>
    </row>
    <row r="18" spans="1:10" ht="24" customHeight="1" x14ac:dyDescent="0.2">
      <c r="A18" s="19" t="s">
        <v>2004</v>
      </c>
      <c r="B18" s="47">
        <v>18</v>
      </c>
      <c r="C18" s="47">
        <v>17.96</v>
      </c>
      <c r="D18" s="48">
        <f t="shared" si="0"/>
        <v>40</v>
      </c>
      <c r="E18" s="49">
        <f t="shared" si="1"/>
        <v>0.01</v>
      </c>
      <c r="F18" s="48">
        <f t="shared" si="2"/>
        <v>119.8</v>
      </c>
      <c r="G18" s="19" t="str">
        <f t="shared" si="3"/>
        <v>Yes</v>
      </c>
      <c r="H18" s="48">
        <f t="shared" si="4"/>
        <v>38</v>
      </c>
      <c r="I18" s="19" t="str">
        <f t="shared" si="5"/>
        <v>No</v>
      </c>
      <c r="J18" s="19" t="str">
        <f t="shared" si="6"/>
        <v>No: Fluke tolerance too wide</v>
      </c>
    </row>
    <row r="19" spans="1:10" ht="24" customHeight="1" x14ac:dyDescent="0.2">
      <c r="A19" s="19" t="s">
        <v>2005</v>
      </c>
      <c r="B19" s="47">
        <v>20</v>
      </c>
      <c r="C19" s="47">
        <v>19.95</v>
      </c>
      <c r="D19" s="48">
        <f t="shared" si="0"/>
        <v>50</v>
      </c>
      <c r="E19" s="49">
        <f t="shared" si="1"/>
        <v>0.01</v>
      </c>
      <c r="F19" s="48">
        <f t="shared" si="2"/>
        <v>129.80000000000001</v>
      </c>
      <c r="G19" s="19" t="str">
        <f t="shared" si="3"/>
        <v>Yes</v>
      </c>
      <c r="H19" s="48">
        <f t="shared" si="4"/>
        <v>40</v>
      </c>
      <c r="I19" s="19" t="str">
        <f t="shared" si="5"/>
        <v>No</v>
      </c>
      <c r="J19" s="19" t="str">
        <f t="shared" si="6"/>
        <v>No: Fluke tolerance too wide</v>
      </c>
    </row>
    <row r="20" spans="1:10" ht="15" customHeight="1" x14ac:dyDescent="0.2"/>
    <row r="21" spans="1:10" ht="15" customHeight="1" x14ac:dyDescent="0.2">
      <c r="A21" s="19" t="s">
        <v>2006</v>
      </c>
      <c r="B21" s="19" t="str">
        <f>COUNTIF(G10:G19,"Yes")&amp;" of "&amp;COUNTA(A10:A19)</f>
        <v>10 of 10</v>
      </c>
    </row>
    <row r="22" spans="1:10" ht="15" customHeight="1" x14ac:dyDescent="0.2">
      <c r="A22" s="19" t="s">
        <v>2007</v>
      </c>
      <c r="B22" s="19">
        <f>COUNTIF(J10:J19,"Yes*")</f>
        <v>3</v>
      </c>
    </row>
    <row r="23" spans="1:10" ht="15" customHeight="1" x14ac:dyDescent="0.2">
      <c r="A23" s="19" t="s">
        <v>2008</v>
      </c>
      <c r="B23" s="48" t="e">
        <f>SUMPRODUCT(MAX((LEFT(J10:J19,3)="Yes")*ABS(D10:D19)))</f>
        <v>#VALUE!</v>
      </c>
      <c r="C23" s="6" t="s">
        <v>2009</v>
      </c>
    </row>
    <row r="24" spans="1:10" ht="15" customHeight="1" x14ac:dyDescent="0.2">
      <c r="A24" s="19" t="s">
        <v>2010</v>
      </c>
      <c r="B24" s="48" t="e">
        <f>SUMPRODUCT(MAX(ABS(D10:D19)))</f>
        <v>#VALUE!</v>
      </c>
      <c r="C24" s="6" t="s">
        <v>2011</v>
      </c>
    </row>
    <row r="25" spans="1:10" ht="15" customHeight="1" x14ac:dyDescent="0.2"/>
    <row r="26" spans="1:10" ht="15" customHeight="1" x14ac:dyDescent="0.2">
      <c r="A26" s="7" t="s">
        <v>2012</v>
      </c>
    </row>
    <row r="27" spans="1:10" ht="30" customHeight="1" x14ac:dyDescent="0.2">
      <c r="A27" s="46" t="s">
        <v>2013</v>
      </c>
      <c r="B27" s="46" t="s">
        <v>2014</v>
      </c>
      <c r="C27" s="46" t="s">
        <v>2015</v>
      </c>
      <c r="D27" s="2" t="s">
        <v>1843</v>
      </c>
      <c r="E27" s="2"/>
      <c r="F27" s="2"/>
      <c r="G27" s="2"/>
      <c r="H27" s="2"/>
      <c r="I27" s="2"/>
      <c r="J27" s="2"/>
    </row>
    <row r="28" spans="1:10" ht="24" customHeight="1" x14ac:dyDescent="0.2">
      <c r="A28" s="19" t="s">
        <v>2016</v>
      </c>
      <c r="B28" s="19">
        <v>5</v>
      </c>
      <c r="C28" s="19" t="s">
        <v>143</v>
      </c>
      <c r="D28" s="1" t="s">
        <v>2017</v>
      </c>
      <c r="E28" s="1"/>
      <c r="F28" s="1"/>
      <c r="G28" s="1"/>
      <c r="H28" s="1"/>
      <c r="I28" s="1"/>
      <c r="J28" s="1"/>
    </row>
    <row r="29" spans="1:10" ht="24" customHeight="1" x14ac:dyDescent="0.2">
      <c r="A29" s="19" t="s">
        <v>2018</v>
      </c>
      <c r="B29" s="19">
        <v>3</v>
      </c>
      <c r="C29" s="19" t="s">
        <v>2019</v>
      </c>
      <c r="D29" s="1" t="s">
        <v>2020</v>
      </c>
      <c r="E29" s="1"/>
      <c r="F29" s="1"/>
      <c r="G29" s="1"/>
      <c r="H29" s="1"/>
      <c r="I29" s="1"/>
      <c r="J29" s="1"/>
    </row>
    <row r="30" spans="1:10" ht="24" customHeight="1" x14ac:dyDescent="0.2">
      <c r="A30" s="19" t="s">
        <v>2021</v>
      </c>
      <c r="B30" s="19">
        <v>10</v>
      </c>
      <c r="C30" s="19" t="s">
        <v>2022</v>
      </c>
      <c r="D30" s="1" t="s">
        <v>2023</v>
      </c>
      <c r="E30" s="1"/>
      <c r="F30" s="1"/>
      <c r="G30" s="1"/>
      <c r="H30" s="1"/>
      <c r="I30" s="1"/>
      <c r="J30" s="1"/>
    </row>
    <row r="31" spans="1:10" ht="24" customHeight="1" x14ac:dyDescent="0.2">
      <c r="A31" s="19" t="s">
        <v>2024</v>
      </c>
      <c r="B31" s="19">
        <v>10</v>
      </c>
      <c r="C31" s="19" t="s">
        <v>143</v>
      </c>
      <c r="D31" s="1" t="s">
        <v>2025</v>
      </c>
      <c r="E31" s="1"/>
      <c r="F31" s="1"/>
      <c r="G31" s="1"/>
      <c r="H31" s="1"/>
      <c r="I31" s="1"/>
      <c r="J31" s="1"/>
    </row>
    <row r="32" spans="1:10" ht="24" customHeight="1" x14ac:dyDescent="0.2">
      <c r="A32" s="19" t="s">
        <v>2026</v>
      </c>
      <c r="B32" s="19">
        <v>5</v>
      </c>
      <c r="C32" s="19" t="s">
        <v>2027</v>
      </c>
      <c r="D32" s="1" t="s">
        <v>2028</v>
      </c>
      <c r="E32" s="1"/>
      <c r="F32" s="1"/>
      <c r="G32" s="1"/>
      <c r="H32" s="1"/>
      <c r="I32" s="1"/>
      <c r="J32" s="1"/>
    </row>
    <row r="33" spans="1:10" ht="15" customHeight="1" x14ac:dyDescent="0.2">
      <c r="A33" s="19" t="s">
        <v>2029</v>
      </c>
      <c r="B33" s="48">
        <f>ROUND(SQRT(SUMSQ(B28:B32)),1)</f>
        <v>16.100000000000001</v>
      </c>
      <c r="C33" s="6" t="s">
        <v>2030</v>
      </c>
    </row>
    <row r="34" spans="1:10" ht="15" customHeight="1" x14ac:dyDescent="0.2">
      <c r="A34" s="19" t="s">
        <v>2031</v>
      </c>
      <c r="B34" s="50">
        <f>SUM(B28:B32)</f>
        <v>33</v>
      </c>
      <c r="C34" s="6" t="s">
        <v>2032</v>
      </c>
    </row>
    <row r="35" spans="1:10" ht="15" customHeight="1" x14ac:dyDescent="0.2"/>
    <row r="36" spans="1:10" ht="15" customHeight="1" x14ac:dyDescent="0.2">
      <c r="A36" s="7" t="s">
        <v>2033</v>
      </c>
    </row>
    <row r="37" spans="1:10" ht="30" customHeight="1" x14ac:dyDescent="0.2">
      <c r="A37" s="46" t="s">
        <v>2034</v>
      </c>
      <c r="B37" s="46" t="s">
        <v>2035</v>
      </c>
      <c r="C37" s="46" t="s">
        <v>2036</v>
      </c>
      <c r="D37" s="46" t="s">
        <v>2037</v>
      </c>
      <c r="E37" s="46" t="s">
        <v>2038</v>
      </c>
      <c r="F37" s="46" t="s">
        <v>2039</v>
      </c>
      <c r="G37" s="46" t="s">
        <v>2040</v>
      </c>
      <c r="H37" s="46" t="s">
        <v>2041</v>
      </c>
      <c r="I37" s="46" t="s">
        <v>2042</v>
      </c>
      <c r="J37" s="46" t="s">
        <v>2013</v>
      </c>
    </row>
    <row r="38" spans="1:10" ht="24" customHeight="1" x14ac:dyDescent="0.2">
      <c r="A38" s="19" t="s">
        <v>2043</v>
      </c>
      <c r="B38" s="19" t="s">
        <v>2044</v>
      </c>
      <c r="C38" s="51">
        <v>5.0000000000000001E-3</v>
      </c>
      <c r="D38" s="19">
        <v>20</v>
      </c>
      <c r="E38" s="48">
        <f>ROUND(C38*1*1000+D38,1)</f>
        <v>25</v>
      </c>
      <c r="F38" s="48">
        <f>ROUND(C38*5*1000+D38,1)</f>
        <v>45</v>
      </c>
      <c r="G38" s="48">
        <f>ROUND(C38*12*1000+D38,1)</f>
        <v>80</v>
      </c>
      <c r="H38" s="48">
        <f>ROUND(C38*20*1000+D38,1)</f>
        <v>120</v>
      </c>
      <c r="I38" s="52">
        <f>ROUND(G38/$G$39,2)</f>
        <v>2.5</v>
      </c>
      <c r="J38" s="19" t="s">
        <v>2045</v>
      </c>
    </row>
    <row r="39" spans="1:10" ht="24" customHeight="1" x14ac:dyDescent="0.2">
      <c r="A39" s="24" t="s">
        <v>2046</v>
      </c>
      <c r="B39" s="24" t="s">
        <v>2047</v>
      </c>
      <c r="C39" s="53">
        <f>B4</f>
        <v>1E-3</v>
      </c>
      <c r="D39" s="24">
        <f>B5*1000</f>
        <v>20</v>
      </c>
      <c r="E39" s="54">
        <f>ROUND(C39*1*1000+D39,1)</f>
        <v>21</v>
      </c>
      <c r="F39" s="54">
        <f>ROUND(C39*5*1000+D39,1)</f>
        <v>25</v>
      </c>
      <c r="G39" s="54">
        <f>ROUND(C39*12*1000+D39,1)</f>
        <v>32</v>
      </c>
      <c r="H39" s="54">
        <f>ROUND(C39*20*1000+D39,1)</f>
        <v>40</v>
      </c>
      <c r="I39" s="55">
        <f>ROUND(G39/$G$39,2)</f>
        <v>1</v>
      </c>
      <c r="J39" s="24" t="s">
        <v>2048</v>
      </c>
    </row>
    <row r="40" spans="1:10" ht="24" customHeight="1" x14ac:dyDescent="0.2">
      <c r="A40" s="19" t="s">
        <v>2049</v>
      </c>
      <c r="B40" s="19" t="s">
        <v>2050</v>
      </c>
      <c r="C40" s="51">
        <v>5.0000000000000001E-4</v>
      </c>
      <c r="D40" s="19">
        <v>10</v>
      </c>
      <c r="E40" s="48">
        <f>ROUND(C40*1*1000+D40,1)</f>
        <v>10.5</v>
      </c>
      <c r="F40" s="48">
        <f>ROUND(C40*5*1000+D40,1)</f>
        <v>12.5</v>
      </c>
      <c r="G40" s="48">
        <f>ROUND(C40*12*1000+D40,1)</f>
        <v>16</v>
      </c>
      <c r="H40" s="48">
        <f>ROUND(C40*20*1000+D40,1)</f>
        <v>20</v>
      </c>
      <c r="I40" s="52">
        <f>ROUND(G40/$G$39,2)</f>
        <v>0.5</v>
      </c>
      <c r="J40" s="19" t="s">
        <v>2051</v>
      </c>
    </row>
    <row r="41" spans="1:10" ht="24" customHeight="1" x14ac:dyDescent="0.2">
      <c r="A41" s="19" t="s">
        <v>2052</v>
      </c>
      <c r="B41" s="19" t="s">
        <v>2050</v>
      </c>
      <c r="C41" s="51">
        <v>2.9999999999999997E-4</v>
      </c>
      <c r="D41" s="19">
        <v>10</v>
      </c>
      <c r="E41" s="48">
        <f>ROUND(C41*1*1000+D41,1)</f>
        <v>10.3</v>
      </c>
      <c r="F41" s="48">
        <f>ROUND(C41*5*1000+D41,1)</f>
        <v>11.5</v>
      </c>
      <c r="G41" s="48">
        <f>ROUND(C41*12*1000+D41,1)</f>
        <v>13.6</v>
      </c>
      <c r="H41" s="48">
        <f>ROUND(C41*20*1000+D41,1)</f>
        <v>16</v>
      </c>
      <c r="I41" s="52">
        <f>ROUND(G41/$G$39,2)</f>
        <v>0.43</v>
      </c>
      <c r="J41" s="19" t="s">
        <v>2053</v>
      </c>
    </row>
    <row r="42" spans="1:10" ht="24" customHeight="1" x14ac:dyDescent="0.2">
      <c r="A42" s="19" t="s">
        <v>2054</v>
      </c>
      <c r="B42" s="19" t="s">
        <v>2055</v>
      </c>
      <c r="C42" s="51">
        <v>4.0000000000000002E-4</v>
      </c>
      <c r="D42" s="19">
        <v>3</v>
      </c>
      <c r="E42" s="48">
        <f>ROUND(C42*1*1000+D42,1)</f>
        <v>3.4</v>
      </c>
      <c r="F42" s="48">
        <f>ROUND(C42*5*1000+D42,1)</f>
        <v>5</v>
      </c>
      <c r="G42" s="48">
        <f>ROUND(C42*12*1000+D42,1)</f>
        <v>7.8</v>
      </c>
      <c r="H42" s="48">
        <f>ROUND(C42*20*1000+D42,1)</f>
        <v>11</v>
      </c>
      <c r="I42" s="52">
        <f>ROUND(G42/$G$39,2)</f>
        <v>0.24</v>
      </c>
      <c r="J42" s="19" t="s">
        <v>2056</v>
      </c>
    </row>
    <row r="43" spans="1:10" ht="15" customHeight="1" x14ac:dyDescent="0.2"/>
    <row r="44" spans="1:10" ht="15" customHeight="1" x14ac:dyDescent="0.2">
      <c r="A44" s="6" t="s">
        <v>2057</v>
      </c>
    </row>
    <row r="45" spans="1:10" ht="15" customHeight="1" x14ac:dyDescent="0.2"/>
    <row r="46" spans="1:10" ht="15" customHeight="1" x14ac:dyDescent="0.2">
      <c r="A46" s="7" t="s">
        <v>2058</v>
      </c>
    </row>
    <row r="47" spans="1:10" ht="15" customHeight="1" x14ac:dyDescent="0.2">
      <c r="A47" s="6" t="s">
        <v>2059</v>
      </c>
    </row>
    <row r="48" spans="1:10" ht="15" customHeight="1" x14ac:dyDescent="0.2">
      <c r="A48" s="6" t="s">
        <v>2060</v>
      </c>
    </row>
    <row r="49" spans="1:1" ht="15" customHeight="1" x14ac:dyDescent="0.2">
      <c r="A49" s="6" t="s">
        <v>2061</v>
      </c>
    </row>
    <row r="50" spans="1:1" ht="15" customHeight="1" x14ac:dyDescent="0.2">
      <c r="A50" s="6" t="s">
        <v>2062</v>
      </c>
    </row>
    <row r="51" spans="1:1" ht="15" customHeight="1" x14ac:dyDescent="0.2">
      <c r="A51" s="6" t="s">
        <v>2063</v>
      </c>
    </row>
  </sheetData>
  <mergeCells count="6">
    <mergeCell ref="D32:J32"/>
    <mergeCell ref="D27:J27"/>
    <mergeCell ref="D28:J28"/>
    <mergeCell ref="D29:J29"/>
    <mergeCell ref="D30:J30"/>
    <mergeCell ref="D31:J3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17"/>
  <sheetViews>
    <sheetView showGridLines="0" zoomScaleNormal="100" workbookViewId="0"/>
  </sheetViews>
  <sheetFormatPr baseColWidth="10" defaultColWidth="8.6640625" defaultRowHeight="15" x14ac:dyDescent="0.2"/>
  <cols>
    <col min="1" max="1" width="30" customWidth="1"/>
    <col min="2" max="2" width="100" customWidth="1"/>
  </cols>
  <sheetData>
    <row r="1" spans="1:2" ht="17.25" customHeight="1" x14ac:dyDescent="0.2">
      <c r="A1" s="5" t="s">
        <v>2064</v>
      </c>
    </row>
    <row r="2" spans="1:2" ht="15" customHeight="1" x14ac:dyDescent="0.2">
      <c r="A2" s="6"/>
    </row>
    <row r="4" spans="1:2" ht="23.25" customHeight="1" x14ac:dyDescent="0.2">
      <c r="A4" s="24" t="s">
        <v>2065</v>
      </c>
      <c r="B4" s="19" t="s">
        <v>2066</v>
      </c>
    </row>
    <row r="5" spans="1:2" ht="23.25" customHeight="1" x14ac:dyDescent="0.2">
      <c r="A5" s="24" t="s">
        <v>294</v>
      </c>
      <c r="B5" s="19" t="s">
        <v>2067</v>
      </c>
    </row>
    <row r="6" spans="1:2" ht="15" customHeight="1" x14ac:dyDescent="0.2">
      <c r="A6" s="24" t="s">
        <v>2068</v>
      </c>
      <c r="B6" s="19" t="s">
        <v>2069</v>
      </c>
    </row>
    <row r="7" spans="1:2" ht="34.5" customHeight="1" x14ac:dyDescent="0.2">
      <c r="A7" s="24" t="s">
        <v>2070</v>
      </c>
      <c r="B7" s="19" t="s">
        <v>2071</v>
      </c>
    </row>
    <row r="8" spans="1:2" ht="23.25" customHeight="1" x14ac:dyDescent="0.2">
      <c r="A8" s="24" t="s">
        <v>2072</v>
      </c>
      <c r="B8" s="19" t="s">
        <v>2073</v>
      </c>
    </row>
    <row r="9" spans="1:2" ht="23.25" customHeight="1" x14ac:dyDescent="0.2">
      <c r="A9" s="24" t="s">
        <v>2074</v>
      </c>
      <c r="B9" s="19" t="s">
        <v>2075</v>
      </c>
    </row>
    <row r="10" spans="1:2" ht="15" customHeight="1" x14ac:dyDescent="0.2">
      <c r="A10" s="24" t="s">
        <v>2076</v>
      </c>
      <c r="B10" s="19" t="s">
        <v>2077</v>
      </c>
    </row>
    <row r="11" spans="1:2" ht="23.25" customHeight="1" x14ac:dyDescent="0.2">
      <c r="A11" s="24" t="s">
        <v>2078</v>
      </c>
      <c r="B11" s="19" t="s">
        <v>2079</v>
      </c>
    </row>
    <row r="12" spans="1:2" ht="23.25" customHeight="1" x14ac:dyDescent="0.2">
      <c r="A12" s="24" t="s">
        <v>2080</v>
      </c>
      <c r="B12" s="19" t="s">
        <v>2081</v>
      </c>
    </row>
    <row r="13" spans="1:2" ht="23.25" customHeight="1" x14ac:dyDescent="0.2">
      <c r="A13" s="24" t="s">
        <v>2082</v>
      </c>
      <c r="B13" s="19" t="s">
        <v>2083</v>
      </c>
    </row>
    <row r="14" spans="1:2" ht="23.25" customHeight="1" x14ac:dyDescent="0.2">
      <c r="A14" s="24" t="s">
        <v>2084</v>
      </c>
      <c r="B14" s="19" t="s">
        <v>2085</v>
      </c>
    </row>
    <row r="15" spans="1:2" ht="15" customHeight="1" x14ac:dyDescent="0.2">
      <c r="A15" s="24" t="s">
        <v>2086</v>
      </c>
      <c r="B15" s="19" t="s">
        <v>2087</v>
      </c>
    </row>
    <row r="16" spans="1:2" ht="23.25" customHeight="1" x14ac:dyDescent="0.2">
      <c r="A16" s="24" t="s">
        <v>1643</v>
      </c>
      <c r="B16" s="19" t="s">
        <v>2088</v>
      </c>
    </row>
    <row r="17" spans="1:2" ht="23.25" customHeight="1" x14ac:dyDescent="0.2">
      <c r="A17" s="24" t="s">
        <v>2089</v>
      </c>
      <c r="B17" s="19" t="s">
        <v>2090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Changes</vt:lpstr>
      <vt:lpstr>Enhancements</vt:lpstr>
      <vt:lpstr>Test Cases</vt:lpstr>
      <vt:lpstr>Unit Tests</vt:lpstr>
      <vt:lpstr>ADC Parity</vt:lpstr>
      <vt:lpstr>Stability Tests</vt:lpstr>
      <vt:lpstr>LCD Scenarios</vt:lpstr>
      <vt:lpstr>Findings</vt:lpstr>
      <vt:lpstr>Memory &amp; Timing</vt:lpstr>
      <vt:lpstr>Bench Test Plan</vt:lpstr>
      <vt:lpstr>Voltage Accuracy</vt:lpstr>
      <vt:lpstr>Method</vt:lpstr>
    </vt:vector>
  </TitlesOfParts>
  <Manager>marcos buydid</Manager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buydid</cp:lastModifiedBy>
  <cp:revision>0</cp:revision>
  <dcterms:created xsi:type="dcterms:W3CDTF">2026-09-27T14:38:55Z</dcterms:created>
  <dcterms:modified xsi:type="dcterms:W3CDTF">2026-09-28T02:49:37Z</dcterms:modified>
  <cp:category/>
  <dc:language>en-US</dc:language>
</cp:coreProperties>
</file>
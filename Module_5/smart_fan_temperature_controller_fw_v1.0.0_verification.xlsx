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rcosbuydid/Downloads/"/>
    </mc:Choice>
  </mc:AlternateContent>
  <xr:revisionPtr revIDLastSave="0" documentId="13_ncr:1_{F7C7BD60-778D-D24C-889A-044547BAD2C2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Summary" sheetId="1" r:id="rId1"/>
    <sheet name="Constants" sheetId="2" r:id="rId2"/>
    <sheet name="Temp_to_PWM" sheetId="3" r:id="rId3"/>
    <sheet name="Sensor_Inputs" sheetId="4" r:id="rId4"/>
    <sheet name="LED_Alarm_Matrix" sheetId="5" r:id="rId5"/>
    <sheet name="Sequences" sheetId="6" r:id="rId6"/>
    <sheet name="Fan_Startup_Test" sheetId="7" r:id="rId7"/>
    <sheet name="ADC_Sweep" sheetId="8" r:id="rId8"/>
    <sheet name="Watchdog_Timing" sheetId="9" r:id="rId9"/>
    <sheet name="Serial_Output" sheetId="10" r:id="rId10"/>
    <sheet name="Changes_vs_v0.2.1" sheetId="11" r:id="rId11"/>
    <sheet name="Corrections_Log" sheetId="12" r:id="rId12"/>
  </sheets>
  <definedNames>
    <definedName name="_xlnm._FilterDatabase" localSheetId="2" hidden="1">Temp_to_PWM!$A$4:$H$475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9" l="1"/>
  <c r="B19" i="9"/>
  <c r="C17" i="9"/>
  <c r="B17" i="9"/>
  <c r="C15" i="9"/>
  <c r="C18" i="9" s="1"/>
  <c r="C22" i="9" s="1"/>
  <c r="B15" i="9"/>
  <c r="B18" i="9" s="1"/>
  <c r="B22" i="9" s="1"/>
  <c r="B10" i="9"/>
  <c r="B8" i="9"/>
  <c r="B7" i="9"/>
  <c r="B6" i="9"/>
  <c r="C5" i="9"/>
  <c r="C6" i="9" s="1"/>
  <c r="C7" i="9" s="1"/>
  <c r="C8" i="9" s="1"/>
  <c r="B5" i="9"/>
  <c r="B9" i="9" s="1"/>
  <c r="B11" i="9" s="1"/>
  <c r="B13" i="8"/>
  <c r="B11" i="8"/>
  <c r="B12" i="8" s="1"/>
  <c r="C10" i="8"/>
  <c r="C9" i="8"/>
  <c r="C8" i="8"/>
  <c r="C11" i="8" s="1"/>
  <c r="C7" i="8"/>
  <c r="C6" i="8"/>
  <c r="C5" i="8"/>
  <c r="I20" i="7"/>
  <c r="H20" i="7"/>
  <c r="G20" i="7"/>
  <c r="C20" i="7"/>
  <c r="F20" i="7" s="1"/>
  <c r="B20" i="7"/>
  <c r="I19" i="7"/>
  <c r="H19" i="7"/>
  <c r="G19" i="7"/>
  <c r="C19" i="7"/>
  <c r="F19" i="7" s="1"/>
  <c r="B19" i="7"/>
  <c r="I18" i="7"/>
  <c r="H18" i="7"/>
  <c r="G18" i="7"/>
  <c r="C18" i="7"/>
  <c r="F18" i="7" s="1"/>
  <c r="B18" i="7"/>
  <c r="I17" i="7"/>
  <c r="H17" i="7"/>
  <c r="G17" i="7"/>
  <c r="C17" i="7"/>
  <c r="F17" i="7" s="1"/>
  <c r="B17" i="7"/>
  <c r="I16" i="7"/>
  <c r="H16" i="7"/>
  <c r="G16" i="7"/>
  <c r="C16" i="7"/>
  <c r="F16" i="7" s="1"/>
  <c r="B16" i="7"/>
  <c r="I15" i="7"/>
  <c r="H15" i="7"/>
  <c r="G15" i="7"/>
  <c r="C15" i="7"/>
  <c r="F15" i="7" s="1"/>
  <c r="B15" i="7"/>
  <c r="I14" i="7"/>
  <c r="H14" i="7"/>
  <c r="G14" i="7"/>
  <c r="C14" i="7"/>
  <c r="F14" i="7" s="1"/>
  <c r="B14" i="7"/>
  <c r="I13" i="7"/>
  <c r="H13" i="7"/>
  <c r="G13" i="7"/>
  <c r="C13" i="7"/>
  <c r="F13" i="7" s="1"/>
  <c r="B13" i="7"/>
  <c r="I12" i="7"/>
  <c r="H12" i="7"/>
  <c r="G12" i="7"/>
  <c r="C12" i="7"/>
  <c r="F12" i="7" s="1"/>
  <c r="B12" i="7"/>
  <c r="I11" i="7"/>
  <c r="H11" i="7"/>
  <c r="G11" i="7"/>
  <c r="C11" i="7"/>
  <c r="F11" i="7" s="1"/>
  <c r="B11" i="7"/>
  <c r="I10" i="7"/>
  <c r="H10" i="7"/>
  <c r="G10" i="7"/>
  <c r="C10" i="7"/>
  <c r="F10" i="7" s="1"/>
  <c r="B10" i="7"/>
  <c r="I9" i="7"/>
  <c r="H9" i="7"/>
  <c r="G9" i="7"/>
  <c r="C9" i="7"/>
  <c r="F9" i="7" s="1"/>
  <c r="B9" i="7"/>
  <c r="I8" i="7"/>
  <c r="H8" i="7"/>
  <c r="G8" i="7"/>
  <c r="C8" i="7"/>
  <c r="F8" i="7" s="1"/>
  <c r="B8" i="7"/>
  <c r="I7" i="7"/>
  <c r="H7" i="7"/>
  <c r="G7" i="7"/>
  <c r="C7" i="7"/>
  <c r="F7" i="7" s="1"/>
  <c r="B7" i="7"/>
  <c r="I6" i="7"/>
  <c r="H6" i="7"/>
  <c r="G6" i="7"/>
  <c r="C6" i="7"/>
  <c r="F6" i="7" s="1"/>
  <c r="B6" i="7"/>
  <c r="I5" i="7"/>
  <c r="H5" i="7"/>
  <c r="G5" i="7"/>
  <c r="C5" i="7"/>
  <c r="F5" i="7" s="1"/>
  <c r="B5" i="7"/>
  <c r="D67" i="6"/>
  <c r="D65" i="6"/>
  <c r="D66" i="6" s="1"/>
  <c r="D64" i="6"/>
  <c r="D58" i="6"/>
  <c r="D59" i="6" s="1"/>
  <c r="D60" i="6" s="1"/>
  <c r="D53" i="6"/>
  <c r="D54" i="6" s="1"/>
  <c r="D52" i="6"/>
  <c r="D46" i="6"/>
  <c r="D47" i="6" s="1"/>
  <c r="D48" i="6" s="1"/>
  <c r="D45" i="6"/>
  <c r="D39" i="6"/>
  <c r="D40" i="6" s="1"/>
  <c r="D41" i="6" s="1"/>
  <c r="D32" i="6"/>
  <c r="D33" i="6" s="1"/>
  <c r="D34" i="6" s="1"/>
  <c r="D35" i="6" s="1"/>
  <c r="D31" i="6"/>
  <c r="D25" i="6"/>
  <c r="D26" i="6" s="1"/>
  <c r="D27" i="6" s="1"/>
  <c r="D21" i="6"/>
  <c r="D22" i="6" s="1"/>
  <c r="D23" i="6" s="1"/>
  <c r="D24" i="6" s="1"/>
  <c r="D19" i="6"/>
  <c r="D20" i="6" s="1"/>
  <c r="D10" i="6"/>
  <c r="D11" i="6" s="1"/>
  <c r="D12" i="6" s="1"/>
  <c r="D13" i="6" s="1"/>
  <c r="D14" i="6" s="1"/>
  <c r="D15" i="6" s="1"/>
  <c r="D8" i="6"/>
  <c r="D9" i="6" s="1"/>
  <c r="D7" i="6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P21" i="4"/>
  <c r="O21" i="4"/>
  <c r="N21" i="4"/>
  <c r="F21" i="4"/>
  <c r="G21" i="4" s="1"/>
  <c r="H21" i="4" s="1"/>
  <c r="E21" i="4"/>
  <c r="P20" i="4"/>
  <c r="O20" i="4"/>
  <c r="N20" i="4"/>
  <c r="H20" i="4"/>
  <c r="F20" i="4"/>
  <c r="G20" i="4" s="1"/>
  <c r="E20" i="4"/>
  <c r="P19" i="4"/>
  <c r="O19" i="4"/>
  <c r="N19" i="4"/>
  <c r="F19" i="4"/>
  <c r="G19" i="4" s="1"/>
  <c r="H19" i="4" s="1"/>
  <c r="E19" i="4"/>
  <c r="I19" i="4" s="1"/>
  <c r="P18" i="4"/>
  <c r="O18" i="4"/>
  <c r="N18" i="4"/>
  <c r="H18" i="4"/>
  <c r="F18" i="4"/>
  <c r="G18" i="4" s="1"/>
  <c r="E18" i="4"/>
  <c r="P17" i="4"/>
  <c r="O17" i="4"/>
  <c r="N17" i="4"/>
  <c r="F17" i="4"/>
  <c r="G17" i="4" s="1"/>
  <c r="H17" i="4" s="1"/>
  <c r="E17" i="4"/>
  <c r="P16" i="4"/>
  <c r="O16" i="4"/>
  <c r="N16" i="4"/>
  <c r="H16" i="4"/>
  <c r="F16" i="4"/>
  <c r="G16" i="4" s="1"/>
  <c r="E16" i="4"/>
  <c r="P15" i="4"/>
  <c r="O15" i="4"/>
  <c r="N15" i="4"/>
  <c r="F15" i="4"/>
  <c r="G15" i="4" s="1"/>
  <c r="H15" i="4" s="1"/>
  <c r="E15" i="4"/>
  <c r="P14" i="4"/>
  <c r="O14" i="4"/>
  <c r="N14" i="4"/>
  <c r="H14" i="4"/>
  <c r="F14" i="4"/>
  <c r="G14" i="4" s="1"/>
  <c r="E14" i="4"/>
  <c r="P13" i="4"/>
  <c r="O13" i="4"/>
  <c r="N13" i="4"/>
  <c r="F13" i="4"/>
  <c r="G13" i="4" s="1"/>
  <c r="H13" i="4" s="1"/>
  <c r="E13" i="4"/>
  <c r="P12" i="4"/>
  <c r="O12" i="4"/>
  <c r="N12" i="4"/>
  <c r="H12" i="4"/>
  <c r="F12" i="4"/>
  <c r="G12" i="4" s="1"/>
  <c r="E12" i="4"/>
  <c r="P11" i="4"/>
  <c r="O11" i="4"/>
  <c r="N11" i="4"/>
  <c r="F11" i="4"/>
  <c r="G11" i="4" s="1"/>
  <c r="H11" i="4" s="1"/>
  <c r="E11" i="4"/>
  <c r="I11" i="4" s="1"/>
  <c r="P10" i="4"/>
  <c r="O10" i="4"/>
  <c r="N10" i="4"/>
  <c r="H10" i="4"/>
  <c r="F10" i="4"/>
  <c r="G10" i="4" s="1"/>
  <c r="E10" i="4"/>
  <c r="P9" i="4"/>
  <c r="O9" i="4"/>
  <c r="N9" i="4"/>
  <c r="F9" i="4"/>
  <c r="G9" i="4" s="1"/>
  <c r="H9" i="4" s="1"/>
  <c r="E9" i="4"/>
  <c r="P8" i="4"/>
  <c r="O8" i="4"/>
  <c r="N8" i="4"/>
  <c r="H8" i="4"/>
  <c r="F8" i="4"/>
  <c r="G8" i="4" s="1"/>
  <c r="E8" i="4"/>
  <c r="P7" i="4"/>
  <c r="O7" i="4"/>
  <c r="N7" i="4"/>
  <c r="F7" i="4"/>
  <c r="G7" i="4" s="1"/>
  <c r="H7" i="4" s="1"/>
  <c r="E7" i="4"/>
  <c r="I7" i="4" s="1"/>
  <c r="P6" i="4"/>
  <c r="O6" i="4"/>
  <c r="N6" i="4"/>
  <c r="H6" i="4"/>
  <c r="F6" i="4"/>
  <c r="G6" i="4" s="1"/>
  <c r="E6" i="4"/>
  <c r="P5" i="4"/>
  <c r="O5" i="4"/>
  <c r="N5" i="4"/>
  <c r="F5" i="4"/>
  <c r="G5" i="4" s="1"/>
  <c r="H5" i="4" s="1"/>
  <c r="E5" i="4"/>
  <c r="G475" i="3"/>
  <c r="F475" i="3"/>
  <c r="E475" i="3"/>
  <c r="D475" i="3"/>
  <c r="G474" i="3"/>
  <c r="F474" i="3"/>
  <c r="E474" i="3"/>
  <c r="D474" i="3"/>
  <c r="G473" i="3"/>
  <c r="F473" i="3"/>
  <c r="E473" i="3"/>
  <c r="D473" i="3"/>
  <c r="G472" i="3"/>
  <c r="F472" i="3"/>
  <c r="E472" i="3"/>
  <c r="D472" i="3"/>
  <c r="G471" i="3"/>
  <c r="F471" i="3"/>
  <c r="E471" i="3"/>
  <c r="D471" i="3"/>
  <c r="G470" i="3"/>
  <c r="F470" i="3"/>
  <c r="E470" i="3"/>
  <c r="D470" i="3"/>
  <c r="G469" i="3"/>
  <c r="F469" i="3"/>
  <c r="E469" i="3"/>
  <c r="D469" i="3"/>
  <c r="G468" i="3"/>
  <c r="F468" i="3"/>
  <c r="E468" i="3"/>
  <c r="D468" i="3"/>
  <c r="G467" i="3"/>
  <c r="F467" i="3"/>
  <c r="E467" i="3"/>
  <c r="D467" i="3"/>
  <c r="G466" i="3"/>
  <c r="F466" i="3"/>
  <c r="E466" i="3"/>
  <c r="D466" i="3"/>
  <c r="G465" i="3"/>
  <c r="F465" i="3"/>
  <c r="E465" i="3"/>
  <c r="D465" i="3"/>
  <c r="G464" i="3"/>
  <c r="F464" i="3"/>
  <c r="E464" i="3"/>
  <c r="D464" i="3"/>
  <c r="G463" i="3"/>
  <c r="F463" i="3"/>
  <c r="E463" i="3"/>
  <c r="D463" i="3"/>
  <c r="G462" i="3"/>
  <c r="F462" i="3"/>
  <c r="E462" i="3"/>
  <c r="D462" i="3"/>
  <c r="G461" i="3"/>
  <c r="F461" i="3"/>
  <c r="E461" i="3"/>
  <c r="D461" i="3"/>
  <c r="G460" i="3"/>
  <c r="F460" i="3"/>
  <c r="D460" i="3"/>
  <c r="E460" i="3" s="1"/>
  <c r="G459" i="3"/>
  <c r="F459" i="3"/>
  <c r="D459" i="3"/>
  <c r="E459" i="3" s="1"/>
  <c r="G458" i="3"/>
  <c r="F458" i="3"/>
  <c r="D458" i="3"/>
  <c r="E458" i="3" s="1"/>
  <c r="G457" i="3"/>
  <c r="F457" i="3"/>
  <c r="D457" i="3"/>
  <c r="E457" i="3" s="1"/>
  <c r="G456" i="3"/>
  <c r="F456" i="3"/>
  <c r="D456" i="3"/>
  <c r="E456" i="3" s="1"/>
  <c r="G455" i="3"/>
  <c r="F455" i="3"/>
  <c r="D455" i="3"/>
  <c r="E455" i="3" s="1"/>
  <c r="G454" i="3"/>
  <c r="F454" i="3"/>
  <c r="D454" i="3"/>
  <c r="E454" i="3" s="1"/>
  <c r="G453" i="3"/>
  <c r="F453" i="3"/>
  <c r="D453" i="3"/>
  <c r="E453" i="3" s="1"/>
  <c r="G452" i="3"/>
  <c r="F452" i="3"/>
  <c r="D452" i="3"/>
  <c r="E452" i="3" s="1"/>
  <c r="G451" i="3"/>
  <c r="F451" i="3"/>
  <c r="D451" i="3"/>
  <c r="E451" i="3" s="1"/>
  <c r="G450" i="3"/>
  <c r="F450" i="3"/>
  <c r="D450" i="3"/>
  <c r="E450" i="3" s="1"/>
  <c r="G449" i="3"/>
  <c r="F449" i="3"/>
  <c r="D449" i="3"/>
  <c r="E449" i="3" s="1"/>
  <c r="G448" i="3"/>
  <c r="F448" i="3"/>
  <c r="D448" i="3"/>
  <c r="E448" i="3" s="1"/>
  <c r="G447" i="3"/>
  <c r="F447" i="3"/>
  <c r="D447" i="3"/>
  <c r="E447" i="3" s="1"/>
  <c r="G446" i="3"/>
  <c r="F446" i="3"/>
  <c r="D446" i="3"/>
  <c r="E446" i="3" s="1"/>
  <c r="G445" i="3"/>
  <c r="F445" i="3"/>
  <c r="D445" i="3"/>
  <c r="E445" i="3" s="1"/>
  <c r="G444" i="3"/>
  <c r="F444" i="3"/>
  <c r="D444" i="3"/>
  <c r="E444" i="3" s="1"/>
  <c r="G443" i="3"/>
  <c r="F443" i="3"/>
  <c r="D443" i="3"/>
  <c r="E443" i="3" s="1"/>
  <c r="G442" i="3"/>
  <c r="F442" i="3"/>
  <c r="D442" i="3"/>
  <c r="E442" i="3" s="1"/>
  <c r="G441" i="3"/>
  <c r="F441" i="3"/>
  <c r="D441" i="3"/>
  <c r="E441" i="3" s="1"/>
  <c r="G440" i="3"/>
  <c r="F440" i="3"/>
  <c r="D440" i="3"/>
  <c r="E440" i="3" s="1"/>
  <c r="G439" i="3"/>
  <c r="F439" i="3"/>
  <c r="D439" i="3"/>
  <c r="E439" i="3" s="1"/>
  <c r="G438" i="3"/>
  <c r="F438" i="3"/>
  <c r="D438" i="3"/>
  <c r="E438" i="3" s="1"/>
  <c r="G437" i="3"/>
  <c r="F437" i="3"/>
  <c r="D437" i="3"/>
  <c r="E437" i="3" s="1"/>
  <c r="G436" i="3"/>
  <c r="F436" i="3"/>
  <c r="D436" i="3"/>
  <c r="E436" i="3" s="1"/>
  <c r="G435" i="3"/>
  <c r="F435" i="3"/>
  <c r="D435" i="3"/>
  <c r="E435" i="3" s="1"/>
  <c r="G434" i="3"/>
  <c r="F434" i="3"/>
  <c r="D434" i="3"/>
  <c r="E434" i="3" s="1"/>
  <c r="G433" i="3"/>
  <c r="F433" i="3"/>
  <c r="D433" i="3"/>
  <c r="E433" i="3" s="1"/>
  <c r="G432" i="3"/>
  <c r="F432" i="3"/>
  <c r="D432" i="3"/>
  <c r="E432" i="3" s="1"/>
  <c r="G431" i="3"/>
  <c r="F431" i="3"/>
  <c r="D431" i="3"/>
  <c r="E431" i="3" s="1"/>
  <c r="G430" i="3"/>
  <c r="F430" i="3"/>
  <c r="D430" i="3"/>
  <c r="E430" i="3" s="1"/>
  <c r="G429" i="3"/>
  <c r="F429" i="3"/>
  <c r="D429" i="3"/>
  <c r="E429" i="3" s="1"/>
  <c r="G428" i="3"/>
  <c r="F428" i="3"/>
  <c r="D428" i="3"/>
  <c r="E428" i="3" s="1"/>
  <c r="G427" i="3"/>
  <c r="F427" i="3"/>
  <c r="D427" i="3"/>
  <c r="E427" i="3" s="1"/>
  <c r="G426" i="3"/>
  <c r="F426" i="3"/>
  <c r="D426" i="3"/>
  <c r="E426" i="3" s="1"/>
  <c r="G425" i="3"/>
  <c r="F425" i="3"/>
  <c r="D425" i="3"/>
  <c r="E425" i="3" s="1"/>
  <c r="G424" i="3"/>
  <c r="F424" i="3"/>
  <c r="D424" i="3"/>
  <c r="E424" i="3" s="1"/>
  <c r="G423" i="3"/>
  <c r="F423" i="3"/>
  <c r="D423" i="3"/>
  <c r="E423" i="3" s="1"/>
  <c r="G422" i="3"/>
  <c r="F422" i="3"/>
  <c r="D422" i="3"/>
  <c r="E422" i="3" s="1"/>
  <c r="G421" i="3"/>
  <c r="F421" i="3"/>
  <c r="D421" i="3"/>
  <c r="E421" i="3" s="1"/>
  <c r="G420" i="3"/>
  <c r="F420" i="3"/>
  <c r="D420" i="3"/>
  <c r="E420" i="3" s="1"/>
  <c r="G419" i="3"/>
  <c r="F419" i="3"/>
  <c r="D419" i="3"/>
  <c r="E419" i="3" s="1"/>
  <c r="G418" i="3"/>
  <c r="F418" i="3"/>
  <c r="D418" i="3"/>
  <c r="E418" i="3" s="1"/>
  <c r="G417" i="3"/>
  <c r="F417" i="3"/>
  <c r="D417" i="3"/>
  <c r="E417" i="3" s="1"/>
  <c r="G416" i="3"/>
  <c r="F416" i="3"/>
  <c r="D416" i="3"/>
  <c r="E416" i="3" s="1"/>
  <c r="G415" i="3"/>
  <c r="F415" i="3"/>
  <c r="D415" i="3"/>
  <c r="E415" i="3" s="1"/>
  <c r="G414" i="3"/>
  <c r="F414" i="3"/>
  <c r="D414" i="3"/>
  <c r="E414" i="3" s="1"/>
  <c r="G413" i="3"/>
  <c r="F413" i="3"/>
  <c r="D413" i="3"/>
  <c r="E413" i="3" s="1"/>
  <c r="G412" i="3"/>
  <c r="F412" i="3"/>
  <c r="D412" i="3"/>
  <c r="E412" i="3" s="1"/>
  <c r="G411" i="3"/>
  <c r="F411" i="3"/>
  <c r="D411" i="3"/>
  <c r="E411" i="3" s="1"/>
  <c r="G410" i="3"/>
  <c r="F410" i="3"/>
  <c r="D410" i="3"/>
  <c r="E410" i="3" s="1"/>
  <c r="G409" i="3"/>
  <c r="F409" i="3"/>
  <c r="D409" i="3"/>
  <c r="E409" i="3" s="1"/>
  <c r="G408" i="3"/>
  <c r="F408" i="3"/>
  <c r="D408" i="3"/>
  <c r="E408" i="3" s="1"/>
  <c r="G407" i="3"/>
  <c r="F407" i="3"/>
  <c r="D407" i="3"/>
  <c r="E407" i="3" s="1"/>
  <c r="G406" i="3"/>
  <c r="F406" i="3"/>
  <c r="D406" i="3"/>
  <c r="E406" i="3" s="1"/>
  <c r="G405" i="3"/>
  <c r="F405" i="3"/>
  <c r="D405" i="3"/>
  <c r="E405" i="3" s="1"/>
  <c r="G404" i="3"/>
  <c r="F404" i="3"/>
  <c r="D404" i="3"/>
  <c r="E404" i="3" s="1"/>
  <c r="G403" i="3"/>
  <c r="F403" i="3"/>
  <c r="D403" i="3"/>
  <c r="E403" i="3" s="1"/>
  <c r="G402" i="3"/>
  <c r="F402" i="3"/>
  <c r="D402" i="3"/>
  <c r="E402" i="3" s="1"/>
  <c r="G401" i="3"/>
  <c r="F401" i="3"/>
  <c r="D401" i="3"/>
  <c r="E401" i="3" s="1"/>
  <c r="G400" i="3"/>
  <c r="F400" i="3"/>
  <c r="D400" i="3"/>
  <c r="E400" i="3" s="1"/>
  <c r="G399" i="3"/>
  <c r="F399" i="3"/>
  <c r="D399" i="3"/>
  <c r="E399" i="3" s="1"/>
  <c r="G398" i="3"/>
  <c r="F398" i="3"/>
  <c r="D398" i="3"/>
  <c r="E398" i="3" s="1"/>
  <c r="G397" i="3"/>
  <c r="F397" i="3"/>
  <c r="D397" i="3"/>
  <c r="E397" i="3" s="1"/>
  <c r="G396" i="3"/>
  <c r="F396" i="3"/>
  <c r="D396" i="3"/>
  <c r="E396" i="3" s="1"/>
  <c r="G395" i="3"/>
  <c r="F395" i="3"/>
  <c r="D395" i="3"/>
  <c r="E395" i="3" s="1"/>
  <c r="G394" i="3"/>
  <c r="F394" i="3"/>
  <c r="D394" i="3"/>
  <c r="E394" i="3" s="1"/>
  <c r="G393" i="3"/>
  <c r="F393" i="3"/>
  <c r="D393" i="3"/>
  <c r="E393" i="3" s="1"/>
  <c r="G392" i="3"/>
  <c r="F392" i="3"/>
  <c r="D392" i="3"/>
  <c r="E392" i="3" s="1"/>
  <c r="G391" i="3"/>
  <c r="F391" i="3"/>
  <c r="D391" i="3"/>
  <c r="E391" i="3" s="1"/>
  <c r="G390" i="3"/>
  <c r="F390" i="3"/>
  <c r="D390" i="3"/>
  <c r="E390" i="3" s="1"/>
  <c r="G389" i="3"/>
  <c r="F389" i="3"/>
  <c r="D389" i="3"/>
  <c r="E389" i="3" s="1"/>
  <c r="G388" i="3"/>
  <c r="F388" i="3"/>
  <c r="D388" i="3"/>
  <c r="E388" i="3" s="1"/>
  <c r="G387" i="3"/>
  <c r="F387" i="3"/>
  <c r="D387" i="3"/>
  <c r="E387" i="3" s="1"/>
  <c r="G386" i="3"/>
  <c r="F386" i="3"/>
  <c r="E386" i="3"/>
  <c r="D386" i="3"/>
  <c r="G385" i="3"/>
  <c r="F385" i="3"/>
  <c r="E385" i="3"/>
  <c r="D385" i="3"/>
  <c r="G384" i="3"/>
  <c r="F384" i="3"/>
  <c r="E384" i="3"/>
  <c r="D384" i="3"/>
  <c r="G383" i="3"/>
  <c r="F383" i="3"/>
  <c r="E383" i="3"/>
  <c r="D383" i="3"/>
  <c r="G382" i="3"/>
  <c r="F382" i="3"/>
  <c r="E382" i="3"/>
  <c r="D382" i="3"/>
  <c r="G381" i="3"/>
  <c r="F381" i="3"/>
  <c r="E381" i="3"/>
  <c r="D381" i="3"/>
  <c r="G380" i="3"/>
  <c r="F380" i="3"/>
  <c r="E380" i="3"/>
  <c r="D380" i="3"/>
  <c r="G379" i="3"/>
  <c r="F379" i="3"/>
  <c r="E379" i="3"/>
  <c r="D379" i="3"/>
  <c r="G378" i="3"/>
  <c r="F378" i="3"/>
  <c r="E378" i="3"/>
  <c r="D378" i="3"/>
  <c r="G377" i="3"/>
  <c r="F377" i="3"/>
  <c r="E377" i="3"/>
  <c r="D377" i="3"/>
  <c r="G376" i="3"/>
  <c r="F376" i="3"/>
  <c r="E376" i="3"/>
  <c r="D376" i="3"/>
  <c r="G375" i="3"/>
  <c r="F375" i="3"/>
  <c r="E375" i="3"/>
  <c r="D375" i="3"/>
  <c r="G374" i="3"/>
  <c r="F374" i="3"/>
  <c r="E374" i="3"/>
  <c r="D374" i="3"/>
  <c r="G373" i="3"/>
  <c r="F373" i="3"/>
  <c r="E373" i="3"/>
  <c r="D373" i="3"/>
  <c r="G372" i="3"/>
  <c r="F372" i="3"/>
  <c r="E372" i="3"/>
  <c r="D372" i="3"/>
  <c r="G371" i="3"/>
  <c r="F371" i="3"/>
  <c r="E371" i="3"/>
  <c r="D371" i="3"/>
  <c r="G370" i="3"/>
  <c r="F370" i="3"/>
  <c r="E370" i="3"/>
  <c r="D370" i="3"/>
  <c r="G369" i="3"/>
  <c r="F369" i="3"/>
  <c r="E369" i="3"/>
  <c r="D369" i="3"/>
  <c r="G368" i="3"/>
  <c r="F368" i="3"/>
  <c r="E368" i="3"/>
  <c r="D368" i="3"/>
  <c r="G367" i="3"/>
  <c r="F367" i="3"/>
  <c r="E367" i="3"/>
  <c r="D367" i="3"/>
  <c r="G366" i="3"/>
  <c r="F366" i="3"/>
  <c r="E366" i="3"/>
  <c r="D366" i="3"/>
  <c r="G365" i="3"/>
  <c r="F365" i="3"/>
  <c r="E365" i="3"/>
  <c r="D365" i="3"/>
  <c r="G364" i="3"/>
  <c r="F364" i="3"/>
  <c r="E364" i="3"/>
  <c r="D364" i="3"/>
  <c r="G363" i="3"/>
  <c r="F363" i="3"/>
  <c r="E363" i="3"/>
  <c r="D363" i="3"/>
  <c r="G362" i="3"/>
  <c r="F362" i="3"/>
  <c r="E362" i="3"/>
  <c r="D362" i="3"/>
  <c r="G361" i="3"/>
  <c r="F361" i="3"/>
  <c r="E361" i="3"/>
  <c r="D361" i="3"/>
  <c r="G360" i="3"/>
  <c r="F360" i="3"/>
  <c r="E360" i="3"/>
  <c r="D360" i="3"/>
  <c r="G359" i="3"/>
  <c r="F359" i="3"/>
  <c r="E359" i="3"/>
  <c r="D359" i="3"/>
  <c r="G358" i="3"/>
  <c r="F358" i="3"/>
  <c r="E358" i="3"/>
  <c r="D358" i="3"/>
  <c r="G357" i="3"/>
  <c r="F357" i="3"/>
  <c r="E357" i="3"/>
  <c r="D357" i="3"/>
  <c r="G356" i="3"/>
  <c r="F356" i="3"/>
  <c r="E356" i="3"/>
  <c r="D356" i="3"/>
  <c r="G355" i="3"/>
  <c r="F355" i="3"/>
  <c r="E355" i="3"/>
  <c r="D355" i="3"/>
  <c r="G354" i="3"/>
  <c r="F354" i="3"/>
  <c r="E354" i="3"/>
  <c r="D354" i="3"/>
  <c r="G353" i="3"/>
  <c r="F353" i="3"/>
  <c r="E353" i="3"/>
  <c r="D353" i="3"/>
  <c r="G352" i="3"/>
  <c r="F352" i="3"/>
  <c r="E352" i="3"/>
  <c r="D352" i="3"/>
  <c r="G351" i="3"/>
  <c r="F351" i="3"/>
  <c r="E351" i="3"/>
  <c r="D351" i="3"/>
  <c r="G350" i="3"/>
  <c r="F350" i="3"/>
  <c r="E350" i="3"/>
  <c r="D350" i="3"/>
  <c r="G349" i="3"/>
  <c r="F349" i="3"/>
  <c r="E349" i="3"/>
  <c r="D349" i="3"/>
  <c r="G348" i="3"/>
  <c r="F348" i="3"/>
  <c r="E348" i="3"/>
  <c r="D348" i="3"/>
  <c r="G347" i="3"/>
  <c r="F347" i="3"/>
  <c r="E347" i="3"/>
  <c r="D347" i="3"/>
  <c r="G346" i="3"/>
  <c r="F346" i="3"/>
  <c r="E346" i="3"/>
  <c r="D346" i="3"/>
  <c r="G345" i="3"/>
  <c r="F345" i="3"/>
  <c r="E345" i="3"/>
  <c r="D345" i="3"/>
  <c r="G344" i="3"/>
  <c r="F344" i="3"/>
  <c r="E344" i="3"/>
  <c r="D344" i="3"/>
  <c r="G343" i="3"/>
  <c r="F343" i="3"/>
  <c r="E343" i="3"/>
  <c r="D343" i="3"/>
  <c r="G342" i="3"/>
  <c r="F342" i="3"/>
  <c r="E342" i="3"/>
  <c r="D342" i="3"/>
  <c r="G341" i="3"/>
  <c r="F341" i="3"/>
  <c r="E341" i="3"/>
  <c r="D341" i="3"/>
  <c r="G340" i="3"/>
  <c r="F340" i="3"/>
  <c r="E340" i="3"/>
  <c r="D340" i="3"/>
  <c r="G339" i="3"/>
  <c r="F339" i="3"/>
  <c r="E339" i="3"/>
  <c r="D339" i="3"/>
  <c r="G338" i="3"/>
  <c r="F338" i="3"/>
  <c r="E338" i="3"/>
  <c r="D338" i="3"/>
  <c r="G337" i="3"/>
  <c r="F337" i="3"/>
  <c r="E337" i="3"/>
  <c r="D337" i="3"/>
  <c r="G336" i="3"/>
  <c r="F336" i="3"/>
  <c r="E336" i="3"/>
  <c r="D336" i="3"/>
  <c r="G335" i="3"/>
  <c r="F335" i="3"/>
  <c r="E335" i="3"/>
  <c r="D335" i="3"/>
  <c r="G334" i="3"/>
  <c r="F334" i="3"/>
  <c r="E334" i="3"/>
  <c r="D334" i="3"/>
  <c r="G333" i="3"/>
  <c r="F333" i="3"/>
  <c r="E333" i="3"/>
  <c r="D333" i="3"/>
  <c r="G332" i="3"/>
  <c r="F332" i="3"/>
  <c r="E332" i="3"/>
  <c r="D332" i="3"/>
  <c r="G331" i="3"/>
  <c r="F331" i="3"/>
  <c r="E331" i="3"/>
  <c r="D331" i="3"/>
  <c r="G330" i="3"/>
  <c r="F330" i="3"/>
  <c r="E330" i="3"/>
  <c r="D330" i="3"/>
  <c r="G329" i="3"/>
  <c r="F329" i="3"/>
  <c r="E329" i="3"/>
  <c r="D329" i="3"/>
  <c r="G328" i="3"/>
  <c r="F328" i="3"/>
  <c r="E328" i="3"/>
  <c r="D328" i="3"/>
  <c r="G327" i="3"/>
  <c r="F327" i="3"/>
  <c r="E327" i="3"/>
  <c r="D327" i="3"/>
  <c r="G326" i="3"/>
  <c r="F326" i="3"/>
  <c r="E326" i="3"/>
  <c r="D326" i="3"/>
  <c r="G325" i="3"/>
  <c r="F325" i="3"/>
  <c r="E325" i="3"/>
  <c r="D325" i="3"/>
  <c r="G324" i="3"/>
  <c r="F324" i="3"/>
  <c r="E324" i="3"/>
  <c r="D324" i="3"/>
  <c r="G323" i="3"/>
  <c r="F323" i="3"/>
  <c r="E323" i="3"/>
  <c r="D323" i="3"/>
  <c r="G322" i="3"/>
  <c r="F322" i="3"/>
  <c r="E322" i="3"/>
  <c r="D322" i="3"/>
  <c r="G321" i="3"/>
  <c r="F321" i="3"/>
  <c r="E321" i="3"/>
  <c r="D321" i="3"/>
  <c r="G320" i="3"/>
  <c r="F320" i="3"/>
  <c r="E320" i="3"/>
  <c r="D320" i="3"/>
  <c r="G319" i="3"/>
  <c r="F319" i="3"/>
  <c r="E319" i="3"/>
  <c r="D319" i="3"/>
  <c r="G318" i="3"/>
  <c r="F318" i="3"/>
  <c r="E318" i="3"/>
  <c r="D318" i="3"/>
  <c r="G317" i="3"/>
  <c r="F317" i="3"/>
  <c r="E317" i="3"/>
  <c r="D317" i="3"/>
  <c r="G316" i="3"/>
  <c r="F316" i="3"/>
  <c r="E316" i="3"/>
  <c r="D316" i="3"/>
  <c r="G315" i="3"/>
  <c r="F315" i="3"/>
  <c r="E315" i="3"/>
  <c r="D315" i="3"/>
  <c r="G314" i="3"/>
  <c r="F314" i="3"/>
  <c r="E314" i="3"/>
  <c r="D314" i="3"/>
  <c r="G313" i="3"/>
  <c r="F313" i="3"/>
  <c r="E313" i="3"/>
  <c r="D313" i="3"/>
  <c r="G312" i="3"/>
  <c r="F312" i="3"/>
  <c r="E312" i="3"/>
  <c r="D312" i="3"/>
  <c r="G311" i="3"/>
  <c r="F311" i="3"/>
  <c r="E311" i="3"/>
  <c r="D311" i="3"/>
  <c r="G310" i="3"/>
  <c r="F310" i="3"/>
  <c r="E310" i="3"/>
  <c r="D310" i="3"/>
  <c r="G309" i="3"/>
  <c r="F309" i="3"/>
  <c r="E309" i="3"/>
  <c r="D309" i="3"/>
  <c r="G308" i="3"/>
  <c r="F308" i="3"/>
  <c r="E308" i="3"/>
  <c r="D308" i="3"/>
  <c r="G307" i="3"/>
  <c r="F307" i="3"/>
  <c r="E307" i="3"/>
  <c r="D307" i="3"/>
  <c r="G306" i="3"/>
  <c r="F306" i="3"/>
  <c r="E306" i="3"/>
  <c r="D306" i="3"/>
  <c r="G305" i="3"/>
  <c r="F305" i="3"/>
  <c r="E305" i="3"/>
  <c r="D305" i="3"/>
  <c r="G304" i="3"/>
  <c r="F304" i="3"/>
  <c r="E304" i="3"/>
  <c r="D304" i="3"/>
  <c r="G303" i="3"/>
  <c r="F303" i="3"/>
  <c r="E303" i="3"/>
  <c r="D303" i="3"/>
  <c r="G302" i="3"/>
  <c r="F302" i="3"/>
  <c r="E302" i="3"/>
  <c r="D302" i="3"/>
  <c r="G301" i="3"/>
  <c r="F301" i="3"/>
  <c r="E301" i="3"/>
  <c r="D301" i="3"/>
  <c r="G300" i="3"/>
  <c r="F300" i="3"/>
  <c r="E300" i="3"/>
  <c r="D300" i="3"/>
  <c r="G299" i="3"/>
  <c r="F299" i="3"/>
  <c r="E299" i="3"/>
  <c r="D299" i="3"/>
  <c r="G298" i="3"/>
  <c r="F298" i="3"/>
  <c r="E298" i="3"/>
  <c r="D298" i="3"/>
  <c r="G297" i="3"/>
  <c r="F297" i="3"/>
  <c r="E297" i="3"/>
  <c r="D297" i="3"/>
  <c r="G296" i="3"/>
  <c r="F296" i="3"/>
  <c r="E296" i="3"/>
  <c r="D296" i="3"/>
  <c r="G295" i="3"/>
  <c r="F295" i="3"/>
  <c r="E295" i="3"/>
  <c r="D295" i="3"/>
  <c r="G294" i="3"/>
  <c r="F294" i="3"/>
  <c r="E294" i="3"/>
  <c r="D294" i="3"/>
  <c r="G293" i="3"/>
  <c r="F293" i="3"/>
  <c r="D293" i="3"/>
  <c r="E293" i="3" s="1"/>
  <c r="G292" i="3"/>
  <c r="F292" i="3"/>
  <c r="D292" i="3"/>
  <c r="E292" i="3" s="1"/>
  <c r="G291" i="3"/>
  <c r="F291" i="3"/>
  <c r="D291" i="3"/>
  <c r="E291" i="3" s="1"/>
  <c r="G290" i="3"/>
  <c r="F290" i="3"/>
  <c r="D290" i="3"/>
  <c r="E290" i="3" s="1"/>
  <c r="G289" i="3"/>
  <c r="F289" i="3"/>
  <c r="D289" i="3"/>
  <c r="E289" i="3" s="1"/>
  <c r="G288" i="3"/>
  <c r="F288" i="3"/>
  <c r="D288" i="3"/>
  <c r="E288" i="3" s="1"/>
  <c r="G287" i="3"/>
  <c r="F287" i="3"/>
  <c r="D287" i="3"/>
  <c r="E287" i="3" s="1"/>
  <c r="G286" i="3"/>
  <c r="F286" i="3"/>
  <c r="D286" i="3"/>
  <c r="E286" i="3" s="1"/>
  <c r="G285" i="3"/>
  <c r="F285" i="3"/>
  <c r="D285" i="3"/>
  <c r="E285" i="3" s="1"/>
  <c r="G284" i="3"/>
  <c r="F284" i="3"/>
  <c r="D284" i="3"/>
  <c r="E284" i="3" s="1"/>
  <c r="G283" i="3"/>
  <c r="F283" i="3"/>
  <c r="D283" i="3"/>
  <c r="E283" i="3" s="1"/>
  <c r="G282" i="3"/>
  <c r="F282" i="3"/>
  <c r="D282" i="3"/>
  <c r="E282" i="3" s="1"/>
  <c r="G281" i="3"/>
  <c r="F281" i="3"/>
  <c r="D281" i="3"/>
  <c r="E281" i="3" s="1"/>
  <c r="G280" i="3"/>
  <c r="F280" i="3"/>
  <c r="D280" i="3"/>
  <c r="E280" i="3" s="1"/>
  <c r="G279" i="3"/>
  <c r="F279" i="3"/>
  <c r="D279" i="3"/>
  <c r="E279" i="3" s="1"/>
  <c r="G278" i="3"/>
  <c r="F278" i="3"/>
  <c r="D278" i="3"/>
  <c r="E278" i="3" s="1"/>
  <c r="G277" i="3"/>
  <c r="F277" i="3"/>
  <c r="D277" i="3"/>
  <c r="E277" i="3" s="1"/>
  <c r="G276" i="3"/>
  <c r="F276" i="3"/>
  <c r="D276" i="3"/>
  <c r="E276" i="3" s="1"/>
  <c r="G275" i="3"/>
  <c r="F275" i="3"/>
  <c r="D275" i="3"/>
  <c r="E275" i="3" s="1"/>
  <c r="G274" i="3"/>
  <c r="F274" i="3"/>
  <c r="D274" i="3"/>
  <c r="E274" i="3" s="1"/>
  <c r="G273" i="3"/>
  <c r="F273" i="3"/>
  <c r="D273" i="3"/>
  <c r="E273" i="3" s="1"/>
  <c r="G272" i="3"/>
  <c r="F272" i="3"/>
  <c r="D272" i="3"/>
  <c r="E272" i="3" s="1"/>
  <c r="G271" i="3"/>
  <c r="F271" i="3"/>
  <c r="D271" i="3"/>
  <c r="E271" i="3" s="1"/>
  <c r="G270" i="3"/>
  <c r="F270" i="3"/>
  <c r="D270" i="3"/>
  <c r="E270" i="3" s="1"/>
  <c r="G269" i="3"/>
  <c r="F269" i="3"/>
  <c r="D269" i="3"/>
  <c r="E269" i="3" s="1"/>
  <c r="G268" i="3"/>
  <c r="F268" i="3"/>
  <c r="D268" i="3"/>
  <c r="E268" i="3" s="1"/>
  <c r="G267" i="3"/>
  <c r="F267" i="3"/>
  <c r="D267" i="3"/>
  <c r="E267" i="3" s="1"/>
  <c r="G266" i="3"/>
  <c r="F266" i="3"/>
  <c r="D266" i="3"/>
  <c r="E266" i="3" s="1"/>
  <c r="G265" i="3"/>
  <c r="F265" i="3"/>
  <c r="D265" i="3"/>
  <c r="E265" i="3" s="1"/>
  <c r="G264" i="3"/>
  <c r="F264" i="3"/>
  <c r="D264" i="3"/>
  <c r="E264" i="3" s="1"/>
  <c r="G263" i="3"/>
  <c r="F263" i="3"/>
  <c r="D263" i="3"/>
  <c r="E263" i="3" s="1"/>
  <c r="G262" i="3"/>
  <c r="F262" i="3"/>
  <c r="D262" i="3"/>
  <c r="E262" i="3" s="1"/>
  <c r="G261" i="3"/>
  <c r="F261" i="3"/>
  <c r="D261" i="3"/>
  <c r="E261" i="3" s="1"/>
  <c r="G260" i="3"/>
  <c r="F260" i="3"/>
  <c r="D260" i="3"/>
  <c r="E260" i="3" s="1"/>
  <c r="G259" i="3"/>
  <c r="F259" i="3"/>
  <c r="D259" i="3"/>
  <c r="E259" i="3" s="1"/>
  <c r="G258" i="3"/>
  <c r="F258" i="3"/>
  <c r="D258" i="3"/>
  <c r="E258" i="3" s="1"/>
  <c r="G257" i="3"/>
  <c r="F257" i="3"/>
  <c r="D257" i="3"/>
  <c r="E257" i="3" s="1"/>
  <c r="G256" i="3"/>
  <c r="F256" i="3"/>
  <c r="D256" i="3"/>
  <c r="E256" i="3" s="1"/>
  <c r="G255" i="3"/>
  <c r="F255" i="3"/>
  <c r="D255" i="3"/>
  <c r="E255" i="3" s="1"/>
  <c r="G254" i="3"/>
  <c r="F254" i="3"/>
  <c r="D254" i="3"/>
  <c r="E254" i="3" s="1"/>
  <c r="G253" i="3"/>
  <c r="F253" i="3"/>
  <c r="D253" i="3"/>
  <c r="E253" i="3" s="1"/>
  <c r="G252" i="3"/>
  <c r="F252" i="3"/>
  <c r="D252" i="3"/>
  <c r="E252" i="3" s="1"/>
  <c r="G251" i="3"/>
  <c r="F251" i="3"/>
  <c r="D251" i="3"/>
  <c r="E251" i="3" s="1"/>
  <c r="G250" i="3"/>
  <c r="F250" i="3"/>
  <c r="D250" i="3"/>
  <c r="E250" i="3" s="1"/>
  <c r="G249" i="3"/>
  <c r="F249" i="3"/>
  <c r="D249" i="3"/>
  <c r="E249" i="3" s="1"/>
  <c r="G248" i="3"/>
  <c r="F248" i="3"/>
  <c r="D248" i="3"/>
  <c r="E248" i="3" s="1"/>
  <c r="G247" i="3"/>
  <c r="F247" i="3"/>
  <c r="D247" i="3"/>
  <c r="E247" i="3" s="1"/>
  <c r="G246" i="3"/>
  <c r="F246" i="3"/>
  <c r="D246" i="3"/>
  <c r="E246" i="3" s="1"/>
  <c r="G245" i="3"/>
  <c r="F245" i="3"/>
  <c r="D245" i="3"/>
  <c r="E245" i="3" s="1"/>
  <c r="G244" i="3"/>
  <c r="F244" i="3"/>
  <c r="D244" i="3"/>
  <c r="E244" i="3" s="1"/>
  <c r="G243" i="3"/>
  <c r="F243" i="3"/>
  <c r="D243" i="3"/>
  <c r="E243" i="3" s="1"/>
  <c r="G242" i="3"/>
  <c r="F242" i="3"/>
  <c r="D242" i="3"/>
  <c r="E242" i="3" s="1"/>
  <c r="G241" i="3"/>
  <c r="F241" i="3"/>
  <c r="D241" i="3"/>
  <c r="E241" i="3" s="1"/>
  <c r="G240" i="3"/>
  <c r="F240" i="3"/>
  <c r="D240" i="3"/>
  <c r="E240" i="3" s="1"/>
  <c r="G239" i="3"/>
  <c r="F239" i="3"/>
  <c r="D239" i="3"/>
  <c r="E239" i="3" s="1"/>
  <c r="G238" i="3"/>
  <c r="F238" i="3"/>
  <c r="D238" i="3"/>
  <c r="E238" i="3" s="1"/>
  <c r="G237" i="3"/>
  <c r="F237" i="3"/>
  <c r="D237" i="3"/>
  <c r="E237" i="3" s="1"/>
  <c r="G236" i="3"/>
  <c r="F236" i="3"/>
  <c r="D236" i="3"/>
  <c r="E236" i="3" s="1"/>
  <c r="G235" i="3"/>
  <c r="F235" i="3"/>
  <c r="D235" i="3"/>
  <c r="E235" i="3" s="1"/>
  <c r="G234" i="3"/>
  <c r="F234" i="3"/>
  <c r="D234" i="3"/>
  <c r="E234" i="3" s="1"/>
  <c r="G233" i="3"/>
  <c r="F233" i="3"/>
  <c r="D233" i="3"/>
  <c r="E233" i="3" s="1"/>
  <c r="G232" i="3"/>
  <c r="F232" i="3"/>
  <c r="D232" i="3"/>
  <c r="E232" i="3" s="1"/>
  <c r="G231" i="3"/>
  <c r="F231" i="3"/>
  <c r="D231" i="3"/>
  <c r="E231" i="3" s="1"/>
  <c r="G230" i="3"/>
  <c r="F230" i="3"/>
  <c r="D230" i="3"/>
  <c r="E230" i="3" s="1"/>
  <c r="G229" i="3"/>
  <c r="F229" i="3"/>
  <c r="D229" i="3"/>
  <c r="E229" i="3" s="1"/>
  <c r="G228" i="3"/>
  <c r="F228" i="3"/>
  <c r="D228" i="3"/>
  <c r="E228" i="3" s="1"/>
  <c r="G227" i="3"/>
  <c r="F227" i="3"/>
  <c r="D227" i="3"/>
  <c r="E227" i="3" s="1"/>
  <c r="G226" i="3"/>
  <c r="F226" i="3"/>
  <c r="D226" i="3"/>
  <c r="E226" i="3" s="1"/>
  <c r="G225" i="3"/>
  <c r="F225" i="3"/>
  <c r="D225" i="3"/>
  <c r="E225" i="3" s="1"/>
  <c r="G224" i="3"/>
  <c r="F224" i="3"/>
  <c r="D224" i="3"/>
  <c r="E224" i="3" s="1"/>
  <c r="G223" i="3"/>
  <c r="F223" i="3"/>
  <c r="D223" i="3"/>
  <c r="E223" i="3" s="1"/>
  <c r="G222" i="3"/>
  <c r="F222" i="3"/>
  <c r="D222" i="3"/>
  <c r="E222" i="3" s="1"/>
  <c r="G221" i="3"/>
  <c r="F221" i="3"/>
  <c r="D221" i="3"/>
  <c r="E221" i="3" s="1"/>
  <c r="G220" i="3"/>
  <c r="F220" i="3"/>
  <c r="D220" i="3"/>
  <c r="E220" i="3" s="1"/>
  <c r="G219" i="3"/>
  <c r="F219" i="3"/>
  <c r="D219" i="3"/>
  <c r="E219" i="3" s="1"/>
  <c r="G218" i="3"/>
  <c r="F218" i="3"/>
  <c r="D218" i="3"/>
  <c r="E218" i="3" s="1"/>
  <c r="G217" i="3"/>
  <c r="F217" i="3"/>
  <c r="D217" i="3"/>
  <c r="E217" i="3" s="1"/>
  <c r="G216" i="3"/>
  <c r="F216" i="3"/>
  <c r="D216" i="3"/>
  <c r="E216" i="3" s="1"/>
  <c r="G215" i="3"/>
  <c r="F215" i="3"/>
  <c r="D215" i="3"/>
  <c r="E215" i="3" s="1"/>
  <c r="G214" i="3"/>
  <c r="F214" i="3"/>
  <c r="D214" i="3"/>
  <c r="E214" i="3" s="1"/>
  <c r="G213" i="3"/>
  <c r="F213" i="3"/>
  <c r="D213" i="3"/>
  <c r="E213" i="3" s="1"/>
  <c r="G212" i="3"/>
  <c r="F212" i="3"/>
  <c r="D212" i="3"/>
  <c r="E212" i="3" s="1"/>
  <c r="G211" i="3"/>
  <c r="F211" i="3"/>
  <c r="D211" i="3"/>
  <c r="E211" i="3" s="1"/>
  <c r="G210" i="3"/>
  <c r="F210" i="3"/>
  <c r="D210" i="3"/>
  <c r="E210" i="3" s="1"/>
  <c r="G209" i="3"/>
  <c r="F209" i="3"/>
  <c r="E209" i="3"/>
  <c r="D209" i="3"/>
  <c r="G208" i="3"/>
  <c r="F208" i="3"/>
  <c r="E208" i="3"/>
  <c r="D208" i="3"/>
  <c r="G207" i="3"/>
  <c r="F207" i="3"/>
  <c r="E207" i="3"/>
  <c r="D207" i="3"/>
  <c r="G206" i="3"/>
  <c r="F206" i="3"/>
  <c r="E206" i="3"/>
  <c r="D206" i="3"/>
  <c r="G205" i="3"/>
  <c r="F205" i="3"/>
  <c r="E205" i="3"/>
  <c r="D205" i="3"/>
  <c r="G204" i="3"/>
  <c r="F204" i="3"/>
  <c r="E204" i="3"/>
  <c r="D204" i="3"/>
  <c r="G203" i="3"/>
  <c r="F203" i="3"/>
  <c r="E203" i="3"/>
  <c r="D203" i="3"/>
  <c r="G202" i="3"/>
  <c r="F202" i="3"/>
  <c r="E202" i="3"/>
  <c r="D202" i="3"/>
  <c r="G201" i="3"/>
  <c r="F201" i="3"/>
  <c r="E201" i="3"/>
  <c r="D201" i="3"/>
  <c r="G200" i="3"/>
  <c r="F200" i="3"/>
  <c r="E200" i="3"/>
  <c r="D200" i="3"/>
  <c r="G199" i="3"/>
  <c r="F199" i="3"/>
  <c r="D199" i="3"/>
  <c r="E199" i="3" s="1"/>
  <c r="G198" i="3"/>
  <c r="F198" i="3"/>
  <c r="D198" i="3"/>
  <c r="E198" i="3" s="1"/>
  <c r="G197" i="3"/>
  <c r="F197" i="3"/>
  <c r="D197" i="3"/>
  <c r="E197" i="3" s="1"/>
  <c r="G196" i="3"/>
  <c r="F196" i="3"/>
  <c r="D196" i="3"/>
  <c r="E196" i="3" s="1"/>
  <c r="G195" i="3"/>
  <c r="F195" i="3"/>
  <c r="D195" i="3"/>
  <c r="E195" i="3" s="1"/>
  <c r="G194" i="3"/>
  <c r="F194" i="3"/>
  <c r="D194" i="3"/>
  <c r="E194" i="3" s="1"/>
  <c r="G193" i="3"/>
  <c r="F193" i="3"/>
  <c r="D193" i="3"/>
  <c r="E193" i="3" s="1"/>
  <c r="G192" i="3"/>
  <c r="F192" i="3"/>
  <c r="D192" i="3"/>
  <c r="E192" i="3" s="1"/>
  <c r="G191" i="3"/>
  <c r="F191" i="3"/>
  <c r="D191" i="3"/>
  <c r="E191" i="3" s="1"/>
  <c r="G190" i="3"/>
  <c r="F190" i="3"/>
  <c r="D190" i="3"/>
  <c r="E190" i="3" s="1"/>
  <c r="G189" i="3"/>
  <c r="F189" i="3"/>
  <c r="D189" i="3"/>
  <c r="E189" i="3" s="1"/>
  <c r="G188" i="3"/>
  <c r="F188" i="3"/>
  <c r="D188" i="3"/>
  <c r="E188" i="3" s="1"/>
  <c r="G187" i="3"/>
  <c r="F187" i="3"/>
  <c r="D187" i="3"/>
  <c r="E187" i="3" s="1"/>
  <c r="G186" i="3"/>
  <c r="F186" i="3"/>
  <c r="D186" i="3"/>
  <c r="E186" i="3" s="1"/>
  <c r="G185" i="3"/>
  <c r="F185" i="3"/>
  <c r="D185" i="3"/>
  <c r="E185" i="3" s="1"/>
  <c r="G184" i="3"/>
  <c r="F184" i="3"/>
  <c r="D184" i="3"/>
  <c r="E184" i="3" s="1"/>
  <c r="G183" i="3"/>
  <c r="F183" i="3"/>
  <c r="D183" i="3"/>
  <c r="E183" i="3" s="1"/>
  <c r="G182" i="3"/>
  <c r="F182" i="3"/>
  <c r="D182" i="3"/>
  <c r="E182" i="3" s="1"/>
  <c r="G181" i="3"/>
  <c r="F181" i="3"/>
  <c r="D181" i="3"/>
  <c r="E181" i="3" s="1"/>
  <c r="G180" i="3"/>
  <c r="F180" i="3"/>
  <c r="D180" i="3"/>
  <c r="E180" i="3" s="1"/>
  <c r="G179" i="3"/>
  <c r="F179" i="3"/>
  <c r="D179" i="3"/>
  <c r="E179" i="3" s="1"/>
  <c r="G178" i="3"/>
  <c r="F178" i="3"/>
  <c r="D178" i="3"/>
  <c r="E178" i="3" s="1"/>
  <c r="G177" i="3"/>
  <c r="F177" i="3"/>
  <c r="D177" i="3"/>
  <c r="E177" i="3" s="1"/>
  <c r="G176" i="3"/>
  <c r="F176" i="3"/>
  <c r="D176" i="3"/>
  <c r="E176" i="3" s="1"/>
  <c r="G175" i="3"/>
  <c r="F175" i="3"/>
  <c r="D175" i="3"/>
  <c r="E175" i="3" s="1"/>
  <c r="G174" i="3"/>
  <c r="F174" i="3"/>
  <c r="D174" i="3"/>
  <c r="E174" i="3" s="1"/>
  <c r="G173" i="3"/>
  <c r="F173" i="3"/>
  <c r="D173" i="3"/>
  <c r="E173" i="3" s="1"/>
  <c r="G172" i="3"/>
  <c r="F172" i="3"/>
  <c r="D172" i="3"/>
  <c r="E172" i="3" s="1"/>
  <c r="G171" i="3"/>
  <c r="F171" i="3"/>
  <c r="D171" i="3"/>
  <c r="E171" i="3" s="1"/>
  <c r="G170" i="3"/>
  <c r="F170" i="3"/>
  <c r="D170" i="3"/>
  <c r="E170" i="3" s="1"/>
  <c r="G169" i="3"/>
  <c r="F169" i="3"/>
  <c r="D169" i="3"/>
  <c r="E169" i="3" s="1"/>
  <c r="G168" i="3"/>
  <c r="F168" i="3"/>
  <c r="D168" i="3"/>
  <c r="E168" i="3" s="1"/>
  <c r="G167" i="3"/>
  <c r="F167" i="3"/>
  <c r="D167" i="3"/>
  <c r="E167" i="3" s="1"/>
  <c r="G166" i="3"/>
  <c r="F166" i="3"/>
  <c r="D166" i="3"/>
  <c r="E166" i="3" s="1"/>
  <c r="G165" i="3"/>
  <c r="F165" i="3"/>
  <c r="D165" i="3"/>
  <c r="E165" i="3" s="1"/>
  <c r="G164" i="3"/>
  <c r="F164" i="3"/>
  <c r="D164" i="3"/>
  <c r="E164" i="3" s="1"/>
  <c r="G163" i="3"/>
  <c r="F163" i="3"/>
  <c r="D163" i="3"/>
  <c r="E163" i="3" s="1"/>
  <c r="G162" i="3"/>
  <c r="F162" i="3"/>
  <c r="D162" i="3"/>
  <c r="E162" i="3" s="1"/>
  <c r="G161" i="3"/>
  <c r="F161" i="3"/>
  <c r="D161" i="3"/>
  <c r="E161" i="3" s="1"/>
  <c r="G160" i="3"/>
  <c r="F160" i="3"/>
  <c r="D160" i="3"/>
  <c r="E160" i="3" s="1"/>
  <c r="G159" i="3"/>
  <c r="F159" i="3"/>
  <c r="D159" i="3"/>
  <c r="E159" i="3" s="1"/>
  <c r="G158" i="3"/>
  <c r="F158" i="3"/>
  <c r="D158" i="3"/>
  <c r="E158" i="3" s="1"/>
  <c r="G157" i="3"/>
  <c r="F157" i="3"/>
  <c r="D157" i="3"/>
  <c r="E157" i="3" s="1"/>
  <c r="G156" i="3"/>
  <c r="F156" i="3"/>
  <c r="D156" i="3"/>
  <c r="E156" i="3" s="1"/>
  <c r="G155" i="3"/>
  <c r="F155" i="3"/>
  <c r="D155" i="3"/>
  <c r="E155" i="3" s="1"/>
  <c r="G154" i="3"/>
  <c r="F154" i="3"/>
  <c r="D154" i="3"/>
  <c r="E154" i="3" s="1"/>
  <c r="G153" i="3"/>
  <c r="F153" i="3"/>
  <c r="D153" i="3"/>
  <c r="E153" i="3" s="1"/>
  <c r="G152" i="3"/>
  <c r="F152" i="3"/>
  <c r="D152" i="3"/>
  <c r="E152" i="3" s="1"/>
  <c r="G151" i="3"/>
  <c r="F151" i="3"/>
  <c r="D151" i="3"/>
  <c r="E151" i="3" s="1"/>
  <c r="G150" i="3"/>
  <c r="F150" i="3"/>
  <c r="D150" i="3"/>
  <c r="E150" i="3" s="1"/>
  <c r="G149" i="3"/>
  <c r="F149" i="3"/>
  <c r="D149" i="3"/>
  <c r="E149" i="3" s="1"/>
  <c r="G148" i="3"/>
  <c r="F148" i="3"/>
  <c r="D148" i="3"/>
  <c r="E148" i="3" s="1"/>
  <c r="G147" i="3"/>
  <c r="F147" i="3"/>
  <c r="D147" i="3"/>
  <c r="E147" i="3" s="1"/>
  <c r="G146" i="3"/>
  <c r="F146" i="3"/>
  <c r="D146" i="3"/>
  <c r="E146" i="3" s="1"/>
  <c r="G145" i="3"/>
  <c r="F145" i="3"/>
  <c r="D145" i="3"/>
  <c r="E145" i="3" s="1"/>
  <c r="G144" i="3"/>
  <c r="F144" i="3"/>
  <c r="D144" i="3"/>
  <c r="E144" i="3" s="1"/>
  <c r="G143" i="3"/>
  <c r="F143" i="3"/>
  <c r="D143" i="3"/>
  <c r="E143" i="3" s="1"/>
  <c r="G142" i="3"/>
  <c r="F142" i="3"/>
  <c r="D142" i="3"/>
  <c r="E142" i="3" s="1"/>
  <c r="G141" i="3"/>
  <c r="F141" i="3"/>
  <c r="D141" i="3"/>
  <c r="E141" i="3" s="1"/>
  <c r="G140" i="3"/>
  <c r="F140" i="3"/>
  <c r="D140" i="3"/>
  <c r="E140" i="3" s="1"/>
  <c r="G139" i="3"/>
  <c r="F139" i="3"/>
  <c r="D139" i="3"/>
  <c r="E139" i="3" s="1"/>
  <c r="G138" i="3"/>
  <c r="F138" i="3"/>
  <c r="D138" i="3"/>
  <c r="E138" i="3" s="1"/>
  <c r="G137" i="3"/>
  <c r="F137" i="3"/>
  <c r="D137" i="3"/>
  <c r="E137" i="3" s="1"/>
  <c r="G136" i="3"/>
  <c r="F136" i="3"/>
  <c r="D136" i="3"/>
  <c r="E136" i="3" s="1"/>
  <c r="G135" i="3"/>
  <c r="F135" i="3"/>
  <c r="D135" i="3"/>
  <c r="E135" i="3" s="1"/>
  <c r="G134" i="3"/>
  <c r="F134" i="3"/>
  <c r="D134" i="3"/>
  <c r="E134" i="3" s="1"/>
  <c r="G133" i="3"/>
  <c r="F133" i="3"/>
  <c r="D133" i="3"/>
  <c r="E133" i="3" s="1"/>
  <c r="G132" i="3"/>
  <c r="F132" i="3"/>
  <c r="D132" i="3"/>
  <c r="E132" i="3" s="1"/>
  <c r="G131" i="3"/>
  <c r="F131" i="3"/>
  <c r="D131" i="3"/>
  <c r="E131" i="3" s="1"/>
  <c r="G130" i="3"/>
  <c r="F130" i="3"/>
  <c r="D130" i="3"/>
  <c r="E130" i="3" s="1"/>
  <c r="G129" i="3"/>
  <c r="F129" i="3"/>
  <c r="D129" i="3"/>
  <c r="E129" i="3" s="1"/>
  <c r="G128" i="3"/>
  <c r="F128" i="3"/>
  <c r="D128" i="3"/>
  <c r="E128" i="3" s="1"/>
  <c r="G127" i="3"/>
  <c r="F127" i="3"/>
  <c r="D127" i="3"/>
  <c r="E127" i="3" s="1"/>
  <c r="G126" i="3"/>
  <c r="F126" i="3"/>
  <c r="D126" i="3"/>
  <c r="E126" i="3" s="1"/>
  <c r="G125" i="3"/>
  <c r="F125" i="3"/>
  <c r="D125" i="3"/>
  <c r="E125" i="3" s="1"/>
  <c r="G124" i="3"/>
  <c r="F124" i="3"/>
  <c r="D124" i="3"/>
  <c r="E124" i="3" s="1"/>
  <c r="G123" i="3"/>
  <c r="F123" i="3"/>
  <c r="D123" i="3"/>
  <c r="E123" i="3" s="1"/>
  <c r="G122" i="3"/>
  <c r="F122" i="3"/>
  <c r="D122" i="3"/>
  <c r="E122" i="3" s="1"/>
  <c r="G121" i="3"/>
  <c r="F121" i="3"/>
  <c r="D121" i="3"/>
  <c r="E121" i="3" s="1"/>
  <c r="G120" i="3"/>
  <c r="F120" i="3"/>
  <c r="D120" i="3"/>
  <c r="E120" i="3" s="1"/>
  <c r="G119" i="3"/>
  <c r="F119" i="3"/>
  <c r="D119" i="3"/>
  <c r="E119" i="3" s="1"/>
  <c r="G118" i="3"/>
  <c r="F118" i="3"/>
  <c r="D118" i="3"/>
  <c r="E118" i="3" s="1"/>
  <c r="G117" i="3"/>
  <c r="F117" i="3"/>
  <c r="D117" i="3"/>
  <c r="E117" i="3" s="1"/>
  <c r="G116" i="3"/>
  <c r="F116" i="3"/>
  <c r="D116" i="3"/>
  <c r="E116" i="3" s="1"/>
  <c r="G115" i="3"/>
  <c r="F115" i="3"/>
  <c r="D115" i="3"/>
  <c r="E115" i="3" s="1"/>
  <c r="G114" i="3"/>
  <c r="F114" i="3"/>
  <c r="D114" i="3"/>
  <c r="E114" i="3" s="1"/>
  <c r="G113" i="3"/>
  <c r="F113" i="3"/>
  <c r="D113" i="3"/>
  <c r="E113" i="3" s="1"/>
  <c r="G112" i="3"/>
  <c r="F112" i="3"/>
  <c r="D112" i="3"/>
  <c r="E112" i="3" s="1"/>
  <c r="G111" i="3"/>
  <c r="F111" i="3"/>
  <c r="D111" i="3"/>
  <c r="E111" i="3" s="1"/>
  <c r="G110" i="3"/>
  <c r="F110" i="3"/>
  <c r="D110" i="3"/>
  <c r="E110" i="3" s="1"/>
  <c r="G109" i="3"/>
  <c r="F109" i="3"/>
  <c r="D109" i="3"/>
  <c r="E109" i="3" s="1"/>
  <c r="G108" i="3"/>
  <c r="F108" i="3"/>
  <c r="D108" i="3"/>
  <c r="E108" i="3" s="1"/>
  <c r="G107" i="3"/>
  <c r="F107" i="3"/>
  <c r="D107" i="3"/>
  <c r="E107" i="3" s="1"/>
  <c r="G106" i="3"/>
  <c r="F106" i="3"/>
  <c r="D106" i="3"/>
  <c r="E106" i="3" s="1"/>
  <c r="G105" i="3"/>
  <c r="F105" i="3"/>
  <c r="D105" i="3"/>
  <c r="E105" i="3" s="1"/>
  <c r="G104" i="3"/>
  <c r="F104" i="3"/>
  <c r="D104" i="3"/>
  <c r="E104" i="3" s="1"/>
  <c r="G103" i="3"/>
  <c r="F103" i="3"/>
  <c r="D103" i="3"/>
  <c r="E103" i="3" s="1"/>
  <c r="G102" i="3"/>
  <c r="F102" i="3"/>
  <c r="D102" i="3"/>
  <c r="E102" i="3" s="1"/>
  <c r="G101" i="3"/>
  <c r="F101" i="3"/>
  <c r="D101" i="3"/>
  <c r="E101" i="3" s="1"/>
  <c r="G100" i="3"/>
  <c r="F100" i="3"/>
  <c r="D100" i="3"/>
  <c r="E100" i="3" s="1"/>
  <c r="G99" i="3"/>
  <c r="F99" i="3"/>
  <c r="D99" i="3"/>
  <c r="E99" i="3" s="1"/>
  <c r="G98" i="3"/>
  <c r="F98" i="3"/>
  <c r="D98" i="3"/>
  <c r="E98" i="3" s="1"/>
  <c r="G97" i="3"/>
  <c r="F97" i="3"/>
  <c r="D97" i="3"/>
  <c r="E97" i="3" s="1"/>
  <c r="G96" i="3"/>
  <c r="F96" i="3"/>
  <c r="D96" i="3"/>
  <c r="E96" i="3" s="1"/>
  <c r="G95" i="3"/>
  <c r="F95" i="3"/>
  <c r="D95" i="3"/>
  <c r="E95" i="3" s="1"/>
  <c r="G94" i="3"/>
  <c r="F94" i="3"/>
  <c r="D94" i="3"/>
  <c r="E94" i="3" s="1"/>
  <c r="G93" i="3"/>
  <c r="F93" i="3"/>
  <c r="D93" i="3"/>
  <c r="E93" i="3" s="1"/>
  <c r="G92" i="3"/>
  <c r="F92" i="3"/>
  <c r="D92" i="3"/>
  <c r="E92" i="3" s="1"/>
  <c r="G91" i="3"/>
  <c r="F91" i="3"/>
  <c r="D91" i="3"/>
  <c r="E91" i="3" s="1"/>
  <c r="G90" i="3"/>
  <c r="F90" i="3"/>
  <c r="D90" i="3"/>
  <c r="E90" i="3" s="1"/>
  <c r="G89" i="3"/>
  <c r="F89" i="3"/>
  <c r="D89" i="3"/>
  <c r="E89" i="3" s="1"/>
  <c r="G88" i="3"/>
  <c r="F88" i="3"/>
  <c r="D88" i="3"/>
  <c r="E88" i="3" s="1"/>
  <c r="G87" i="3"/>
  <c r="F87" i="3"/>
  <c r="D87" i="3"/>
  <c r="E87" i="3" s="1"/>
  <c r="G86" i="3"/>
  <c r="F86" i="3"/>
  <c r="D86" i="3"/>
  <c r="E86" i="3" s="1"/>
  <c r="G85" i="3"/>
  <c r="F85" i="3"/>
  <c r="D85" i="3"/>
  <c r="E85" i="3" s="1"/>
  <c r="G84" i="3"/>
  <c r="F84" i="3"/>
  <c r="D84" i="3"/>
  <c r="E84" i="3" s="1"/>
  <c r="G83" i="3"/>
  <c r="F83" i="3"/>
  <c r="D83" i="3"/>
  <c r="E83" i="3" s="1"/>
  <c r="G82" i="3"/>
  <c r="F82" i="3"/>
  <c r="D82" i="3"/>
  <c r="E82" i="3" s="1"/>
  <c r="G81" i="3"/>
  <c r="F81" i="3"/>
  <c r="D81" i="3"/>
  <c r="E81" i="3" s="1"/>
  <c r="G80" i="3"/>
  <c r="F80" i="3"/>
  <c r="D80" i="3"/>
  <c r="E80" i="3" s="1"/>
  <c r="G79" i="3"/>
  <c r="F79" i="3"/>
  <c r="D79" i="3"/>
  <c r="E79" i="3" s="1"/>
  <c r="G78" i="3"/>
  <c r="F78" i="3"/>
  <c r="D78" i="3"/>
  <c r="E78" i="3" s="1"/>
  <c r="G77" i="3"/>
  <c r="F77" i="3"/>
  <c r="D77" i="3"/>
  <c r="E77" i="3" s="1"/>
  <c r="G76" i="3"/>
  <c r="F76" i="3"/>
  <c r="D76" i="3"/>
  <c r="E76" i="3" s="1"/>
  <c r="G75" i="3"/>
  <c r="F75" i="3"/>
  <c r="D75" i="3"/>
  <c r="E75" i="3" s="1"/>
  <c r="G74" i="3"/>
  <c r="F74" i="3"/>
  <c r="D74" i="3"/>
  <c r="E74" i="3" s="1"/>
  <c r="G73" i="3"/>
  <c r="F73" i="3"/>
  <c r="D73" i="3"/>
  <c r="E73" i="3" s="1"/>
  <c r="G72" i="3"/>
  <c r="F72" i="3"/>
  <c r="D72" i="3"/>
  <c r="E72" i="3" s="1"/>
  <c r="G71" i="3"/>
  <c r="F71" i="3"/>
  <c r="D71" i="3"/>
  <c r="E71" i="3" s="1"/>
  <c r="G70" i="3"/>
  <c r="F70" i="3"/>
  <c r="D70" i="3"/>
  <c r="E70" i="3" s="1"/>
  <c r="G69" i="3"/>
  <c r="F69" i="3"/>
  <c r="D69" i="3"/>
  <c r="E69" i="3" s="1"/>
  <c r="G68" i="3"/>
  <c r="F68" i="3"/>
  <c r="D68" i="3"/>
  <c r="E68" i="3" s="1"/>
  <c r="G67" i="3"/>
  <c r="F67" i="3"/>
  <c r="D67" i="3"/>
  <c r="E67" i="3" s="1"/>
  <c r="G66" i="3"/>
  <c r="F66" i="3"/>
  <c r="D66" i="3"/>
  <c r="E66" i="3" s="1"/>
  <c r="G65" i="3"/>
  <c r="F65" i="3"/>
  <c r="D65" i="3"/>
  <c r="E65" i="3" s="1"/>
  <c r="G64" i="3"/>
  <c r="F64" i="3"/>
  <c r="D64" i="3"/>
  <c r="E64" i="3" s="1"/>
  <c r="G63" i="3"/>
  <c r="F63" i="3"/>
  <c r="D63" i="3"/>
  <c r="E63" i="3" s="1"/>
  <c r="G62" i="3"/>
  <c r="F62" i="3"/>
  <c r="D62" i="3"/>
  <c r="E62" i="3" s="1"/>
  <c r="G61" i="3"/>
  <c r="F61" i="3"/>
  <c r="D61" i="3"/>
  <c r="E61" i="3" s="1"/>
  <c r="G60" i="3"/>
  <c r="F60" i="3"/>
  <c r="D60" i="3"/>
  <c r="E60" i="3" s="1"/>
  <c r="G59" i="3"/>
  <c r="F59" i="3"/>
  <c r="D59" i="3"/>
  <c r="E59" i="3" s="1"/>
  <c r="G58" i="3"/>
  <c r="F58" i="3"/>
  <c r="D58" i="3"/>
  <c r="E58" i="3" s="1"/>
  <c r="G57" i="3"/>
  <c r="F57" i="3"/>
  <c r="D57" i="3"/>
  <c r="E57" i="3" s="1"/>
  <c r="G56" i="3"/>
  <c r="F56" i="3"/>
  <c r="D56" i="3"/>
  <c r="E56" i="3" s="1"/>
  <c r="G55" i="3"/>
  <c r="F55" i="3"/>
  <c r="D55" i="3"/>
  <c r="E55" i="3" s="1"/>
  <c r="G54" i="3"/>
  <c r="F54" i="3"/>
  <c r="D54" i="3"/>
  <c r="E54" i="3" s="1"/>
  <c r="G53" i="3"/>
  <c r="F53" i="3"/>
  <c r="D53" i="3"/>
  <c r="E53" i="3" s="1"/>
  <c r="G52" i="3"/>
  <c r="F52" i="3"/>
  <c r="D52" i="3"/>
  <c r="E52" i="3" s="1"/>
  <c r="G51" i="3"/>
  <c r="F51" i="3"/>
  <c r="D51" i="3"/>
  <c r="E51" i="3" s="1"/>
  <c r="G50" i="3"/>
  <c r="F50" i="3"/>
  <c r="D50" i="3"/>
  <c r="E50" i="3" s="1"/>
  <c r="G49" i="3"/>
  <c r="F49" i="3"/>
  <c r="D49" i="3"/>
  <c r="E49" i="3" s="1"/>
  <c r="G48" i="3"/>
  <c r="F48" i="3"/>
  <c r="D48" i="3"/>
  <c r="E48" i="3" s="1"/>
  <c r="G47" i="3"/>
  <c r="F47" i="3"/>
  <c r="D47" i="3"/>
  <c r="E47" i="3" s="1"/>
  <c r="G46" i="3"/>
  <c r="F46" i="3"/>
  <c r="D46" i="3"/>
  <c r="E46" i="3" s="1"/>
  <c r="G45" i="3"/>
  <c r="F45" i="3"/>
  <c r="D45" i="3"/>
  <c r="E45" i="3" s="1"/>
  <c r="G44" i="3"/>
  <c r="F44" i="3"/>
  <c r="D44" i="3"/>
  <c r="E44" i="3" s="1"/>
  <c r="G43" i="3"/>
  <c r="F43" i="3"/>
  <c r="D43" i="3"/>
  <c r="E43" i="3" s="1"/>
  <c r="G42" i="3"/>
  <c r="F42" i="3"/>
  <c r="D42" i="3"/>
  <c r="E42" i="3" s="1"/>
  <c r="G41" i="3"/>
  <c r="F41" i="3"/>
  <c r="D41" i="3"/>
  <c r="E41" i="3" s="1"/>
  <c r="G40" i="3"/>
  <c r="F40" i="3"/>
  <c r="D40" i="3"/>
  <c r="E40" i="3" s="1"/>
  <c r="G39" i="3"/>
  <c r="F39" i="3"/>
  <c r="D39" i="3"/>
  <c r="E39" i="3" s="1"/>
  <c r="G38" i="3"/>
  <c r="F38" i="3"/>
  <c r="D38" i="3"/>
  <c r="E38" i="3" s="1"/>
  <c r="G37" i="3"/>
  <c r="F37" i="3"/>
  <c r="D37" i="3"/>
  <c r="E37" i="3" s="1"/>
  <c r="G36" i="3"/>
  <c r="F36" i="3"/>
  <c r="D36" i="3"/>
  <c r="E36" i="3" s="1"/>
  <c r="G35" i="3"/>
  <c r="F35" i="3"/>
  <c r="D35" i="3"/>
  <c r="E35" i="3" s="1"/>
  <c r="G34" i="3"/>
  <c r="F34" i="3"/>
  <c r="D34" i="3"/>
  <c r="E34" i="3" s="1"/>
  <c r="G33" i="3"/>
  <c r="F33" i="3"/>
  <c r="D33" i="3"/>
  <c r="E33" i="3" s="1"/>
  <c r="G32" i="3"/>
  <c r="F32" i="3"/>
  <c r="D32" i="3"/>
  <c r="E32" i="3" s="1"/>
  <c r="G31" i="3"/>
  <c r="F31" i="3"/>
  <c r="D31" i="3"/>
  <c r="E31" i="3" s="1"/>
  <c r="G30" i="3"/>
  <c r="F30" i="3"/>
  <c r="D30" i="3"/>
  <c r="E30" i="3" s="1"/>
  <c r="G29" i="3"/>
  <c r="F29" i="3"/>
  <c r="D29" i="3"/>
  <c r="E29" i="3" s="1"/>
  <c r="G28" i="3"/>
  <c r="F28" i="3"/>
  <c r="D28" i="3"/>
  <c r="E28" i="3" s="1"/>
  <c r="G27" i="3"/>
  <c r="F27" i="3"/>
  <c r="D27" i="3"/>
  <c r="E27" i="3" s="1"/>
  <c r="G26" i="3"/>
  <c r="F26" i="3"/>
  <c r="D26" i="3"/>
  <c r="E26" i="3" s="1"/>
  <c r="G25" i="3"/>
  <c r="F25" i="3"/>
  <c r="D25" i="3"/>
  <c r="E25" i="3" s="1"/>
  <c r="G24" i="3"/>
  <c r="F24" i="3"/>
  <c r="D24" i="3"/>
  <c r="E24" i="3" s="1"/>
  <c r="G23" i="3"/>
  <c r="F23" i="3"/>
  <c r="D23" i="3"/>
  <c r="E23" i="3" s="1"/>
  <c r="G22" i="3"/>
  <c r="F22" i="3"/>
  <c r="D22" i="3"/>
  <c r="E22" i="3" s="1"/>
  <c r="G21" i="3"/>
  <c r="F21" i="3"/>
  <c r="D21" i="3"/>
  <c r="E21" i="3" s="1"/>
  <c r="G20" i="3"/>
  <c r="F20" i="3"/>
  <c r="D20" i="3"/>
  <c r="E20" i="3" s="1"/>
  <c r="G19" i="3"/>
  <c r="F19" i="3"/>
  <c r="D19" i="3"/>
  <c r="E19" i="3" s="1"/>
  <c r="G18" i="3"/>
  <c r="F18" i="3"/>
  <c r="D18" i="3"/>
  <c r="E18" i="3" s="1"/>
  <c r="G17" i="3"/>
  <c r="F17" i="3"/>
  <c r="D17" i="3"/>
  <c r="E17" i="3" s="1"/>
  <c r="G16" i="3"/>
  <c r="F16" i="3"/>
  <c r="D16" i="3"/>
  <c r="E16" i="3" s="1"/>
  <c r="G15" i="3"/>
  <c r="F15" i="3"/>
  <c r="D15" i="3"/>
  <c r="E15" i="3" s="1"/>
  <c r="G14" i="3"/>
  <c r="F14" i="3"/>
  <c r="D14" i="3"/>
  <c r="E14" i="3" s="1"/>
  <c r="G13" i="3"/>
  <c r="F13" i="3"/>
  <c r="D13" i="3"/>
  <c r="E13" i="3" s="1"/>
  <c r="G12" i="3"/>
  <c r="F12" i="3"/>
  <c r="D12" i="3"/>
  <c r="E12" i="3" s="1"/>
  <c r="G11" i="3"/>
  <c r="F11" i="3"/>
  <c r="D11" i="3"/>
  <c r="E11" i="3" s="1"/>
  <c r="G10" i="3"/>
  <c r="F10" i="3"/>
  <c r="D10" i="3"/>
  <c r="E10" i="3" s="1"/>
  <c r="G9" i="3"/>
  <c r="F9" i="3"/>
  <c r="D9" i="3"/>
  <c r="E9" i="3" s="1"/>
  <c r="G8" i="3"/>
  <c r="F8" i="3"/>
  <c r="D8" i="3"/>
  <c r="E8" i="3" s="1"/>
  <c r="G7" i="3"/>
  <c r="F7" i="3"/>
  <c r="D7" i="3"/>
  <c r="E7" i="3" s="1"/>
  <c r="G6" i="3"/>
  <c r="F6" i="3"/>
  <c r="D6" i="3"/>
  <c r="E6" i="3" s="1"/>
  <c r="G5" i="3"/>
  <c r="E12" i="1" s="1"/>
  <c r="F5" i="3"/>
  <c r="D5" i="3"/>
  <c r="E5" i="3" s="1"/>
  <c r="E18" i="1"/>
  <c r="C18" i="1"/>
  <c r="F16" i="1"/>
  <c r="E16" i="1"/>
  <c r="D16" i="1"/>
  <c r="C16" i="1"/>
  <c r="B16" i="1"/>
  <c r="E15" i="1"/>
  <c r="C15" i="1"/>
  <c r="B15" i="1"/>
  <c r="D14" i="1"/>
  <c r="C14" i="1"/>
  <c r="B14" i="1"/>
  <c r="E13" i="1"/>
  <c r="D13" i="1"/>
  <c r="C13" i="1"/>
  <c r="B13" i="1"/>
  <c r="B12" i="1"/>
  <c r="C12" i="1" l="1"/>
  <c r="D12" i="1"/>
  <c r="I9" i="4"/>
  <c r="I17" i="4"/>
  <c r="I15" i="4"/>
  <c r="B20" i="9"/>
  <c r="B21" i="9" s="1"/>
  <c r="I5" i="4"/>
  <c r="I13" i="4"/>
  <c r="I21" i="4"/>
  <c r="I6" i="4"/>
  <c r="I8" i="4"/>
  <c r="I10" i="4"/>
  <c r="I12" i="4"/>
  <c r="I14" i="4"/>
  <c r="I16" i="4"/>
  <c r="I18" i="4"/>
  <c r="I20" i="4"/>
  <c r="C20" i="9"/>
  <c r="C21" i="9" s="1"/>
</calcChain>
</file>

<file path=xl/sharedStrings.xml><?xml version="1.0" encoding="utf-8"?>
<sst xmlns="http://schemas.openxmlformats.org/spreadsheetml/2006/main" count="1388" uniqueCount="546">
  <si>
    <t>Smart Fan Temperature Controller – firmware v1.0.0 production verification</t>
  </si>
  <si>
    <t>Compared against the previous firmware v0.2.1 (smart_fan_temperature_controller_fw_v0.2.1.ino, released January 2024). Target: ATmega328P @ 16 MHz.</t>
  </si>
  <si>
    <t>Firmware file</t>
  </si>
  <si>
    <t>smart_fan_temperature_controller_fw_v1.0.0.ino</t>
  </si>
  <si>
    <t>Reference firmware</t>
  </si>
  <si>
    <t>smart_fan_temperature_controller_fw_v0.2.1.ino (v0.2.1, released January 2024)</t>
  </si>
  <si>
    <t>Build – production (DEBUG_FLAG 0)</t>
  </si>
  <si>
    <t>6,422 bytes flash (19.6 %), 216 bytes RAM (10.5 %) – avr-gcc, Arduino AVR core, no warnings</t>
  </si>
  <si>
    <t>Build – debug (DEBUG_FLAG 1)</t>
  </si>
  <si>
    <t>8,280 bytes flash (25.3 %), 232 bytes RAM (11.3 %) – no warnings</t>
  </si>
  <si>
    <t>Verification method</t>
  </si>
  <si>
    <t>Both sketches were executed unmodified on a host PC with an Arduino/AVR emulation layer (registers, pins, ADC, FG interrupt, buzzer, serial). Only change for v0.2.1: its lookup array declared as int16_t so sizeof() matches the 2-byte AVR int. Values in gray cells are firmware outputs; white cells are Excel formulas cross-checking them.</t>
  </si>
  <si>
    <t>Not covered</t>
  </si>
  <si>
    <t>Analogue hardware (sensor accuracy, AREF stability, supply noise) and real fan behaviour – these require bench testing.</t>
  </si>
  <si>
    <t>Test sheet</t>
  </si>
  <si>
    <t>Cases</t>
  </si>
  <si>
    <t>Identical / OK</t>
  </si>
  <si>
    <t>Intended change</t>
  </si>
  <si>
    <t>Different / check</t>
  </si>
  <si>
    <t>Result</t>
  </si>
  <si>
    <t>Temp_to_PWM</t>
  </si>
  <si>
    <t>Only difference: exact 5.000 °C (unreachable from sensors). All v1.0.0 values match the formula.</t>
  </si>
  <si>
    <t>Sensor_Inputs</t>
  </si>
  <si>
    <t>Differences are the dead-zone fix and the new divergence detection.</t>
  </si>
  <si>
    <t>LED_Alarm_Matrix</t>
  </si>
  <si>
    <t>Changes = D6 for failed fan test, sustained-max alarm, divergence LED.</t>
  </si>
  <si>
    <t>Fan_Startup_Test</t>
  </si>
  <si>
    <t>Same pass window (53–56 pulses) as v0.2.1.</t>
  </si>
  <si>
    <t>ADC_Sweep</t>
  </si>
  <si>
    <t>Sequences</t>
  </si>
  <si>
    <t>–</t>
  </si>
  <si>
    <t>8 time sequences incl. over-temperature, sensor failure, fan stall, divergence, known limitation</t>
  </si>
  <si>
    <t>Watchdog_Timing</t>
  </si>
  <si>
    <t>Worst-case loop well below 8 s in production and debug.</t>
  </si>
  <si>
    <t>Verdict</t>
  </si>
  <si>
    <t>v1.0.0 regulates the fan exactly like v0.2.1 for every real sensor reading, fixes the 26–27 °C dead zone, and adds sensor-divergence detection, sustained-max-PWM alarm and watchdog protection. Remaining open items are cosmetic comments only (see Corrections_Log). Firmware is ready for production; confirm with bench tests on the target hardware.</t>
  </si>
  <si>
    <t>Legend</t>
  </si>
  <si>
    <t>Blue text</t>
  </si>
  <si>
    <t>Test input / stimulus or firmware constant</t>
  </si>
  <si>
    <t>Gray fill</t>
  </si>
  <si>
    <t>Value produced by running the firmware</t>
  </si>
  <si>
    <t>White, black text</t>
  </si>
  <si>
    <t>Excel formula (cross-check)</t>
  </si>
  <si>
    <t>Yellow header</t>
  </si>
  <si>
    <t>v0.2.1 firmware columns (previous firmware)</t>
  </si>
  <si>
    <t>Green</t>
  </si>
  <si>
    <t>Amber</t>
  </si>
  <si>
    <t>Intended change or fix</t>
  </si>
  <si>
    <t>Red</t>
  </si>
  <si>
    <t>Unexpected difference (none remaining)</t>
  </si>
  <si>
    <t>Firmware constants used by the checks</t>
  </si>
  <si>
    <t>Blue = values copied from smart_fan_temperature_controller_fw_v1.0.0.ino (line numbers in column E). Every formula in this workbook references these cells.</t>
  </si>
  <si>
    <t>Constant</t>
  </si>
  <si>
    <t>Value</t>
  </si>
  <si>
    <t>Unit</t>
  </si>
  <si>
    <t>Meaning</t>
  </si>
  <si>
    <t>Source</t>
  </si>
  <si>
    <t>PWM_TOP</t>
  </si>
  <si>
    <t>counts</t>
  </si>
  <si>
    <t>Timer1 TOP (ICR1) – 100 % duty</t>
  </si>
  <si>
    <t>v1.0.0 line 53</t>
  </si>
  <si>
    <t>PWM_AT_MINIMUM_TEMPERATURE</t>
  </si>
  <si>
    <t>PWM at 5 °C</t>
  </si>
  <si>
    <t>line 55</t>
  </si>
  <si>
    <t>PWM_STEP_PER_DEGREE</t>
  </si>
  <si>
    <t>counts/°C</t>
  </si>
  <si>
    <t>PWM increase per °C</t>
  </si>
  <si>
    <t>line 58</t>
  </si>
  <si>
    <t>CELSIUS_MINIMUM_TEMPERATURE</t>
  </si>
  <si>
    <t>°C</t>
  </si>
  <si>
    <t>Lower valid temperature (inclusive)</t>
  </si>
  <si>
    <t>line 37</t>
  </si>
  <si>
    <t>CELSIUS_MAXIMUM_TEMPERATURE</t>
  </si>
  <si>
    <t>Upper valid temperature (inclusive)</t>
  </si>
  <si>
    <t>line 38</t>
  </si>
  <si>
    <t>MAX_SENSOR_DIVERGENCE_CELSIUS</t>
  </si>
  <si>
    <t>Max allowed difference LM35 vs LM34 (strictly greater = error)</t>
  </si>
  <si>
    <t>line 44</t>
  </si>
  <si>
    <t>TEMPERATURE_PWM_ERROR</t>
  </si>
  <si>
    <t>code</t>
  </si>
  <si>
    <t>v1.0.0 code: temperature out of range</t>
  </si>
  <si>
    <t>line 61</t>
  </si>
  <si>
    <t>TEMPERATURE_DIVERGENCE_ERROR</t>
  </si>
  <si>
    <t>v1.0.0 code: sensors disagree</t>
  </si>
  <si>
    <t>line 64</t>
  </si>
  <si>
    <t>v0.2.1 error sentinel</t>
  </si>
  <si>
    <t>v0.2.1 code: out of range / not found</t>
  </si>
  <si>
    <t>v0.2.1 temperatureToPwm()</t>
  </si>
  <si>
    <t>FAN_TEST_MINIMUM_PULSES</t>
  </si>
  <si>
    <t>pulses</t>
  </si>
  <si>
    <t>Fan test passes if pulses &gt; this value</t>
  </si>
  <si>
    <t>line 71</t>
  </si>
  <si>
    <t>FAN_TEST_MAXIMUM_PULSES</t>
  </si>
  <si>
    <t>Fan test passes if pulses &lt; this value</t>
  </si>
  <si>
    <t>line 72</t>
  </si>
  <si>
    <t>FAN_TEST_PWM</t>
  </si>
  <si>
    <t>PWM during fan test (40 % duty)</t>
  </si>
  <si>
    <t>line 69</t>
  </si>
  <si>
    <t>FAN_TEST_INITIAL_DELAY_MS</t>
  </si>
  <si>
    <t>ms</t>
  </si>
  <si>
    <t>Delay before fan test</t>
  </si>
  <si>
    <t>line 75</t>
  </si>
  <si>
    <t>FAN_TEST_SPINUP_MS</t>
  </si>
  <si>
    <t>Fan spin-up time</t>
  </si>
  <si>
    <t>line 78</t>
  </si>
  <si>
    <t>FAN_TEST_COUNT_WINDOW_MS</t>
  </si>
  <si>
    <t>FG pulse counting window</t>
  </si>
  <si>
    <t>line 81</t>
  </si>
  <si>
    <t>SETUP_DELAY_MS</t>
  </si>
  <si>
    <t>Delay at end of setup (fan coast-down)</t>
  </si>
  <si>
    <t>line 91</t>
  </si>
  <si>
    <t>LOOP_DELAY_MS</t>
  </si>
  <si>
    <t>Main loop period</t>
  </si>
  <si>
    <t>line 95</t>
  </si>
  <si>
    <t>BUZZER_BEEP_ON_MS</t>
  </si>
  <si>
    <t>Beep length</t>
  </si>
  <si>
    <t>line 86</t>
  </si>
  <si>
    <t>BUZZER_BEEP_OFF_MS</t>
  </si>
  <si>
    <t>Gap between the two beeps</t>
  </si>
  <si>
    <t>line 87</t>
  </si>
  <si>
    <t>MAX_PWM_THRESHOLD</t>
  </si>
  <si>
    <t>PWM regarded as maximum fan speed</t>
  </si>
  <si>
    <t>line 100</t>
  </si>
  <si>
    <t>MAX_HIGH_PWM_CYCLES</t>
  </si>
  <si>
    <t>cycles</t>
  </si>
  <si>
    <t>Consecutive max-PWM cycles before alarm</t>
  </si>
  <si>
    <t>line 103</t>
  </si>
  <si>
    <t>Watchdog timeout (WDTO_8S)</t>
  </si>
  <si>
    <t>Nominal watchdog timeout</t>
  </si>
  <si>
    <t>line 171</t>
  </si>
  <si>
    <t>ADC_TO_VOLTAGE_FACTOR</t>
  </si>
  <si>
    <t>counts/V</t>
  </si>
  <si>
    <t>1023 / 2.493 V AREF</t>
  </si>
  <si>
    <t>line 26</t>
  </si>
  <si>
    <t>SENSOR_MV_PER_DEGREE</t>
  </si>
  <si>
    <t>V/degree</t>
  </si>
  <si>
    <t>LM35 / LM34 scale</t>
  </si>
  <si>
    <t>line 30</t>
  </si>
  <si>
    <t>FAHRENHEIT_TO_CELSIUS_CONVERSION_FACTOR</t>
  </si>
  <si>
    <t>≈ 5/9</t>
  </si>
  <si>
    <t>line 33</t>
  </si>
  <si>
    <t>RPM per FG pulse per second</t>
  </si>
  <si>
    <t>rpm</t>
  </si>
  <si>
    <t>2 FG pulses per revolution → pulses/s × 60 / 2</t>
  </si>
  <si>
    <t>line 118 comment</t>
  </si>
  <si>
    <t>Temperature → fan PWM, every 0.1 °C from 4.0 to 51.0 °C</t>
  </si>
  <si>
    <t>Function-level test: the average temperature is passed directly to temperatureToPWM() (v1.0.0) and temperatureToPwm() (v0.2.1). Gray = firmware output, white = Excel cross-check formula.</t>
  </si>
  <si>
    <t>Avg temp °C</t>
  </si>
  <si>
    <t>v0.2.1 PWM</t>
  </si>
  <si>
    <t>v1.0.0 PWM</t>
  </si>
  <si>
    <t>Expected v1.0.0 (formula)</t>
  </si>
  <si>
    <t>v1.0.0 vs formula</t>
  </si>
  <si>
    <t>v1.0.0 duty %</t>
  </si>
  <si>
    <t>v1.0.0 vs v0.2.1</t>
  </si>
  <si>
    <t>Note</t>
  </si>
  <si>
    <t>Out of range: fan keeps last good PWM, board LED D4 ON</t>
  </si>
  <si>
    <t>Exactly 5.000 °C only: v0.2.1 gives 12. Not reachable from real sensor readings (ADC quantisation) – confirmed in ADC_Sweep</t>
  </si>
  <si>
    <t>v0.2.1 26–27 °C dead-zone bug (returned error for a valid temperature)</t>
  </si>
  <si>
    <t>Sensor input cases (raw ADC values → temperature → PWM)</t>
  </si>
  <si>
    <t>Both firmwares run calculateAverageTemperatureFromSensors()/temperatureFromSensors() and the PWM mapping on the same ADC counts.</t>
  </si>
  <si>
    <t>#</t>
  </si>
  <si>
    <t>Case</t>
  </si>
  <si>
    <t>ADC A0 (LM35)</t>
  </si>
  <si>
    <t>ADC A1 (LM34)</t>
  </si>
  <si>
    <t>LM35 °C (formula)</t>
  </si>
  <si>
    <t>LM34 °F (formula)</t>
  </si>
  <si>
    <t>LM34 as °C (formula)</t>
  </si>
  <si>
    <t>|LM35 − LM34| °C</t>
  </si>
  <si>
    <t>Divergence &gt; limit?</t>
  </si>
  <si>
    <t>v0.2.1 avg °C</t>
  </si>
  <si>
    <t>v1.0.0 avg / sentinel</t>
  </si>
  <si>
    <t>v1.0.0 PWM code</t>
  </si>
  <si>
    <t>v1.0.0 result</t>
  </si>
  <si>
    <t>v1.0.0 fan behaviour</t>
  </si>
  <si>
    <t>Normal 25 °C, sensors agree</t>
  </si>
  <si>
    <t>Normal 30 °C, sensors agree</t>
  </si>
  <si>
    <t>Normal 45 °C, sensors agree</t>
  </si>
  <si>
    <t>Lower valid edge (~5.2 °C)</t>
  </si>
  <si>
    <t>Upper valid edge (~49.9 °C)</t>
  </si>
  <si>
    <t>Old dead zone (~26.5 °C)</t>
  </si>
  <si>
    <t>Below range (~3.9 °C)</t>
  </si>
  <si>
    <t>Above range (~51 °C)</t>
  </si>
  <si>
    <t>LM35 slightly below range, LM34 valid</t>
  </si>
  <si>
    <t>Divergence just under limit (~4.97 °C apart)</t>
  </si>
  <si>
    <t>Divergence just over limit (~5.11 °C apart)</t>
  </si>
  <si>
    <t>Large divergence (30 °C vs 40 °C)</t>
  </si>
  <si>
    <t>LM35 unplugged / reads 0</t>
  </si>
  <si>
    <t>LM34 unplugged / reads 0</t>
  </si>
  <si>
    <t>Both sensors unplugged</t>
  </si>
  <si>
    <t>LM35 shorted to AREF (ADC 1023)</t>
  </si>
  <si>
    <t>LM34 shorted to AREF (ADC 1023)</t>
  </si>
  <si>
    <t>LED and buzzer outputs for every combination of fan test × temperature × fan rotation</t>
  </si>
  <si>
    <t>Full firmware run: setup() with the fan test, then loop() cycles leading to the condition. Values are the outputs after the last cycle. D6 = fan status LED, D4 = board status LED.</t>
  </si>
  <si>
    <t>Fan startup test</t>
  </si>
  <si>
    <t>Temperature condition</t>
  </si>
  <si>
    <t>Fan rotation (last 5 s)</t>
  </si>
  <si>
    <t>v1.0.0 OCR1A</t>
  </si>
  <si>
    <t>v1.0.0 D6 fan LED</t>
  </si>
  <si>
    <t>v1.0.0 D4 board LED</t>
  </si>
  <si>
    <t>v1.0.0 buzzer</t>
  </si>
  <si>
    <t>v0.2.1 OCR1A</t>
  </si>
  <si>
    <t>v0.2.1 D6</t>
  </si>
  <si>
    <t>v0.2.1 D4</t>
  </si>
  <si>
    <t>v0.2.1 buzzer</t>
  </si>
  <si>
    <t>LEDs/buzzer vs v0.2.1</t>
  </si>
  <si>
    <t>Explanation (v1.0.0)</t>
  </si>
  <si>
    <t>PASSED</t>
  </si>
  <si>
    <t>Normal 30 °C</t>
  </si>
  <si>
    <t>Spinning</t>
  </si>
  <si>
    <t>OFF</t>
  </si>
  <si>
    <t>D6: off. D4: off. Buzzer: off.</t>
  </si>
  <si>
    <t>Stopped (0 pulses)</t>
  </si>
  <si>
    <t>ON</t>
  </si>
  <si>
    <t>D6: fan stopped. D4: off. Buzzer: fan stopped.</t>
  </si>
  <si>
    <t>Max temp – 1st cycle at PWM 320 (49.8 °C)</t>
  </si>
  <si>
    <t>Max temp – 2nd consecutive cycle (sustained)</t>
  </si>
  <si>
    <t>D6: off. D4: sustained max PWM. Buzzer: sustained max PWM.</t>
  </si>
  <si>
    <t>D6: fan stopped. D4: sustained max PWM. Buzzer: fan stopped, sustained max PWM.</t>
  </si>
  <si>
    <t>Above 50 °C after sustained max</t>
  </si>
  <si>
    <t>D6: off. D4: temperature out of range, sustained max PWM. Buzzer: sustained max PWM. Fan holds last good PWM (320).</t>
  </si>
  <si>
    <t>D6: fan stopped. D4: temperature out of range, sustained max PWM. Buzzer: fan stopped, sustained max PWM. Fan holds last good PWM (320).</t>
  </si>
  <si>
    <t>Above 50 °C reached directly from 45 °C</t>
  </si>
  <si>
    <t>D6: off. D4: temperature out of range. Buzzer: off. Fan holds last good PWM (292). Known limitation: max-PWM counter never started, so no buzzer unless the fan stops.</t>
  </si>
  <si>
    <t>D6: fan stopped. D4: temperature out of range. Buzzer: fan stopped. Fan holds last good PWM (292). Known limitation: max-PWM counter never started, so no buzzer unless the fan stops.</t>
  </si>
  <si>
    <t>Sensor unplugged (out of range)</t>
  </si>
  <si>
    <t>D6: off. D4: temperature out of range. Buzzer: off. Fan holds last good PWM (180).</t>
  </si>
  <si>
    <t>D6: fan stopped. D4: temperature out of range. Buzzer: fan stopped. Fan holds last good PWM (180).</t>
  </si>
  <si>
    <t>Sensor divergence (30 vs 40 °C)</t>
  </si>
  <si>
    <t>D6: off. D4: sensor divergence. Buzzer: off. Fan holds last good PWM (180).</t>
  </si>
  <si>
    <t>D6: fan stopped. D4: sensor divergence. Buzzer: fan stopped. Fan holds last good PWM (180).</t>
  </si>
  <si>
    <t>NOT PASSED</t>
  </si>
  <si>
    <t>D6: fan test failed. D4: off. Buzzer: off.</t>
  </si>
  <si>
    <t>D6: fan test failed, fan stopped. D4: off. Buzzer: fan stopped.</t>
  </si>
  <si>
    <t>D6: fan test failed. D4: sustained max PWM. Buzzer: sustained max PWM.</t>
  </si>
  <si>
    <t>D6: fan test failed, fan stopped. D4: sustained max PWM. Buzzer: fan stopped, sustained max PWM.</t>
  </si>
  <si>
    <t>D6: fan test failed. D4: temperature out of range, sustained max PWM. Buzzer: sustained max PWM. Fan holds last good PWM (320).</t>
  </si>
  <si>
    <t>D6: fan test failed, fan stopped. D4: temperature out of range, sustained max PWM. Buzzer: fan stopped, sustained max PWM. Fan holds last good PWM (320).</t>
  </si>
  <si>
    <t>D6: fan test failed. D4: temperature out of range. Buzzer: off. Fan holds last good PWM (292). Known limitation: max-PWM counter never started, so no buzzer unless the fan stops.</t>
  </si>
  <si>
    <t>D6: fan test failed, fan stopped. D4: temperature out of range. Buzzer: fan stopped. Fan holds last good PWM (292). Known limitation: max-PWM counter never started, so no buzzer unless the fan stops.</t>
  </si>
  <si>
    <t>D6: fan test failed. D4: temperature out of range. Buzzer: off. Fan holds last good PWM (180).</t>
  </si>
  <si>
    <t>D6: fan test failed, fan stopped. D4: temperature out of range. Buzzer: fan stopped. Fan holds last good PWM (180).</t>
  </si>
  <si>
    <t>D6: fan test failed. D4: sensor divergence. Buzzer: off. Fan holds last good PWM (180).</t>
  </si>
  <si>
    <t>D6: fan test failed, fan stopped. D4: sensor divergence. Buzzer: fan stopped. Fan holds last good PWM (180).</t>
  </si>
  <si>
    <t>Time sequences (full firmware, cycle by cycle)</t>
  </si>
  <si>
    <t>Each sequence starts with setup() (fan test PASSED) followed by loop() cycles. Elapsed time uses v1.0.0 timing: loop delay + alarm duration when the buzzer sounded in the previous cycle.</t>
  </si>
  <si>
    <t>Seq</t>
  </si>
  <si>
    <t>Scenario</t>
  </si>
  <si>
    <t>Step</t>
  </si>
  <si>
    <t>Elapsed s</t>
  </si>
  <si>
    <t>Input condition</t>
  </si>
  <si>
    <t>FG pulses (last 5 s)</t>
  </si>
  <si>
    <t>LM35 °C</t>
  </si>
  <si>
    <t>LM34 °F</t>
  </si>
  <si>
    <t>v1.0.0 max-PWM counter</t>
  </si>
  <si>
    <t>v1.0.0 D4</t>
  </si>
  <si>
    <t>v1.0.0 D6</t>
  </si>
  <si>
    <t>What happens (v1.0.0)</t>
  </si>
  <si>
    <t>Sequence A – Normal heat-up and cool-down</t>
  </si>
  <si>
    <t>A</t>
  </si>
  <si>
    <t>Normal heat-up and cool-down</t>
  </si>
  <si>
    <t>25.0 °C</t>
  </si>
  <si>
    <t>Normal regulation</t>
  </si>
  <si>
    <t>35.0 °C</t>
  </si>
  <si>
    <t>45.0 °C</t>
  </si>
  <si>
    <t>48.0 °C</t>
  </si>
  <si>
    <t>49.2 °C</t>
  </si>
  <si>
    <t>1st cycle at PWM 320 → counter = 1, no alarm yet</t>
  </si>
  <si>
    <t>49.8 °C</t>
  </si>
  <si>
    <t>2nd consecutive cycle at PWM 320 → sustained max: D4 ON + buzzer</t>
  </si>
  <si>
    <t>Still at max PWM → alarm continues</t>
  </si>
  <si>
    <t>Valid lower PWM → counter reset, alarm stops</t>
  </si>
  <si>
    <t>40.0 °C</t>
  </si>
  <si>
    <t>30.0 °C</t>
  </si>
  <si>
    <t>Sequence B – Over-temperature above 50 °C</t>
  </si>
  <si>
    <t>B</t>
  </si>
  <si>
    <t>Over-temperature above 50 °C</t>
  </si>
  <si>
    <t>51.0 °C</t>
  </si>
  <si>
    <t>Out of range does not reset the counter → alarm kept, fan holds 320</t>
  </si>
  <si>
    <t>53.0 °C</t>
  </si>
  <si>
    <t>55.0 °C</t>
  </si>
  <si>
    <t>Sequence C – Sensor failure while at maximum PWM</t>
  </si>
  <si>
    <t>C</t>
  </si>
  <si>
    <t>Sensor failure while at maximum PWM</t>
  </si>
  <si>
    <t>Sensor unplugged (ADC 0 / 0)</t>
  </si>
  <si>
    <t>Sequence D – Sensor failure during normal operation</t>
  </si>
  <si>
    <t>D</t>
  </si>
  <si>
    <t>Sensor failure during normal operation</t>
  </si>
  <si>
    <t>Out of range → D4 ON, fan holds last PWM 180</t>
  </si>
  <si>
    <t>Sequence E – Fast jump above 50 °C (known limitation)</t>
  </si>
  <si>
    <t>E</t>
  </si>
  <si>
    <t>Fast jump above 50 °C (known limitation)</t>
  </si>
  <si>
    <t>52.0 °C</t>
  </si>
  <si>
    <t>Out of range → D4 ON, fan holds last PWM 292; Known limitation: jumped over 49–50 °C band, counter never started → D4 only, no buzzer</t>
  </si>
  <si>
    <t>Sequence F – Fan stall and recovery</t>
  </si>
  <si>
    <t>F</t>
  </si>
  <si>
    <t>Fan stall and recovery</t>
  </si>
  <si>
    <t>No FG pulses → D6 ON + buzzer</t>
  </si>
  <si>
    <t>Sequence G – Sensor divergence and recovery</t>
  </si>
  <si>
    <t>G</t>
  </si>
  <si>
    <t>Sensor divergence and recovery</t>
  </si>
  <si>
    <t>Divergence (ADC 123 / 427 → 30 °C vs 104 °F)</t>
  </si>
  <si>
    <t>Sensors disagree &gt; 5 °C → D4 ON, fan holds last PWM 180 (v0.2.1 would average them)</t>
  </si>
  <si>
    <t>Sequence H – Low-temperature edge</t>
  </si>
  <si>
    <t>H</t>
  </si>
  <si>
    <t>Low-temperature edge</t>
  </si>
  <si>
    <t>5.2 °C</t>
  </si>
  <si>
    <t>5.6 °C</t>
  </si>
  <si>
    <t>6.0 °C</t>
  </si>
  <si>
    <t>4.8 °C</t>
  </si>
  <si>
    <t>Out of range → D4 ON, fan holds last PWM 19</t>
  </si>
  <si>
    <t>7.0 °C</t>
  </si>
  <si>
    <t>Fan startup test – FG pulses counted in the 1 s window</t>
  </si>
  <si>
    <t>Full setup() run with the FG interrupt firing N times during the counting window (fan at FAN_TEST_PWM = 128).</t>
  </si>
  <si>
    <t>FG pulses in 1 s</t>
  </si>
  <si>
    <t>Fan RPM (formula)</t>
  </si>
  <si>
    <t>Expected result (formula)</t>
  </si>
  <si>
    <t>v0.2.1 result</t>
  </si>
  <si>
    <t>v1.0.0 vs expected</t>
  </si>
  <si>
    <t>v1.0.0 indication</t>
  </si>
  <si>
    <t>v0.2.1 indication</t>
  </si>
  <si>
    <t>v1.0.0 serial debug output</t>
  </si>
  <si>
    <t>Interpretation</t>
  </si>
  <si>
    <t>Detected FGPulses: 0 | Test Result: NOT PASSED</t>
  </si>
  <si>
    <t>Fan not turning, FG line open, or no PWM/12 V to fan</t>
  </si>
  <si>
    <t>Detected FGPulses: 10 | Test Result: NOT PASSED</t>
  </si>
  <si>
    <t>Fan far too slow – possible stall / bearing fault</t>
  </si>
  <si>
    <t>Detected FGPulses: 30 | Test Result: NOT PASSED</t>
  </si>
  <si>
    <t>Fan too slow</t>
  </si>
  <si>
    <t>Detected FGPulses: 45 | Test Result: NOT PASSED</t>
  </si>
  <si>
    <t>Fan slower than expected (supply voltage low / fan wear)</t>
  </si>
  <si>
    <t>Detected FGPulses: 50 | Test Result: NOT PASSED</t>
  </si>
  <si>
    <t>Slightly slow</t>
  </si>
  <si>
    <t>Detected FGPulses: 52 | Test Result: NOT PASSED</t>
  </si>
  <si>
    <t>Lower boundary – fails (window is 53…56)</t>
  </si>
  <si>
    <t>Detected FGPulses: 53 | Test Result: PASSED</t>
  </si>
  <si>
    <t>Lowest passing value</t>
  </si>
  <si>
    <t>Detected FGPulses: 54 | Test Result: PASSED</t>
  </si>
  <si>
    <t>Healthy fan (typical 53–55)</t>
  </si>
  <si>
    <t>Detected FGPulses: 55 | Test Result: PASSED</t>
  </si>
  <si>
    <t>Detected FGPulses: 56 | Test Result: PASSED</t>
  </si>
  <si>
    <t>Highest passing value</t>
  </si>
  <si>
    <t>Detected FGPulses: 57 | Test Result: NOT PASSED</t>
  </si>
  <si>
    <t>Upper boundary – fails</t>
  </si>
  <si>
    <t>Detected FGPulses: 58 | Test Result: NOT PASSED</t>
  </si>
  <si>
    <t>Slightly fast</t>
  </si>
  <si>
    <t>Detected FGPulses: 65 | Test Result: NOT PASSED</t>
  </si>
  <si>
    <t>Too fast – PWM signal may be weak/partially lost</t>
  </si>
  <si>
    <t>Detected FGPulses: 100 | Test Result: NOT PASSED</t>
  </si>
  <si>
    <t>Much too fast – PWM likely not reaching the fan</t>
  </si>
  <si>
    <t>Detected FGPulses: 130 | Test Result: NOT PASSED</t>
  </si>
  <si>
    <t>Full speed: PWM lead disconnected (130–135 per firmware notes)</t>
  </si>
  <si>
    <t>Detected FGPulses: 135 | Test Result: NOT PASSED</t>
  </si>
  <si>
    <t>Exhaustive sweep: every ADC combination of both sensors (1024 × 1024)</t>
  </si>
  <si>
    <t>Each combination was processed by both firmwares (average + PWM mapping). Counts are firmware results; percentages and checks are formulas.</t>
  </si>
  <si>
    <t>Category</t>
  </si>
  <si>
    <t>Combinations</t>
  </si>
  <si>
    <t>% of total</t>
  </si>
  <si>
    <t>Both versions report an error (out of range)</t>
  </si>
  <si>
    <t>Neither sensor pair is inside 5–50 °C → both keep last PWM</t>
  </si>
  <si>
    <t>Valid in both – identical PWM</t>
  </si>
  <si>
    <t>Fan speed exactly the same as v0.2.1</t>
  </si>
  <si>
    <t>Valid in both – different PWM</t>
  </si>
  <si>
    <t>Must be 0 for equivalence</t>
  </si>
  <si>
    <t>v0.2.1 error → v1.0.0 valid (dead-zone fix)</t>
  </si>
  <si>
    <t>v0.2.1 26–27 °C bug fixed</t>
  </si>
  <si>
    <t>v0.2.1 valid → v1.0.0 divergence error</t>
  </si>
  <si>
    <t>New protection: sensors &gt; 5 °C apart are no longer averaged</t>
  </si>
  <si>
    <t>Any other difference</t>
  </si>
  <si>
    <t>Must be 0</t>
  </si>
  <si>
    <t>Total combinations</t>
  </si>
  <si>
    <t>Check: total = 1024 × 1024</t>
  </si>
  <si>
    <t>Equivalence verdict</t>
  </si>
  <si>
    <t>Watchdog timing budget</t>
  </si>
  <si>
    <t>The watchdog is disabled at boot and enabled only at the end of setup(); inside loop() the longest blocking path must stay below the 8 s timeout.</t>
  </si>
  <si>
    <t>Startup phase (watchdog OFF)</t>
  </si>
  <si>
    <t>Duration ms</t>
  </si>
  <si>
    <t>Cumulative ms</t>
  </si>
  <si>
    <t>Initial delay</t>
  </si>
  <si>
    <t>Fan spin-up at PWM 128</t>
  </si>
  <si>
    <t>FG counting window</t>
  </si>
  <si>
    <t>End-of-setup delay (coast-down)</t>
  </si>
  <si>
    <t>Startup time before wdt_enable()</t>
  </si>
  <si>
    <t>Would an 8 s watchdog active during setup survive?</t>
  </si>
  <si>
    <t>Would the 16 ms post-reset watchdog survive without MCUSR=0 / wdt_disable()?</t>
  </si>
  <si>
    <t>Worst-case loop() path (watchdog ON)</t>
  </si>
  <si>
    <t>Production ms</t>
  </si>
  <si>
    <t>Debug ms</t>
  </si>
  <si>
    <t>Source / assumption</t>
  </si>
  <si>
    <t>4 × analogRead + float math</t>
  </si>
  <si>
    <t>Assumption: ~112 µs per analogRead</t>
  </si>
  <si>
    <t>Fault alarm (2 beeps + 1 gap)</t>
  </si>
  <si>
    <t>triggerFaultAlarm()</t>
  </si>
  <si>
    <t>Serial debug output (≈190 chars at 9600 baud)</t>
  </si>
  <si>
    <t>Assumption: worst-case cycle ≈190 characters; compiled out in production</t>
  </si>
  <si>
    <t>delay(LOOP_DELAY_MS)</t>
  </si>
  <si>
    <t>Total time between two wdt_reset() calls</t>
  </si>
  <si>
    <t>Watchdog timeout</t>
  </si>
  <si>
    <t>Margin ms</t>
  </si>
  <si>
    <t>Margin %</t>
  </si>
  <si>
    <t>Status</t>
  </si>
  <si>
    <t>Note: the AVR watchdog oscillator varies with supply voltage and temperature; a margin of about 20 % against the nominal 8 s is acceptable.</t>
  </si>
  <si>
    <t>Serial monitor output with DEBUG_FLAG 1 (captured from the firmware)</t>
  </si>
  <si>
    <t>Exact text printed per scenario, in the order it appears. Arduino ends each println with CR+LF. With DEBUG_FLAG 0 nothing is printed.</t>
  </si>
  <si>
    <t>Line</t>
  </si>
  <si>
    <t>Serial monitor text</t>
  </si>
  <si>
    <t>Startup – fan test PASSED (55 pulses)</t>
  </si>
  <si>
    <t>Detected FGPulses: 55</t>
  </si>
  <si>
    <t>Test Result: PASSED</t>
  </si>
  <si>
    <t>Startup – fan test NOT PASSED (0 pulses)</t>
  </si>
  <si>
    <t>Detected FGPulses: 0</t>
  </si>
  <si>
    <t>Test Result: NOT PASSED</t>
  </si>
  <si>
    <t>Loop – normal 30 °C</t>
  </si>
  <si>
    <t>----- cycle -----</t>
  </si>
  <si>
    <t>Average Temperature: 30.00</t>
  </si>
  <si>
    <t>Fan PWM: 180</t>
  </si>
  <si>
    <t>OCR1A applied: 180</t>
  </si>
  <si>
    <t>Loop – sensor unplugged</t>
  </si>
  <si>
    <t>Temperature out of range</t>
  </si>
  <si>
    <t>Average Temperature: -99.00</t>
  </si>
  <si>
    <t>Fan PWM: -1</t>
  </si>
  <si>
    <t>Loop – sensor divergence</t>
  </si>
  <si>
    <t>Reading divergence between sensors</t>
  </si>
  <si>
    <t>Celsius sensor reading: 29.98</t>
  </si>
  <si>
    <t>Fahrenheit sensor (as C): 40.03</t>
  </si>
  <si>
    <t>Average Temperature: -97.00</t>
  </si>
  <si>
    <t>Fan PWM: -2</t>
  </si>
  <si>
    <t>Loop – fan stopped</t>
  </si>
  <si>
    <t>Fan not spinning or sustained high pwm detected</t>
  </si>
  <si>
    <t>Loop – sustained max PWM (2nd cycle)</t>
  </si>
  <si>
    <t>Average Temperature: 49.75</t>
  </si>
  <si>
    <t>Fan PWM: 320</t>
  </si>
  <si>
    <t>OCR1A applied: 320</t>
  </si>
  <si>
    <t>Loop – above 50 °C after sustained max</t>
  </si>
  <si>
    <t>Loop – fan stopped AND sustained max</t>
  </si>
  <si>
    <t>Behaviour differences between v0.2.1 and v1.0.0</t>
  </si>
  <si>
    <t>Everything not listed here behaves identically (confirmed by the ADC sweep, matrix and sequences).</t>
  </si>
  <si>
    <t>Area</t>
  </si>
  <si>
    <t>v0.2.1</t>
  </si>
  <si>
    <t>v1.0.0</t>
  </si>
  <si>
    <t>Impact</t>
  </si>
  <si>
    <t>Type</t>
  </si>
  <si>
    <t>Temperature → PWM</t>
  </si>
  <si>
    <t>Array search; integer division makes it round UP (ceiling)</t>
  </si>
  <si>
    <t>Direct formula with ceil()</t>
  </si>
  <si>
    <t>Identical PWM for every real sensor reading</t>
  </si>
  <si>
    <t>Internal refactor</t>
  </si>
  <si>
    <t>26–27 °C range</t>
  </si>
  <si>
    <t>Returns error for valid temperatures (dead zone)</t>
  </si>
  <si>
    <t>Correct PWM</t>
  </si>
  <si>
    <t>No false board-LED error, fan regulated normally</t>
  </si>
  <si>
    <t>Bug fix</t>
  </si>
  <si>
    <t>Sensor divergence</t>
  </si>
  <si>
    <t>Not checked – two disagreeing sensors are averaged</t>
  </si>
  <si>
    <t>Difference &gt; 5 °C → code −2, D4 ON, fan holds last PWM</t>
  </si>
  <si>
    <t>Failed or detached sensor is detected</t>
  </si>
  <si>
    <t>New feature</t>
  </si>
  <si>
    <t>Sustained maximum PWM</t>
  </si>
  <si>
    <t>Not detected</t>
  </si>
  <si>
    <t>2 consecutive cycles at PWM 320 → D4 ON + buzzer; kept while above 50 °C</t>
  </si>
  <si>
    <t>Audible warning of thermal overload</t>
  </si>
  <si>
    <t>Fan startup test failure</t>
  </si>
  <si>
    <t>Board LED D4 ON</t>
  </si>
  <si>
    <t>Fan LED D6 ON</t>
  </si>
  <si>
    <t>Update service documentation</t>
  </si>
  <si>
    <t>Behaviour change</t>
  </si>
  <si>
    <t>FG pulse counter access</t>
  </si>
  <si>
    <t>Non-atomic 16-bit read/reset</t>
  </si>
  <si>
    <t>Atomic (interrupts disabled)</t>
  </si>
  <si>
    <t>No corrupted pulse counts</t>
  </si>
  <si>
    <t>Pulse counter reset vs alarm</t>
  </si>
  <si>
    <t>Reset after the ~1.1 s alarm (pulses discarded)</t>
  </si>
  <si>
    <t>Reset before the alarm</t>
  </si>
  <si>
    <t>Fan recovery detected one cycle sooner</t>
  </si>
  <si>
    <t>Behaviour change (minor)</t>
  </si>
  <si>
    <t>Watchdog</t>
  </si>
  <si>
    <t>None</t>
  </si>
  <si>
    <t>Disabled at boot, 8 s enabled after setup, reset every loop</t>
  </si>
  <si>
    <t>Automatic recovery from a firmware hang</t>
  </si>
  <si>
    <t>Serial port</t>
  </si>
  <si>
    <t>Always initialised</t>
  </si>
  <si>
    <t>Only with DEBUG_FLAG 1</t>
  </si>
  <si>
    <t>No UART overhead in production</t>
  </si>
  <si>
    <t>Internal</t>
  </si>
  <si>
    <t>Fan test result storage</t>
  </si>
  <si>
    <t>String object ("PASSED"/"NOT_PASSED")</t>
  </si>
  <si>
    <t>bool</t>
  </si>
  <si>
    <t>Less RAM, no heap use</t>
  </si>
  <si>
    <t>Fault alarm duration</t>
  </si>
  <si>
    <t>1100 ms (trailing 50 ms gap)</t>
  </si>
  <si>
    <t>1050 ms</t>
  </si>
  <si>
    <t>None audible</t>
  </si>
  <si>
    <t>Fan test initial delay</t>
  </si>
  <si>
    <t>100 ms</t>
  </si>
  <si>
    <t>300 ms</t>
  </si>
  <si>
    <t>Slightly more settling before the test</t>
  </si>
  <si>
    <t>Constant change</t>
  </si>
  <si>
    <t>Corrections applied during the review</t>
  </si>
  <si>
    <t>Status verified against the uploaded smart_fan_temperature_controller_fw_v1.0.0.ino.</t>
  </si>
  <si>
    <t>Correction</t>
  </si>
  <si>
    <t>Location (current file)</t>
  </si>
  <si>
    <t>Priority</t>
  </si>
  <si>
    <t>ceil() instead of round() in temperatureToPWM</t>
  </si>
  <si>
    <t>line 312</t>
  </si>
  <si>
    <t>Critical</t>
  </si>
  <si>
    <t>Done</t>
  </si>
  <si>
    <t>Divergence check compares temperatures, not booleans</t>
  </si>
  <si>
    <t>line 286</t>
  </si>
  <si>
    <t>Divergence checked before range check</t>
  </si>
  <si>
    <t>lines 304–310</t>
  </si>
  <si>
    <t>updateFanPWM rejects negative codes (+ upper bound PWM_TOP)</t>
  </si>
  <si>
    <t>line 318</t>
  </si>
  <si>
    <t>Max-PWM counter capped; error codes do not reset it</t>
  </si>
  <si>
    <t>lines 362–370</t>
  </si>
  <si>
    <t>MCUSR = 0; wdt_disable(); at start of setup()</t>
  </si>
  <si>
    <t>lines 152–153</t>
  </si>
  <si>
    <t>Production safety</t>
  </si>
  <si>
    <t>DEBUG_FLAG moved to top of file</t>
  </si>
  <si>
    <t>line 11</t>
  </si>
  <si>
    <t>Cycle separator in serial output</t>
  </si>
  <si>
    <t>line 178</t>
  </si>
  <si>
    <t>Debug</t>
  </si>
  <si>
    <t>"Fahrenheit sensor (as C)" label</t>
  </si>
  <si>
    <t>line 291</t>
  </si>
  <si>
    <t>OCR1A applied printed</t>
  </si>
  <si>
    <t>lines 209–210</t>
  </si>
  <si>
    <t>Alarm debug message printed before the beeps</t>
  </si>
  <si>
    <t>lines 344–347</t>
  </si>
  <si>
    <t>16 MHz timer comment</t>
  </si>
  <si>
    <t>line 52</t>
  </si>
  <si>
    <t>Clarity</t>
  </si>
  <si>
    <t>Temperature variable names in loop()</t>
  </si>
  <si>
    <t>lines 183–187</t>
  </si>
  <si>
    <t>High-PWM constants in own section</t>
  </si>
  <si>
    <t>lines 97–103</t>
  </si>
  <si>
    <t>countWindowStart (camelCase)</t>
  </si>
  <si>
    <t>line 227</t>
  </si>
  <si>
    <t>Fan test comment "more than 56"</t>
  </si>
  <si>
    <t>line 242</t>
  </si>
  <si>
    <t>Comment still says round(temperature) – should say ceil</t>
  </si>
  <si>
    <t>line 302</t>
  </si>
  <si>
    <t>Cosmetic</t>
  </si>
  <si>
    <t>Open (no functional effect)</t>
  </si>
  <si>
    <t>Counter comment wording ("no overflow after ~55 hours")</t>
  </si>
  <si>
    <t>line 365</t>
  </si>
  <si>
    <t>Alarm debug message could name which condition fired</t>
  </si>
  <si>
    <t>line 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</si>
</sst>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name val="Courier New"/>
      <family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D9E1F2"/>
      </patternFill>
    </fill>
    <fill>
      <patternFill patternType="solid">
        <fgColor rgb="FFFFF2CC"/>
        <bgColor rgb="FFEDEDED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center" vertical="top" wrapText="1"/>
    </xf>
    <xf numFmtId="0" fontId="6" fillId="0" borderId="0" xfId="0" applyFont="1"/>
    <xf numFmtId="0" fontId="7" fillId="0" borderId="1" xfId="0" applyFont="1" applyBorder="1"/>
    <xf numFmtId="0" fontId="4" fillId="0" borderId="0" xfId="0" applyFont="1"/>
    <xf numFmtId="0" fontId="4" fillId="3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7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1" fontId="4" fillId="3" borderId="1" xfId="0" applyNumberFormat="1" applyFont="1" applyFill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wrapText="1"/>
    </xf>
    <xf numFmtId="2" fontId="4" fillId="3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8" borderId="0" xfId="0" applyFont="1" applyFill="1"/>
    <xf numFmtId="0" fontId="0" fillId="8" borderId="0" xfId="0" applyFill="1"/>
    <xf numFmtId="0" fontId="4" fillId="3" borderId="1" xfId="0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horizontal="center" vertical="top" wrapText="1"/>
    </xf>
    <xf numFmtId="10" fontId="4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6" fontId="7" fillId="0" borderId="1" xfId="0" applyNumberFormat="1" applyFont="1" applyBorder="1" applyAlignment="1">
      <alignment horizontal="center" vertical="top" wrapText="1"/>
    </xf>
    <xf numFmtId="166" fontId="4" fillId="0" borderId="1" xfId="0" applyNumberFormat="1" applyFont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</cellXfs>
  <cellStyles count="1">
    <cellStyle name="Normal" xfId="0" builtinId="0"/>
  </cellStyles>
  <dxfs count="30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zoomScale="90" zoomScaleNormal="90" workbookViewId="0"/>
  </sheetViews>
  <sheetFormatPr baseColWidth="10" defaultColWidth="8.6640625" defaultRowHeight="15" x14ac:dyDescent="0.2"/>
  <cols>
    <col min="1" max="1" width="34" customWidth="1"/>
    <col min="2" max="2" width="12" customWidth="1"/>
    <col min="3" max="4" width="15" customWidth="1"/>
    <col min="5" max="5" width="16" customWidth="1"/>
    <col min="6" max="6" width="70" customWidth="1"/>
  </cols>
  <sheetData>
    <row r="1" spans="1:6" ht="18" x14ac:dyDescent="0.2">
      <c r="A1" s="3" t="s">
        <v>0</v>
      </c>
    </row>
    <row r="2" spans="1:6" x14ac:dyDescent="0.2">
      <c r="A2" s="4" t="s">
        <v>1</v>
      </c>
    </row>
    <row r="4" spans="1:6" ht="15.75" customHeight="1" x14ac:dyDescent="0.2">
      <c r="A4" s="5" t="s">
        <v>2</v>
      </c>
      <c r="B4" s="2" t="s">
        <v>3</v>
      </c>
      <c r="C4" s="2"/>
      <c r="D4" s="2"/>
      <c r="E4" s="2"/>
      <c r="F4" s="2"/>
    </row>
    <row r="5" spans="1:6" ht="15.75" customHeight="1" x14ac:dyDescent="0.2">
      <c r="A5" s="5" t="s">
        <v>4</v>
      </c>
      <c r="B5" s="2" t="s">
        <v>5</v>
      </c>
      <c r="C5" s="2"/>
      <c r="D5" s="2"/>
      <c r="E5" s="2"/>
      <c r="F5" s="2"/>
    </row>
    <row r="6" spans="1:6" ht="15.75" customHeight="1" x14ac:dyDescent="0.2">
      <c r="A6" s="5" t="s">
        <v>6</v>
      </c>
      <c r="B6" s="2" t="s">
        <v>7</v>
      </c>
      <c r="C6" s="2"/>
      <c r="D6" s="2"/>
      <c r="E6" s="2"/>
      <c r="F6" s="2"/>
    </row>
    <row r="7" spans="1:6" ht="15.75" customHeight="1" x14ac:dyDescent="0.2">
      <c r="A7" s="5" t="s">
        <v>8</v>
      </c>
      <c r="B7" s="2" t="s">
        <v>9</v>
      </c>
      <c r="C7" s="2"/>
      <c r="D7" s="2"/>
      <c r="E7" s="2"/>
      <c r="F7" s="2"/>
    </row>
    <row r="8" spans="1:6" ht="42" customHeight="1" x14ac:dyDescent="0.2">
      <c r="A8" s="5" t="s">
        <v>10</v>
      </c>
      <c r="B8" s="2" t="s">
        <v>11</v>
      </c>
      <c r="C8" s="2"/>
      <c r="D8" s="2"/>
      <c r="E8" s="2"/>
      <c r="F8" s="2"/>
    </row>
    <row r="9" spans="1:6" ht="15.75" customHeight="1" x14ac:dyDescent="0.2">
      <c r="A9" s="5" t="s">
        <v>12</v>
      </c>
      <c r="B9" s="2" t="s">
        <v>13</v>
      </c>
      <c r="C9" s="2"/>
      <c r="D9" s="2"/>
      <c r="E9" s="2"/>
      <c r="F9" s="2"/>
    </row>
    <row r="11" spans="1:6" x14ac:dyDescent="0.2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</row>
    <row r="12" spans="1:6" ht="28" x14ac:dyDescent="0.2">
      <c r="A12" s="7" t="s">
        <v>20</v>
      </c>
      <c r="B12" s="8">
        <f>COUNTA(Temp_to_PWM!A5:A475)</f>
        <v>471</v>
      </c>
      <c r="C12" s="8">
        <f>COUNTIF(Temp_to_PWM!G5:G475,"Identical")+COUNTIF(Temp_to_PWM!G5:G475,"Both error")</f>
        <v>460</v>
      </c>
      <c r="D12" s="8">
        <f>COUNTIF(Temp_to_PWM!G5:G475,"Fixed*")</f>
        <v>10</v>
      </c>
      <c r="E12" s="8">
        <f>COUNTIF(Temp_to_PWM!G5:G475,"Different")</f>
        <v>1</v>
      </c>
      <c r="F12" s="7" t="s">
        <v>21</v>
      </c>
    </row>
    <row r="13" spans="1:6" x14ac:dyDescent="0.2">
      <c r="A13" s="7" t="s">
        <v>22</v>
      </c>
      <c r="B13" s="8">
        <f>COUNTA(Sensor_Inputs!B5:B21)</f>
        <v>17</v>
      </c>
      <c r="C13" s="8">
        <f>COUNTIF(Sensor_Inputs!O5:O21,"Identical")+COUNTIF(Sensor_Inputs!O5:O21,"Both error")</f>
        <v>14</v>
      </c>
      <c r="D13" s="8">
        <f>COUNTIF(Sensor_Inputs!O5:O21,"Fixed*")+COUNTIF(Sensor_Inputs!O5:O21,"New:*")</f>
        <v>3</v>
      </c>
      <c r="E13" s="8">
        <f>COUNTIF(Sensor_Inputs!O5:O21,"Different")</f>
        <v>0</v>
      </c>
      <c r="F13" s="7" t="s">
        <v>23</v>
      </c>
    </row>
    <row r="14" spans="1:6" x14ac:dyDescent="0.2">
      <c r="A14" s="7" t="s">
        <v>24</v>
      </c>
      <c r="B14" s="8">
        <f>COUNTA(LED_Alarm_Matrix!B5:B32)</f>
        <v>28</v>
      </c>
      <c r="C14" s="8">
        <f>COUNTIF(LED_Alarm_Matrix!O5:O32,"Same")</f>
        <v>14</v>
      </c>
      <c r="D14" s="8">
        <f>COUNTIF(LED_Alarm_Matrix!O5:O32,"Changed*")</f>
        <v>14</v>
      </c>
      <c r="E14" s="8">
        <v>0</v>
      </c>
      <c r="F14" s="7" t="s">
        <v>25</v>
      </c>
    </row>
    <row r="15" spans="1:6" x14ac:dyDescent="0.2">
      <c r="A15" s="7" t="s">
        <v>26</v>
      </c>
      <c r="B15" s="8">
        <f>COUNTA(Fan_Startup_Test!A5:A20)</f>
        <v>16</v>
      </c>
      <c r="C15" s="8">
        <f>COUNTIF(Fan_Startup_Test!G5:G20,"Identical")</f>
        <v>16</v>
      </c>
      <c r="D15" s="8">
        <v>0</v>
      </c>
      <c r="E15" s="8">
        <f>COUNTIF(Fan_Startup_Test!F5:F20,"CHECK")+COUNTIF(Fan_Startup_Test!G5:G20,"Different")</f>
        <v>0</v>
      </c>
      <c r="F15" s="7" t="s">
        <v>27</v>
      </c>
    </row>
    <row r="16" spans="1:6" x14ac:dyDescent="0.2">
      <c r="A16" s="7" t="s">
        <v>28</v>
      </c>
      <c r="B16" s="8">
        <f>ADC_Sweep!B11</f>
        <v>1048576</v>
      </c>
      <c r="C16" s="8">
        <f>ADC_Sweep!B5+ADC_Sweep!B6</f>
        <v>1002064</v>
      </c>
      <c r="D16" s="8">
        <f>ADC_Sweep!B8+ADC_Sweep!B9</f>
        <v>46512</v>
      </c>
      <c r="E16" s="8">
        <f>ADC_Sweep!B7+ADC_Sweep!B10</f>
        <v>0</v>
      </c>
      <c r="F16" s="7" t="str">
        <f>ADC_Sweep!B13</f>
        <v>Match: identical to v0.2.1 for every valid reading</v>
      </c>
    </row>
    <row r="17" spans="1:6" ht="28" x14ac:dyDescent="0.2">
      <c r="A17" s="7" t="s">
        <v>29</v>
      </c>
      <c r="B17" s="8">
        <v>48</v>
      </c>
      <c r="C17" s="8" t="s">
        <v>30</v>
      </c>
      <c r="D17" s="8" t="s">
        <v>30</v>
      </c>
      <c r="E17" s="8" t="s">
        <v>30</v>
      </c>
      <c r="F17" s="7" t="s">
        <v>31</v>
      </c>
    </row>
    <row r="18" spans="1:6" x14ac:dyDescent="0.2">
      <c r="A18" s="7" t="s">
        <v>32</v>
      </c>
      <c r="B18" s="8">
        <v>2</v>
      </c>
      <c r="C18" s="8">
        <f>COUNTIF(Watchdog_Timing!B22:C22,"OK")</f>
        <v>2</v>
      </c>
      <c r="D18" s="8">
        <v>0</v>
      </c>
      <c r="E18" s="8">
        <f>COUNTIF(Watchdog_Timing!B22:C22,"CHECK")</f>
        <v>0</v>
      </c>
      <c r="F18" s="7" t="s">
        <v>33</v>
      </c>
    </row>
    <row r="20" spans="1:6" x14ac:dyDescent="0.2">
      <c r="A20" s="9" t="s">
        <v>34</v>
      </c>
    </row>
    <row r="21" spans="1:6" ht="48" customHeight="1" x14ac:dyDescent="0.2">
      <c r="A21" s="2" t="s">
        <v>35</v>
      </c>
      <c r="B21" s="2"/>
      <c r="C21" s="2"/>
      <c r="D21" s="2"/>
      <c r="E21" s="2"/>
      <c r="F21" s="2"/>
    </row>
    <row r="23" spans="1:6" x14ac:dyDescent="0.2">
      <c r="A23" s="9" t="s">
        <v>36</v>
      </c>
    </row>
    <row r="24" spans="1:6" x14ac:dyDescent="0.2">
      <c r="A24" s="10" t="s">
        <v>37</v>
      </c>
      <c r="B24" s="11" t="s">
        <v>38</v>
      </c>
    </row>
    <row r="25" spans="1:6" x14ac:dyDescent="0.2">
      <c r="A25" s="12" t="s">
        <v>39</v>
      </c>
      <c r="B25" s="11" t="s">
        <v>40</v>
      </c>
    </row>
    <row r="26" spans="1:6" x14ac:dyDescent="0.2">
      <c r="A26" s="13" t="s">
        <v>41</v>
      </c>
      <c r="B26" s="11" t="s">
        <v>42</v>
      </c>
    </row>
    <row r="27" spans="1:6" x14ac:dyDescent="0.2">
      <c r="A27" s="14" t="s">
        <v>43</v>
      </c>
      <c r="B27" s="11" t="s">
        <v>44</v>
      </c>
    </row>
    <row r="28" spans="1:6" x14ac:dyDescent="0.2">
      <c r="A28" s="15" t="s">
        <v>45</v>
      </c>
      <c r="B28" s="11" t="s">
        <v>16</v>
      </c>
    </row>
    <row r="29" spans="1:6" x14ac:dyDescent="0.2">
      <c r="A29" s="16" t="s">
        <v>46</v>
      </c>
      <c r="B29" s="11" t="s">
        <v>47</v>
      </c>
    </row>
    <row r="30" spans="1:6" x14ac:dyDescent="0.2">
      <c r="A30" s="17" t="s">
        <v>48</v>
      </c>
      <c r="B30" s="11" t="s">
        <v>49</v>
      </c>
    </row>
  </sheetData>
  <mergeCells count="7">
    <mergeCell ref="B9:F9"/>
    <mergeCell ref="A21:F21"/>
    <mergeCell ref="B4:F4"/>
    <mergeCell ref="B5:F5"/>
    <mergeCell ref="B6:F6"/>
    <mergeCell ref="B7:F7"/>
    <mergeCell ref="B8:F8"/>
  </mergeCells>
  <conditionalFormatting sqref="F16">
    <cfRule type="expression" dxfId="29" priority="2">
      <formula>OR(NOT(ISERROR(SEARCH("Identical",F16))),NOT(ISERROR(SEARCH("Same",F16))),NOT(ISERROR(SEARCH("OK",F16))),NOT(ISERROR(SEARCH("Both error",F16))),NOT(ISERROR(SEARCH("Match",F16))))</formula>
    </cfRule>
    <cfRule type="expression" dxfId="28" priority="3">
      <formula>OR(NOT(ISERROR(SEARCH("Fixed",F16))),NOT(ISERROR(SEARCH("Changed",F16))),NOT(ISERROR(SEARCH("New:",F16))),NOT(ISERROR(SEARCH("Intended",F16))))</formula>
    </cfRule>
    <cfRule type="expression" dxfId="27" priority="4">
      <formula>OR(NOT(ISERROR(SEARCH("Different",F16))),NOT(ISERROR(SEARCH("CHECK",F16))),NOT(ISERROR(SEARCH("MISMATCH",F16))))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="90" zoomScaleNormal="9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10" customWidth="1"/>
    <col min="3" max="3" width="11" customWidth="1"/>
    <col min="4" max="4" width="58" customWidth="1"/>
    <col min="5" max="5" width="26" customWidth="1"/>
  </cols>
  <sheetData>
    <row r="1" spans="1:5" ht="18" x14ac:dyDescent="0.2">
      <c r="A1" s="3" t="s">
        <v>50</v>
      </c>
    </row>
    <row r="2" spans="1:5" x14ac:dyDescent="0.2">
      <c r="A2" s="4" t="s">
        <v>51</v>
      </c>
    </row>
    <row r="4" spans="1:5" x14ac:dyDescent="0.2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</row>
    <row r="5" spans="1:5" x14ac:dyDescent="0.2">
      <c r="A5" s="7" t="s">
        <v>57</v>
      </c>
      <c r="B5" s="18">
        <v>320</v>
      </c>
      <c r="C5" s="7" t="s">
        <v>58</v>
      </c>
      <c r="D5" s="7" t="s">
        <v>59</v>
      </c>
      <c r="E5" s="7" t="s">
        <v>60</v>
      </c>
    </row>
    <row r="6" spans="1:5" x14ac:dyDescent="0.2">
      <c r="A6" s="7" t="s">
        <v>61</v>
      </c>
      <c r="B6" s="18">
        <v>5</v>
      </c>
      <c r="C6" s="7" t="s">
        <v>58</v>
      </c>
      <c r="D6" s="7" t="s">
        <v>62</v>
      </c>
      <c r="E6" s="7" t="s">
        <v>63</v>
      </c>
    </row>
    <row r="7" spans="1:5" x14ac:dyDescent="0.2">
      <c r="A7" s="7" t="s">
        <v>64</v>
      </c>
      <c r="B7" s="18">
        <v>7</v>
      </c>
      <c r="C7" s="7" t="s">
        <v>65</v>
      </c>
      <c r="D7" s="7" t="s">
        <v>66</v>
      </c>
      <c r="E7" s="7" t="s">
        <v>67</v>
      </c>
    </row>
    <row r="8" spans="1:5" x14ac:dyDescent="0.2">
      <c r="A8" s="7" t="s">
        <v>68</v>
      </c>
      <c r="B8" s="18">
        <v>5</v>
      </c>
      <c r="C8" s="7" t="s">
        <v>69</v>
      </c>
      <c r="D8" s="7" t="s">
        <v>70</v>
      </c>
      <c r="E8" s="7" t="s">
        <v>71</v>
      </c>
    </row>
    <row r="9" spans="1:5" x14ac:dyDescent="0.2">
      <c r="A9" s="7" t="s">
        <v>72</v>
      </c>
      <c r="B9" s="18">
        <v>50</v>
      </c>
      <c r="C9" s="7" t="s">
        <v>69</v>
      </c>
      <c r="D9" s="7" t="s">
        <v>73</v>
      </c>
      <c r="E9" s="7" t="s">
        <v>74</v>
      </c>
    </row>
    <row r="10" spans="1:5" x14ac:dyDescent="0.2">
      <c r="A10" s="7" t="s">
        <v>75</v>
      </c>
      <c r="B10" s="18">
        <v>5</v>
      </c>
      <c r="C10" s="7" t="s">
        <v>69</v>
      </c>
      <c r="D10" s="7" t="s">
        <v>76</v>
      </c>
      <c r="E10" s="7" t="s">
        <v>77</v>
      </c>
    </row>
    <row r="11" spans="1:5" x14ac:dyDescent="0.2">
      <c r="A11" s="7" t="s">
        <v>78</v>
      </c>
      <c r="B11" s="18">
        <v>-1</v>
      </c>
      <c r="C11" s="7" t="s">
        <v>79</v>
      </c>
      <c r="D11" s="7" t="s">
        <v>80</v>
      </c>
      <c r="E11" s="7" t="s">
        <v>81</v>
      </c>
    </row>
    <row r="12" spans="1:5" x14ac:dyDescent="0.2">
      <c r="A12" s="7" t="s">
        <v>82</v>
      </c>
      <c r="B12" s="18">
        <v>-2</v>
      </c>
      <c r="C12" s="7" t="s">
        <v>79</v>
      </c>
      <c r="D12" s="7" t="s">
        <v>83</v>
      </c>
      <c r="E12" s="7" t="s">
        <v>84</v>
      </c>
    </row>
    <row r="13" spans="1:5" x14ac:dyDescent="0.2">
      <c r="A13" s="7" t="s">
        <v>85</v>
      </c>
      <c r="B13" s="18">
        <v>15797</v>
      </c>
      <c r="C13" s="7" t="s">
        <v>79</v>
      </c>
      <c r="D13" s="7" t="s">
        <v>86</v>
      </c>
      <c r="E13" s="7" t="s">
        <v>87</v>
      </c>
    </row>
    <row r="14" spans="1:5" x14ac:dyDescent="0.2">
      <c r="A14" s="7" t="s">
        <v>88</v>
      </c>
      <c r="B14" s="18">
        <v>52</v>
      </c>
      <c r="C14" s="7" t="s">
        <v>89</v>
      </c>
      <c r="D14" s="7" t="s">
        <v>90</v>
      </c>
      <c r="E14" s="7" t="s">
        <v>91</v>
      </c>
    </row>
    <row r="15" spans="1:5" x14ac:dyDescent="0.2">
      <c r="A15" s="7" t="s">
        <v>92</v>
      </c>
      <c r="B15" s="18">
        <v>57</v>
      </c>
      <c r="C15" s="7" t="s">
        <v>89</v>
      </c>
      <c r="D15" s="7" t="s">
        <v>93</v>
      </c>
      <c r="E15" s="7" t="s">
        <v>94</v>
      </c>
    </row>
    <row r="16" spans="1:5" x14ac:dyDescent="0.2">
      <c r="A16" s="7" t="s">
        <v>95</v>
      </c>
      <c r="B16" s="18">
        <v>128</v>
      </c>
      <c r="C16" s="7" t="s">
        <v>58</v>
      </c>
      <c r="D16" s="7" t="s">
        <v>96</v>
      </c>
      <c r="E16" s="7" t="s">
        <v>97</v>
      </c>
    </row>
    <row r="17" spans="1:5" x14ac:dyDescent="0.2">
      <c r="A17" s="7" t="s">
        <v>98</v>
      </c>
      <c r="B17" s="18">
        <v>300</v>
      </c>
      <c r="C17" s="7" t="s">
        <v>99</v>
      </c>
      <c r="D17" s="7" t="s">
        <v>100</v>
      </c>
      <c r="E17" s="7" t="s">
        <v>101</v>
      </c>
    </row>
    <row r="18" spans="1:5" x14ac:dyDescent="0.2">
      <c r="A18" s="7" t="s">
        <v>102</v>
      </c>
      <c r="B18" s="18">
        <v>3000</v>
      </c>
      <c r="C18" s="7" t="s">
        <v>99</v>
      </c>
      <c r="D18" s="7" t="s">
        <v>103</v>
      </c>
      <c r="E18" s="7" t="s">
        <v>104</v>
      </c>
    </row>
    <row r="19" spans="1:5" x14ac:dyDescent="0.2">
      <c r="A19" s="7" t="s">
        <v>105</v>
      </c>
      <c r="B19" s="18">
        <v>1000</v>
      </c>
      <c r="C19" s="7" t="s">
        <v>99</v>
      </c>
      <c r="D19" s="7" t="s">
        <v>106</v>
      </c>
      <c r="E19" s="7" t="s">
        <v>107</v>
      </c>
    </row>
    <row r="20" spans="1:5" x14ac:dyDescent="0.2">
      <c r="A20" s="7" t="s">
        <v>108</v>
      </c>
      <c r="B20" s="18">
        <v>1000</v>
      </c>
      <c r="C20" s="7" t="s">
        <v>99</v>
      </c>
      <c r="D20" s="7" t="s">
        <v>109</v>
      </c>
      <c r="E20" s="7" t="s">
        <v>110</v>
      </c>
    </row>
    <row r="21" spans="1:5" x14ac:dyDescent="0.2">
      <c r="A21" s="7" t="s">
        <v>111</v>
      </c>
      <c r="B21" s="18">
        <v>5000</v>
      </c>
      <c r="C21" s="7" t="s">
        <v>99</v>
      </c>
      <c r="D21" s="7" t="s">
        <v>112</v>
      </c>
      <c r="E21" s="7" t="s">
        <v>113</v>
      </c>
    </row>
    <row r="22" spans="1:5" x14ac:dyDescent="0.2">
      <c r="A22" s="7" t="s">
        <v>114</v>
      </c>
      <c r="B22" s="18">
        <v>500</v>
      </c>
      <c r="C22" s="7" t="s">
        <v>99</v>
      </c>
      <c r="D22" s="7" t="s">
        <v>115</v>
      </c>
      <c r="E22" s="7" t="s">
        <v>116</v>
      </c>
    </row>
    <row r="23" spans="1:5" x14ac:dyDescent="0.2">
      <c r="A23" s="7" t="s">
        <v>117</v>
      </c>
      <c r="B23" s="18">
        <v>50</v>
      </c>
      <c r="C23" s="7" t="s">
        <v>99</v>
      </c>
      <c r="D23" s="7" t="s">
        <v>118</v>
      </c>
      <c r="E23" s="7" t="s">
        <v>119</v>
      </c>
    </row>
    <row r="24" spans="1:5" x14ac:dyDescent="0.2">
      <c r="A24" s="7" t="s">
        <v>120</v>
      </c>
      <c r="B24" s="18">
        <v>320</v>
      </c>
      <c r="C24" s="7" t="s">
        <v>58</v>
      </c>
      <c r="D24" s="7" t="s">
        <v>121</v>
      </c>
      <c r="E24" s="7" t="s">
        <v>122</v>
      </c>
    </row>
    <row r="25" spans="1:5" x14ac:dyDescent="0.2">
      <c r="A25" s="7" t="s">
        <v>123</v>
      </c>
      <c r="B25" s="18">
        <v>2</v>
      </c>
      <c r="C25" s="7" t="s">
        <v>124</v>
      </c>
      <c r="D25" s="7" t="s">
        <v>125</v>
      </c>
      <c r="E25" s="7" t="s">
        <v>126</v>
      </c>
    </row>
    <row r="26" spans="1:5" x14ac:dyDescent="0.2">
      <c r="A26" s="7" t="s">
        <v>127</v>
      </c>
      <c r="B26" s="18">
        <v>8000</v>
      </c>
      <c r="C26" s="7" t="s">
        <v>99</v>
      </c>
      <c r="D26" s="7" t="s">
        <v>128</v>
      </c>
      <c r="E26" s="7" t="s">
        <v>129</v>
      </c>
    </row>
    <row r="27" spans="1:5" x14ac:dyDescent="0.2">
      <c r="A27" s="7" t="s">
        <v>130</v>
      </c>
      <c r="B27" s="18">
        <v>410.3</v>
      </c>
      <c r="C27" s="7" t="s">
        <v>131</v>
      </c>
      <c r="D27" s="7" t="s">
        <v>132</v>
      </c>
      <c r="E27" s="7" t="s">
        <v>133</v>
      </c>
    </row>
    <row r="28" spans="1:5" x14ac:dyDescent="0.2">
      <c r="A28" s="7" t="s">
        <v>134</v>
      </c>
      <c r="B28" s="18">
        <v>0.01</v>
      </c>
      <c r="C28" s="7" t="s">
        <v>135</v>
      </c>
      <c r="D28" s="7" t="s">
        <v>136</v>
      </c>
      <c r="E28" s="7" t="s">
        <v>137</v>
      </c>
    </row>
    <row r="29" spans="1:5" ht="28" x14ac:dyDescent="0.2">
      <c r="A29" s="7" t="s">
        <v>138</v>
      </c>
      <c r="B29" s="18">
        <v>0.55549999999999999</v>
      </c>
      <c r="C29" s="7" t="s">
        <v>30</v>
      </c>
      <c r="D29" s="7" t="s">
        <v>139</v>
      </c>
      <c r="E29" s="7" t="s">
        <v>140</v>
      </c>
    </row>
    <row r="30" spans="1:5" x14ac:dyDescent="0.2">
      <c r="A30" s="7" t="s">
        <v>141</v>
      </c>
      <c r="B30" s="18">
        <v>30</v>
      </c>
      <c r="C30" s="7" t="s">
        <v>142</v>
      </c>
      <c r="D30" s="7" t="s">
        <v>143</v>
      </c>
      <c r="E30" s="7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5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12" customWidth="1"/>
    <col min="3" max="3" width="11" customWidth="1"/>
    <col min="4" max="4" width="14" customWidth="1"/>
    <col min="5" max="5" width="12" customWidth="1"/>
    <col min="6" max="6" width="11" customWidth="1"/>
    <col min="7" max="7" width="17" customWidth="1"/>
    <col min="8" max="8" width="70" customWidth="1"/>
  </cols>
  <sheetData>
    <row r="1" spans="1:8" ht="18" x14ac:dyDescent="0.2">
      <c r="A1" s="3" t="s">
        <v>145</v>
      </c>
    </row>
    <row r="2" spans="1:8" x14ac:dyDescent="0.2">
      <c r="A2" s="4" t="s">
        <v>146</v>
      </c>
    </row>
    <row r="4" spans="1:8" ht="28" x14ac:dyDescent="0.2">
      <c r="A4" s="6" t="s">
        <v>147</v>
      </c>
      <c r="B4" s="19" t="s">
        <v>148</v>
      </c>
      <c r="C4" s="6" t="s">
        <v>149</v>
      </c>
      <c r="D4" s="6" t="s">
        <v>150</v>
      </c>
      <c r="E4" s="6" t="s">
        <v>151</v>
      </c>
      <c r="F4" s="6" t="s">
        <v>152</v>
      </c>
      <c r="G4" s="6" t="s">
        <v>153</v>
      </c>
      <c r="H4" s="6" t="s">
        <v>154</v>
      </c>
    </row>
    <row r="5" spans="1:8" x14ac:dyDescent="0.2">
      <c r="A5" s="20">
        <v>4</v>
      </c>
      <c r="B5" s="21">
        <v>15797</v>
      </c>
      <c r="C5" s="21">
        <v>-1</v>
      </c>
      <c r="D5" s="22">
        <f>IF(AND(A5&gt;=Constants!$B$8,A5&lt;=Constants!$B$9),Constants!$B$6+Constants!$B$7*(CEILING(A5,1)-Constants!$B$8),Constants!$B$11)</f>
        <v>-1</v>
      </c>
      <c r="E5" s="23" t="str">
        <f t="shared" ref="E5:E68" si="0">IF(C5=D5,"OK","CHECK")</f>
        <v>OK</v>
      </c>
      <c r="F5" s="24" t="str">
        <f>IF(C5&gt;=0,C5/Constants!$B$5,"n/a")</f>
        <v>n/a</v>
      </c>
      <c r="G5" s="23" t="str">
        <f>IF(AND(B5=Constants!$B$13,C5&lt;0),"Both error",IF(B5=C5,"Identical",IF(AND(B5=Constants!$B$13,C5&gt;=0),"Fixed in v1.0.0","Different")))</f>
        <v>Both error</v>
      </c>
      <c r="H5" s="7" t="s">
        <v>155</v>
      </c>
    </row>
    <row r="6" spans="1:8" x14ac:dyDescent="0.2">
      <c r="A6" s="20">
        <v>4.0999999999999996</v>
      </c>
      <c r="B6" s="21">
        <v>15797</v>
      </c>
      <c r="C6" s="21">
        <v>-1</v>
      </c>
      <c r="D6" s="22">
        <f>IF(AND(A6&gt;=Constants!$B$8,A6&lt;=Constants!$B$9),Constants!$B$6+Constants!$B$7*(CEILING(A6,1)-Constants!$B$8),Constants!$B$11)</f>
        <v>-1</v>
      </c>
      <c r="E6" s="23" t="str">
        <f t="shared" si="0"/>
        <v>OK</v>
      </c>
      <c r="F6" s="24" t="str">
        <f>IF(C6&gt;=0,C6/Constants!$B$5,"n/a")</f>
        <v>n/a</v>
      </c>
      <c r="G6" s="23" t="str">
        <f>IF(AND(B6=Constants!$B$13,C6&lt;0),"Both error",IF(B6=C6,"Identical",IF(AND(B6=Constants!$B$13,C6&gt;=0),"Fixed in v1.0.0","Different")))</f>
        <v>Both error</v>
      </c>
      <c r="H6" s="7" t="s">
        <v>155</v>
      </c>
    </row>
    <row r="7" spans="1:8" x14ac:dyDescent="0.2">
      <c r="A7" s="20">
        <v>4.2</v>
      </c>
      <c r="B7" s="21">
        <v>15797</v>
      </c>
      <c r="C7" s="21">
        <v>-1</v>
      </c>
      <c r="D7" s="22">
        <f>IF(AND(A7&gt;=Constants!$B$8,A7&lt;=Constants!$B$9),Constants!$B$6+Constants!$B$7*(CEILING(A7,1)-Constants!$B$8),Constants!$B$11)</f>
        <v>-1</v>
      </c>
      <c r="E7" s="23" t="str">
        <f t="shared" si="0"/>
        <v>OK</v>
      </c>
      <c r="F7" s="24" t="str">
        <f>IF(C7&gt;=0,C7/Constants!$B$5,"n/a")</f>
        <v>n/a</v>
      </c>
      <c r="G7" s="23" t="str">
        <f>IF(AND(B7=Constants!$B$13,C7&lt;0),"Both error",IF(B7=C7,"Identical",IF(AND(B7=Constants!$B$13,C7&gt;=0),"Fixed in v1.0.0","Different")))</f>
        <v>Both error</v>
      </c>
      <c r="H7" s="7" t="s">
        <v>155</v>
      </c>
    </row>
    <row r="8" spans="1:8" x14ac:dyDescent="0.2">
      <c r="A8" s="20">
        <v>4.3</v>
      </c>
      <c r="B8" s="21">
        <v>15797</v>
      </c>
      <c r="C8" s="21">
        <v>-1</v>
      </c>
      <c r="D8" s="22">
        <f>IF(AND(A8&gt;=Constants!$B$8,A8&lt;=Constants!$B$9),Constants!$B$6+Constants!$B$7*(CEILING(A8,1)-Constants!$B$8),Constants!$B$11)</f>
        <v>-1</v>
      </c>
      <c r="E8" s="23" t="str">
        <f t="shared" si="0"/>
        <v>OK</v>
      </c>
      <c r="F8" s="24" t="str">
        <f>IF(C8&gt;=0,C8/Constants!$B$5,"n/a")</f>
        <v>n/a</v>
      </c>
      <c r="G8" s="23" t="str">
        <f>IF(AND(B8=Constants!$B$13,C8&lt;0),"Both error",IF(B8=C8,"Identical",IF(AND(B8=Constants!$B$13,C8&gt;=0),"Fixed in v1.0.0","Different")))</f>
        <v>Both error</v>
      </c>
      <c r="H8" s="7" t="s">
        <v>155</v>
      </c>
    </row>
    <row r="9" spans="1:8" x14ac:dyDescent="0.2">
      <c r="A9" s="20">
        <v>4.4000000000000004</v>
      </c>
      <c r="B9" s="21">
        <v>15797</v>
      </c>
      <c r="C9" s="21">
        <v>-1</v>
      </c>
      <c r="D9" s="22">
        <f>IF(AND(A9&gt;=Constants!$B$8,A9&lt;=Constants!$B$9),Constants!$B$6+Constants!$B$7*(CEILING(A9,1)-Constants!$B$8),Constants!$B$11)</f>
        <v>-1</v>
      </c>
      <c r="E9" s="23" t="str">
        <f t="shared" si="0"/>
        <v>OK</v>
      </c>
      <c r="F9" s="24" t="str">
        <f>IF(C9&gt;=0,C9/Constants!$B$5,"n/a")</f>
        <v>n/a</v>
      </c>
      <c r="G9" s="23" t="str">
        <f>IF(AND(B9=Constants!$B$13,C9&lt;0),"Both error",IF(B9=C9,"Identical",IF(AND(B9=Constants!$B$13,C9&gt;=0),"Fixed in v1.0.0","Different")))</f>
        <v>Both error</v>
      </c>
      <c r="H9" s="7" t="s">
        <v>155</v>
      </c>
    </row>
    <row r="10" spans="1:8" x14ac:dyDescent="0.2">
      <c r="A10" s="20">
        <v>4.5</v>
      </c>
      <c r="B10" s="21">
        <v>15797</v>
      </c>
      <c r="C10" s="21">
        <v>-1</v>
      </c>
      <c r="D10" s="22">
        <f>IF(AND(A10&gt;=Constants!$B$8,A10&lt;=Constants!$B$9),Constants!$B$6+Constants!$B$7*(CEILING(A10,1)-Constants!$B$8),Constants!$B$11)</f>
        <v>-1</v>
      </c>
      <c r="E10" s="23" t="str">
        <f t="shared" si="0"/>
        <v>OK</v>
      </c>
      <c r="F10" s="24" t="str">
        <f>IF(C10&gt;=0,C10/Constants!$B$5,"n/a")</f>
        <v>n/a</v>
      </c>
      <c r="G10" s="23" t="str">
        <f>IF(AND(B10=Constants!$B$13,C10&lt;0),"Both error",IF(B10=C10,"Identical",IF(AND(B10=Constants!$B$13,C10&gt;=0),"Fixed in v1.0.0","Different")))</f>
        <v>Both error</v>
      </c>
      <c r="H10" s="7" t="s">
        <v>155</v>
      </c>
    </row>
    <row r="11" spans="1:8" x14ac:dyDescent="0.2">
      <c r="A11" s="20">
        <v>4.5999999999999996</v>
      </c>
      <c r="B11" s="21">
        <v>15797</v>
      </c>
      <c r="C11" s="21">
        <v>-1</v>
      </c>
      <c r="D11" s="22">
        <f>IF(AND(A11&gt;=Constants!$B$8,A11&lt;=Constants!$B$9),Constants!$B$6+Constants!$B$7*(CEILING(A11,1)-Constants!$B$8),Constants!$B$11)</f>
        <v>-1</v>
      </c>
      <c r="E11" s="23" t="str">
        <f t="shared" si="0"/>
        <v>OK</v>
      </c>
      <c r="F11" s="24" t="str">
        <f>IF(C11&gt;=0,C11/Constants!$B$5,"n/a")</f>
        <v>n/a</v>
      </c>
      <c r="G11" s="23" t="str">
        <f>IF(AND(B11=Constants!$B$13,C11&lt;0),"Both error",IF(B11=C11,"Identical",IF(AND(B11=Constants!$B$13,C11&gt;=0),"Fixed in v1.0.0","Different")))</f>
        <v>Both error</v>
      </c>
      <c r="H11" s="7" t="s">
        <v>155</v>
      </c>
    </row>
    <row r="12" spans="1:8" x14ac:dyDescent="0.2">
      <c r="A12" s="20">
        <v>4.7</v>
      </c>
      <c r="B12" s="21">
        <v>15797</v>
      </c>
      <c r="C12" s="21">
        <v>-1</v>
      </c>
      <c r="D12" s="22">
        <f>IF(AND(A12&gt;=Constants!$B$8,A12&lt;=Constants!$B$9),Constants!$B$6+Constants!$B$7*(CEILING(A12,1)-Constants!$B$8),Constants!$B$11)</f>
        <v>-1</v>
      </c>
      <c r="E12" s="23" t="str">
        <f t="shared" si="0"/>
        <v>OK</v>
      </c>
      <c r="F12" s="24" t="str">
        <f>IF(C12&gt;=0,C12/Constants!$B$5,"n/a")</f>
        <v>n/a</v>
      </c>
      <c r="G12" s="23" t="str">
        <f>IF(AND(B12=Constants!$B$13,C12&lt;0),"Both error",IF(B12=C12,"Identical",IF(AND(B12=Constants!$B$13,C12&gt;=0),"Fixed in v1.0.0","Different")))</f>
        <v>Both error</v>
      </c>
      <c r="H12" s="7" t="s">
        <v>155</v>
      </c>
    </row>
    <row r="13" spans="1:8" x14ac:dyDescent="0.2">
      <c r="A13" s="20">
        <v>4.8</v>
      </c>
      <c r="B13" s="21">
        <v>15797</v>
      </c>
      <c r="C13" s="21">
        <v>-1</v>
      </c>
      <c r="D13" s="22">
        <f>IF(AND(A13&gt;=Constants!$B$8,A13&lt;=Constants!$B$9),Constants!$B$6+Constants!$B$7*(CEILING(A13,1)-Constants!$B$8),Constants!$B$11)</f>
        <v>-1</v>
      </c>
      <c r="E13" s="23" t="str">
        <f t="shared" si="0"/>
        <v>OK</v>
      </c>
      <c r="F13" s="24" t="str">
        <f>IF(C13&gt;=0,C13/Constants!$B$5,"n/a")</f>
        <v>n/a</v>
      </c>
      <c r="G13" s="23" t="str">
        <f>IF(AND(B13=Constants!$B$13,C13&lt;0),"Both error",IF(B13=C13,"Identical",IF(AND(B13=Constants!$B$13,C13&gt;=0),"Fixed in v1.0.0","Different")))</f>
        <v>Both error</v>
      </c>
      <c r="H13" s="7" t="s">
        <v>155</v>
      </c>
    </row>
    <row r="14" spans="1:8" x14ac:dyDescent="0.2">
      <c r="A14" s="20">
        <v>4.9000000000000004</v>
      </c>
      <c r="B14" s="21">
        <v>15797</v>
      </c>
      <c r="C14" s="21">
        <v>-1</v>
      </c>
      <c r="D14" s="22">
        <f>IF(AND(A14&gt;=Constants!$B$8,A14&lt;=Constants!$B$9),Constants!$B$6+Constants!$B$7*(CEILING(A14,1)-Constants!$B$8),Constants!$B$11)</f>
        <v>-1</v>
      </c>
      <c r="E14" s="23" t="str">
        <f t="shared" si="0"/>
        <v>OK</v>
      </c>
      <c r="F14" s="24" t="str">
        <f>IF(C14&gt;=0,C14/Constants!$B$5,"n/a")</f>
        <v>n/a</v>
      </c>
      <c r="G14" s="23" t="str">
        <f>IF(AND(B14=Constants!$B$13,C14&lt;0),"Both error",IF(B14=C14,"Identical",IF(AND(B14=Constants!$B$13,C14&gt;=0),"Fixed in v1.0.0","Different")))</f>
        <v>Both error</v>
      </c>
      <c r="H14" s="7" t="s">
        <v>155</v>
      </c>
    </row>
    <row r="15" spans="1:8" ht="28" x14ac:dyDescent="0.2">
      <c r="A15" s="20">
        <v>5</v>
      </c>
      <c r="B15" s="21">
        <v>12</v>
      </c>
      <c r="C15" s="21">
        <v>5</v>
      </c>
      <c r="D15" s="22">
        <f>IF(AND(A15&gt;=Constants!$B$8,A15&lt;=Constants!$B$9),Constants!$B$6+Constants!$B$7*(CEILING(A15,1)-Constants!$B$8),Constants!$B$11)</f>
        <v>5</v>
      </c>
      <c r="E15" s="23" t="str">
        <f t="shared" si="0"/>
        <v>OK</v>
      </c>
      <c r="F15" s="24">
        <f>IF(C15&gt;=0,C15/Constants!$B$5,"n/a")</f>
        <v>1.5625E-2</v>
      </c>
      <c r="G15" s="23" t="str">
        <f>IF(AND(B15=Constants!$B$13,C15&lt;0),"Both error",IF(B15=C15,"Identical",IF(AND(B15=Constants!$B$13,C15&gt;=0),"Fixed in v1.0.0","Different")))</f>
        <v>Different</v>
      </c>
      <c r="H15" s="7" t="s">
        <v>156</v>
      </c>
    </row>
    <row r="16" spans="1:8" x14ac:dyDescent="0.2">
      <c r="A16" s="20">
        <v>5.0999999999999996</v>
      </c>
      <c r="B16" s="21">
        <v>12</v>
      </c>
      <c r="C16" s="21">
        <v>12</v>
      </c>
      <c r="D16" s="22">
        <f>IF(AND(A16&gt;=Constants!$B$8,A16&lt;=Constants!$B$9),Constants!$B$6+Constants!$B$7*(CEILING(A16,1)-Constants!$B$8),Constants!$B$11)</f>
        <v>12</v>
      </c>
      <c r="E16" s="23" t="str">
        <f t="shared" si="0"/>
        <v>OK</v>
      </c>
      <c r="F16" s="24">
        <f>IF(C16&gt;=0,C16/Constants!$B$5,"n/a")</f>
        <v>3.7499999999999999E-2</v>
      </c>
      <c r="G16" s="23" t="str">
        <f>IF(AND(B16=Constants!$B$13,C16&lt;0),"Both error",IF(B16=C16,"Identical",IF(AND(B16=Constants!$B$13,C16&gt;=0),"Fixed in v1.0.0","Different")))</f>
        <v>Identical</v>
      </c>
      <c r="H16" s="7"/>
    </row>
    <row r="17" spans="1:8" x14ac:dyDescent="0.2">
      <c r="A17" s="20">
        <v>5.2</v>
      </c>
      <c r="B17" s="21">
        <v>12</v>
      </c>
      <c r="C17" s="21">
        <v>12</v>
      </c>
      <c r="D17" s="22">
        <f>IF(AND(A17&gt;=Constants!$B$8,A17&lt;=Constants!$B$9),Constants!$B$6+Constants!$B$7*(CEILING(A17,1)-Constants!$B$8),Constants!$B$11)</f>
        <v>12</v>
      </c>
      <c r="E17" s="23" t="str">
        <f t="shared" si="0"/>
        <v>OK</v>
      </c>
      <c r="F17" s="24">
        <f>IF(C17&gt;=0,C17/Constants!$B$5,"n/a")</f>
        <v>3.7499999999999999E-2</v>
      </c>
      <c r="G17" s="23" t="str">
        <f>IF(AND(B17=Constants!$B$13,C17&lt;0),"Both error",IF(B17=C17,"Identical",IF(AND(B17=Constants!$B$13,C17&gt;=0),"Fixed in v1.0.0","Different")))</f>
        <v>Identical</v>
      </c>
      <c r="H17" s="7"/>
    </row>
    <row r="18" spans="1:8" x14ac:dyDescent="0.2">
      <c r="A18" s="20">
        <v>5.3</v>
      </c>
      <c r="B18" s="21">
        <v>12</v>
      </c>
      <c r="C18" s="21">
        <v>12</v>
      </c>
      <c r="D18" s="22">
        <f>IF(AND(A18&gt;=Constants!$B$8,A18&lt;=Constants!$B$9),Constants!$B$6+Constants!$B$7*(CEILING(A18,1)-Constants!$B$8),Constants!$B$11)</f>
        <v>12</v>
      </c>
      <c r="E18" s="23" t="str">
        <f t="shared" si="0"/>
        <v>OK</v>
      </c>
      <c r="F18" s="24">
        <f>IF(C18&gt;=0,C18/Constants!$B$5,"n/a")</f>
        <v>3.7499999999999999E-2</v>
      </c>
      <c r="G18" s="23" t="str">
        <f>IF(AND(B18=Constants!$B$13,C18&lt;0),"Both error",IF(B18=C18,"Identical",IF(AND(B18=Constants!$B$13,C18&gt;=0),"Fixed in v1.0.0","Different")))</f>
        <v>Identical</v>
      </c>
      <c r="H18" s="7"/>
    </row>
    <row r="19" spans="1:8" x14ac:dyDescent="0.2">
      <c r="A19" s="20">
        <v>5.4</v>
      </c>
      <c r="B19" s="21">
        <v>12</v>
      </c>
      <c r="C19" s="21">
        <v>12</v>
      </c>
      <c r="D19" s="22">
        <f>IF(AND(A19&gt;=Constants!$B$8,A19&lt;=Constants!$B$9),Constants!$B$6+Constants!$B$7*(CEILING(A19,1)-Constants!$B$8),Constants!$B$11)</f>
        <v>12</v>
      </c>
      <c r="E19" s="23" t="str">
        <f t="shared" si="0"/>
        <v>OK</v>
      </c>
      <c r="F19" s="24">
        <f>IF(C19&gt;=0,C19/Constants!$B$5,"n/a")</f>
        <v>3.7499999999999999E-2</v>
      </c>
      <c r="G19" s="23" t="str">
        <f>IF(AND(B19=Constants!$B$13,C19&lt;0),"Both error",IF(B19=C19,"Identical",IF(AND(B19=Constants!$B$13,C19&gt;=0),"Fixed in v1.0.0","Different")))</f>
        <v>Identical</v>
      </c>
      <c r="H19" s="7"/>
    </row>
    <row r="20" spans="1:8" x14ac:dyDescent="0.2">
      <c r="A20" s="20">
        <v>5.5</v>
      </c>
      <c r="B20" s="21">
        <v>12</v>
      </c>
      <c r="C20" s="21">
        <v>12</v>
      </c>
      <c r="D20" s="22">
        <f>IF(AND(A20&gt;=Constants!$B$8,A20&lt;=Constants!$B$9),Constants!$B$6+Constants!$B$7*(CEILING(A20,1)-Constants!$B$8),Constants!$B$11)</f>
        <v>12</v>
      </c>
      <c r="E20" s="23" t="str">
        <f t="shared" si="0"/>
        <v>OK</v>
      </c>
      <c r="F20" s="24">
        <f>IF(C20&gt;=0,C20/Constants!$B$5,"n/a")</f>
        <v>3.7499999999999999E-2</v>
      </c>
      <c r="G20" s="23" t="str">
        <f>IF(AND(B20=Constants!$B$13,C20&lt;0),"Both error",IF(B20=C20,"Identical",IF(AND(B20=Constants!$B$13,C20&gt;=0),"Fixed in v1.0.0","Different")))</f>
        <v>Identical</v>
      </c>
      <c r="H20" s="7"/>
    </row>
    <row r="21" spans="1:8" x14ac:dyDescent="0.2">
      <c r="A21" s="20">
        <v>5.6</v>
      </c>
      <c r="B21" s="21">
        <v>12</v>
      </c>
      <c r="C21" s="21">
        <v>12</v>
      </c>
      <c r="D21" s="22">
        <f>IF(AND(A21&gt;=Constants!$B$8,A21&lt;=Constants!$B$9),Constants!$B$6+Constants!$B$7*(CEILING(A21,1)-Constants!$B$8),Constants!$B$11)</f>
        <v>12</v>
      </c>
      <c r="E21" s="23" t="str">
        <f t="shared" si="0"/>
        <v>OK</v>
      </c>
      <c r="F21" s="24">
        <f>IF(C21&gt;=0,C21/Constants!$B$5,"n/a")</f>
        <v>3.7499999999999999E-2</v>
      </c>
      <c r="G21" s="23" t="str">
        <f>IF(AND(B21=Constants!$B$13,C21&lt;0),"Both error",IF(B21=C21,"Identical",IF(AND(B21=Constants!$B$13,C21&gt;=0),"Fixed in v1.0.0","Different")))</f>
        <v>Identical</v>
      </c>
      <c r="H21" s="7"/>
    </row>
    <row r="22" spans="1:8" x14ac:dyDescent="0.2">
      <c r="A22" s="20">
        <v>5.7</v>
      </c>
      <c r="B22" s="21">
        <v>12</v>
      </c>
      <c r="C22" s="21">
        <v>12</v>
      </c>
      <c r="D22" s="22">
        <f>IF(AND(A22&gt;=Constants!$B$8,A22&lt;=Constants!$B$9),Constants!$B$6+Constants!$B$7*(CEILING(A22,1)-Constants!$B$8),Constants!$B$11)</f>
        <v>12</v>
      </c>
      <c r="E22" s="23" t="str">
        <f t="shared" si="0"/>
        <v>OK</v>
      </c>
      <c r="F22" s="24">
        <f>IF(C22&gt;=0,C22/Constants!$B$5,"n/a")</f>
        <v>3.7499999999999999E-2</v>
      </c>
      <c r="G22" s="23" t="str">
        <f>IF(AND(B22=Constants!$B$13,C22&lt;0),"Both error",IF(B22=C22,"Identical",IF(AND(B22=Constants!$B$13,C22&gt;=0),"Fixed in v1.0.0","Different")))</f>
        <v>Identical</v>
      </c>
      <c r="H22" s="7"/>
    </row>
    <row r="23" spans="1:8" x14ac:dyDescent="0.2">
      <c r="A23" s="20">
        <v>5.8</v>
      </c>
      <c r="B23" s="21">
        <v>12</v>
      </c>
      <c r="C23" s="21">
        <v>12</v>
      </c>
      <c r="D23" s="22">
        <f>IF(AND(A23&gt;=Constants!$B$8,A23&lt;=Constants!$B$9),Constants!$B$6+Constants!$B$7*(CEILING(A23,1)-Constants!$B$8),Constants!$B$11)</f>
        <v>12</v>
      </c>
      <c r="E23" s="23" t="str">
        <f t="shared" si="0"/>
        <v>OK</v>
      </c>
      <c r="F23" s="24">
        <f>IF(C23&gt;=0,C23/Constants!$B$5,"n/a")</f>
        <v>3.7499999999999999E-2</v>
      </c>
      <c r="G23" s="23" t="str">
        <f>IF(AND(B23=Constants!$B$13,C23&lt;0),"Both error",IF(B23=C23,"Identical",IF(AND(B23=Constants!$B$13,C23&gt;=0),"Fixed in v1.0.0","Different")))</f>
        <v>Identical</v>
      </c>
      <c r="H23" s="7"/>
    </row>
    <row r="24" spans="1:8" x14ac:dyDescent="0.2">
      <c r="A24" s="20">
        <v>5.9</v>
      </c>
      <c r="B24" s="21">
        <v>12</v>
      </c>
      <c r="C24" s="21">
        <v>12</v>
      </c>
      <c r="D24" s="22">
        <f>IF(AND(A24&gt;=Constants!$B$8,A24&lt;=Constants!$B$9),Constants!$B$6+Constants!$B$7*(CEILING(A24,1)-Constants!$B$8),Constants!$B$11)</f>
        <v>12</v>
      </c>
      <c r="E24" s="23" t="str">
        <f t="shared" si="0"/>
        <v>OK</v>
      </c>
      <c r="F24" s="24">
        <f>IF(C24&gt;=0,C24/Constants!$B$5,"n/a")</f>
        <v>3.7499999999999999E-2</v>
      </c>
      <c r="G24" s="23" t="str">
        <f>IF(AND(B24=Constants!$B$13,C24&lt;0),"Both error",IF(B24=C24,"Identical",IF(AND(B24=Constants!$B$13,C24&gt;=0),"Fixed in v1.0.0","Different")))</f>
        <v>Identical</v>
      </c>
      <c r="H24" s="7"/>
    </row>
    <row r="25" spans="1:8" x14ac:dyDescent="0.2">
      <c r="A25" s="20">
        <v>6</v>
      </c>
      <c r="B25" s="21">
        <v>12</v>
      </c>
      <c r="C25" s="21">
        <v>12</v>
      </c>
      <c r="D25" s="22">
        <f>IF(AND(A25&gt;=Constants!$B$8,A25&lt;=Constants!$B$9),Constants!$B$6+Constants!$B$7*(CEILING(A25,1)-Constants!$B$8),Constants!$B$11)</f>
        <v>12</v>
      </c>
      <c r="E25" s="23" t="str">
        <f t="shared" si="0"/>
        <v>OK</v>
      </c>
      <c r="F25" s="24">
        <f>IF(C25&gt;=0,C25/Constants!$B$5,"n/a")</f>
        <v>3.7499999999999999E-2</v>
      </c>
      <c r="G25" s="23" t="str">
        <f>IF(AND(B25=Constants!$B$13,C25&lt;0),"Both error",IF(B25=C25,"Identical",IF(AND(B25=Constants!$B$13,C25&gt;=0),"Fixed in v1.0.0","Different")))</f>
        <v>Identical</v>
      </c>
      <c r="H25" s="7"/>
    </row>
    <row r="26" spans="1:8" x14ac:dyDescent="0.2">
      <c r="A26" s="20">
        <v>6.1</v>
      </c>
      <c r="B26" s="21">
        <v>19</v>
      </c>
      <c r="C26" s="21">
        <v>19</v>
      </c>
      <c r="D26" s="22">
        <f>IF(AND(A26&gt;=Constants!$B$8,A26&lt;=Constants!$B$9),Constants!$B$6+Constants!$B$7*(CEILING(A26,1)-Constants!$B$8),Constants!$B$11)</f>
        <v>19</v>
      </c>
      <c r="E26" s="23" t="str">
        <f t="shared" si="0"/>
        <v>OK</v>
      </c>
      <c r="F26" s="24">
        <f>IF(C26&gt;=0,C26/Constants!$B$5,"n/a")</f>
        <v>5.9374999999999997E-2</v>
      </c>
      <c r="G26" s="23" t="str">
        <f>IF(AND(B26=Constants!$B$13,C26&lt;0),"Both error",IF(B26=C26,"Identical",IF(AND(B26=Constants!$B$13,C26&gt;=0),"Fixed in v1.0.0","Different")))</f>
        <v>Identical</v>
      </c>
      <c r="H26" s="7"/>
    </row>
    <row r="27" spans="1:8" x14ac:dyDescent="0.2">
      <c r="A27" s="20">
        <v>6.2</v>
      </c>
      <c r="B27" s="21">
        <v>19</v>
      </c>
      <c r="C27" s="21">
        <v>19</v>
      </c>
      <c r="D27" s="22">
        <f>IF(AND(A27&gt;=Constants!$B$8,A27&lt;=Constants!$B$9),Constants!$B$6+Constants!$B$7*(CEILING(A27,1)-Constants!$B$8),Constants!$B$11)</f>
        <v>19</v>
      </c>
      <c r="E27" s="23" t="str">
        <f t="shared" si="0"/>
        <v>OK</v>
      </c>
      <c r="F27" s="24">
        <f>IF(C27&gt;=0,C27/Constants!$B$5,"n/a")</f>
        <v>5.9374999999999997E-2</v>
      </c>
      <c r="G27" s="23" t="str">
        <f>IF(AND(B27=Constants!$B$13,C27&lt;0),"Both error",IF(B27=C27,"Identical",IF(AND(B27=Constants!$B$13,C27&gt;=0),"Fixed in v1.0.0","Different")))</f>
        <v>Identical</v>
      </c>
      <c r="H27" s="7"/>
    </row>
    <row r="28" spans="1:8" x14ac:dyDescent="0.2">
      <c r="A28" s="20">
        <v>6.3</v>
      </c>
      <c r="B28" s="21">
        <v>19</v>
      </c>
      <c r="C28" s="21">
        <v>19</v>
      </c>
      <c r="D28" s="22">
        <f>IF(AND(A28&gt;=Constants!$B$8,A28&lt;=Constants!$B$9),Constants!$B$6+Constants!$B$7*(CEILING(A28,1)-Constants!$B$8),Constants!$B$11)</f>
        <v>19</v>
      </c>
      <c r="E28" s="23" t="str">
        <f t="shared" si="0"/>
        <v>OK</v>
      </c>
      <c r="F28" s="24">
        <f>IF(C28&gt;=0,C28/Constants!$B$5,"n/a")</f>
        <v>5.9374999999999997E-2</v>
      </c>
      <c r="G28" s="23" t="str">
        <f>IF(AND(B28=Constants!$B$13,C28&lt;0),"Both error",IF(B28=C28,"Identical",IF(AND(B28=Constants!$B$13,C28&gt;=0),"Fixed in v1.0.0","Different")))</f>
        <v>Identical</v>
      </c>
      <c r="H28" s="7"/>
    </row>
    <row r="29" spans="1:8" x14ac:dyDescent="0.2">
      <c r="A29" s="20">
        <v>6.4</v>
      </c>
      <c r="B29" s="21">
        <v>19</v>
      </c>
      <c r="C29" s="21">
        <v>19</v>
      </c>
      <c r="D29" s="22">
        <f>IF(AND(A29&gt;=Constants!$B$8,A29&lt;=Constants!$B$9),Constants!$B$6+Constants!$B$7*(CEILING(A29,1)-Constants!$B$8),Constants!$B$11)</f>
        <v>19</v>
      </c>
      <c r="E29" s="23" t="str">
        <f t="shared" si="0"/>
        <v>OK</v>
      </c>
      <c r="F29" s="24">
        <f>IF(C29&gt;=0,C29/Constants!$B$5,"n/a")</f>
        <v>5.9374999999999997E-2</v>
      </c>
      <c r="G29" s="23" t="str">
        <f>IF(AND(B29=Constants!$B$13,C29&lt;0),"Both error",IF(B29=C29,"Identical",IF(AND(B29=Constants!$B$13,C29&gt;=0),"Fixed in v1.0.0","Different")))</f>
        <v>Identical</v>
      </c>
      <c r="H29" s="7"/>
    </row>
    <row r="30" spans="1:8" x14ac:dyDescent="0.2">
      <c r="A30" s="20">
        <v>6.5</v>
      </c>
      <c r="B30" s="21">
        <v>19</v>
      </c>
      <c r="C30" s="21">
        <v>19</v>
      </c>
      <c r="D30" s="22">
        <f>IF(AND(A30&gt;=Constants!$B$8,A30&lt;=Constants!$B$9),Constants!$B$6+Constants!$B$7*(CEILING(A30,1)-Constants!$B$8),Constants!$B$11)</f>
        <v>19</v>
      </c>
      <c r="E30" s="23" t="str">
        <f t="shared" si="0"/>
        <v>OK</v>
      </c>
      <c r="F30" s="24">
        <f>IF(C30&gt;=0,C30/Constants!$B$5,"n/a")</f>
        <v>5.9374999999999997E-2</v>
      </c>
      <c r="G30" s="23" t="str">
        <f>IF(AND(B30=Constants!$B$13,C30&lt;0),"Both error",IF(B30=C30,"Identical",IF(AND(B30=Constants!$B$13,C30&gt;=0),"Fixed in v1.0.0","Different")))</f>
        <v>Identical</v>
      </c>
      <c r="H30" s="7"/>
    </row>
    <row r="31" spans="1:8" x14ac:dyDescent="0.2">
      <c r="A31" s="20">
        <v>6.6</v>
      </c>
      <c r="B31" s="21">
        <v>19</v>
      </c>
      <c r="C31" s="21">
        <v>19</v>
      </c>
      <c r="D31" s="22">
        <f>IF(AND(A31&gt;=Constants!$B$8,A31&lt;=Constants!$B$9),Constants!$B$6+Constants!$B$7*(CEILING(A31,1)-Constants!$B$8),Constants!$B$11)</f>
        <v>19</v>
      </c>
      <c r="E31" s="23" t="str">
        <f t="shared" si="0"/>
        <v>OK</v>
      </c>
      <c r="F31" s="24">
        <f>IF(C31&gt;=0,C31/Constants!$B$5,"n/a")</f>
        <v>5.9374999999999997E-2</v>
      </c>
      <c r="G31" s="23" t="str">
        <f>IF(AND(B31=Constants!$B$13,C31&lt;0),"Both error",IF(B31=C31,"Identical",IF(AND(B31=Constants!$B$13,C31&gt;=0),"Fixed in v1.0.0","Different")))</f>
        <v>Identical</v>
      </c>
      <c r="H31" s="7"/>
    </row>
    <row r="32" spans="1:8" x14ac:dyDescent="0.2">
      <c r="A32" s="20">
        <v>6.7</v>
      </c>
      <c r="B32" s="21">
        <v>19</v>
      </c>
      <c r="C32" s="21">
        <v>19</v>
      </c>
      <c r="D32" s="22">
        <f>IF(AND(A32&gt;=Constants!$B$8,A32&lt;=Constants!$B$9),Constants!$B$6+Constants!$B$7*(CEILING(A32,1)-Constants!$B$8),Constants!$B$11)</f>
        <v>19</v>
      </c>
      <c r="E32" s="23" t="str">
        <f t="shared" si="0"/>
        <v>OK</v>
      </c>
      <c r="F32" s="24">
        <f>IF(C32&gt;=0,C32/Constants!$B$5,"n/a")</f>
        <v>5.9374999999999997E-2</v>
      </c>
      <c r="G32" s="23" t="str">
        <f>IF(AND(B32=Constants!$B$13,C32&lt;0),"Both error",IF(B32=C32,"Identical",IF(AND(B32=Constants!$B$13,C32&gt;=0),"Fixed in v1.0.0","Different")))</f>
        <v>Identical</v>
      </c>
      <c r="H32" s="7"/>
    </row>
    <row r="33" spans="1:8" x14ac:dyDescent="0.2">
      <c r="A33" s="20">
        <v>6.8</v>
      </c>
      <c r="B33" s="21">
        <v>19</v>
      </c>
      <c r="C33" s="21">
        <v>19</v>
      </c>
      <c r="D33" s="22">
        <f>IF(AND(A33&gt;=Constants!$B$8,A33&lt;=Constants!$B$9),Constants!$B$6+Constants!$B$7*(CEILING(A33,1)-Constants!$B$8),Constants!$B$11)</f>
        <v>19</v>
      </c>
      <c r="E33" s="23" t="str">
        <f t="shared" si="0"/>
        <v>OK</v>
      </c>
      <c r="F33" s="24">
        <f>IF(C33&gt;=0,C33/Constants!$B$5,"n/a")</f>
        <v>5.9374999999999997E-2</v>
      </c>
      <c r="G33" s="23" t="str">
        <f>IF(AND(B33=Constants!$B$13,C33&lt;0),"Both error",IF(B33=C33,"Identical",IF(AND(B33=Constants!$B$13,C33&gt;=0),"Fixed in v1.0.0","Different")))</f>
        <v>Identical</v>
      </c>
      <c r="H33" s="7"/>
    </row>
    <row r="34" spans="1:8" x14ac:dyDescent="0.2">
      <c r="A34" s="20">
        <v>6.9</v>
      </c>
      <c r="B34" s="21">
        <v>19</v>
      </c>
      <c r="C34" s="21">
        <v>19</v>
      </c>
      <c r="D34" s="22">
        <f>IF(AND(A34&gt;=Constants!$B$8,A34&lt;=Constants!$B$9),Constants!$B$6+Constants!$B$7*(CEILING(A34,1)-Constants!$B$8),Constants!$B$11)</f>
        <v>19</v>
      </c>
      <c r="E34" s="23" t="str">
        <f t="shared" si="0"/>
        <v>OK</v>
      </c>
      <c r="F34" s="24">
        <f>IF(C34&gt;=0,C34/Constants!$B$5,"n/a")</f>
        <v>5.9374999999999997E-2</v>
      </c>
      <c r="G34" s="23" t="str">
        <f>IF(AND(B34=Constants!$B$13,C34&lt;0),"Both error",IF(B34=C34,"Identical",IF(AND(B34=Constants!$B$13,C34&gt;=0),"Fixed in v1.0.0","Different")))</f>
        <v>Identical</v>
      </c>
      <c r="H34" s="7"/>
    </row>
    <row r="35" spans="1:8" x14ac:dyDescent="0.2">
      <c r="A35" s="20">
        <v>7</v>
      </c>
      <c r="B35" s="21">
        <v>19</v>
      </c>
      <c r="C35" s="21">
        <v>19</v>
      </c>
      <c r="D35" s="22">
        <f>IF(AND(A35&gt;=Constants!$B$8,A35&lt;=Constants!$B$9),Constants!$B$6+Constants!$B$7*(CEILING(A35,1)-Constants!$B$8),Constants!$B$11)</f>
        <v>19</v>
      </c>
      <c r="E35" s="23" t="str">
        <f t="shared" si="0"/>
        <v>OK</v>
      </c>
      <c r="F35" s="24">
        <f>IF(C35&gt;=0,C35/Constants!$B$5,"n/a")</f>
        <v>5.9374999999999997E-2</v>
      </c>
      <c r="G35" s="23" t="str">
        <f>IF(AND(B35=Constants!$B$13,C35&lt;0),"Both error",IF(B35=C35,"Identical",IF(AND(B35=Constants!$B$13,C35&gt;=0),"Fixed in v1.0.0","Different")))</f>
        <v>Identical</v>
      </c>
      <c r="H35" s="7"/>
    </row>
    <row r="36" spans="1:8" x14ac:dyDescent="0.2">
      <c r="A36" s="20">
        <v>7.1</v>
      </c>
      <c r="B36" s="21">
        <v>26</v>
      </c>
      <c r="C36" s="21">
        <v>26</v>
      </c>
      <c r="D36" s="22">
        <f>IF(AND(A36&gt;=Constants!$B$8,A36&lt;=Constants!$B$9),Constants!$B$6+Constants!$B$7*(CEILING(A36,1)-Constants!$B$8),Constants!$B$11)</f>
        <v>26</v>
      </c>
      <c r="E36" s="23" t="str">
        <f t="shared" si="0"/>
        <v>OK</v>
      </c>
      <c r="F36" s="24">
        <f>IF(C36&gt;=0,C36/Constants!$B$5,"n/a")</f>
        <v>8.1250000000000003E-2</v>
      </c>
      <c r="G36" s="23" t="str">
        <f>IF(AND(B36=Constants!$B$13,C36&lt;0),"Both error",IF(B36=C36,"Identical",IF(AND(B36=Constants!$B$13,C36&gt;=0),"Fixed in v1.0.0","Different")))</f>
        <v>Identical</v>
      </c>
      <c r="H36" s="7"/>
    </row>
    <row r="37" spans="1:8" x14ac:dyDescent="0.2">
      <c r="A37" s="20">
        <v>7.2</v>
      </c>
      <c r="B37" s="21">
        <v>26</v>
      </c>
      <c r="C37" s="21">
        <v>26</v>
      </c>
      <c r="D37" s="22">
        <f>IF(AND(A37&gt;=Constants!$B$8,A37&lt;=Constants!$B$9),Constants!$B$6+Constants!$B$7*(CEILING(A37,1)-Constants!$B$8),Constants!$B$11)</f>
        <v>26</v>
      </c>
      <c r="E37" s="23" t="str">
        <f t="shared" si="0"/>
        <v>OK</v>
      </c>
      <c r="F37" s="24">
        <f>IF(C37&gt;=0,C37/Constants!$B$5,"n/a")</f>
        <v>8.1250000000000003E-2</v>
      </c>
      <c r="G37" s="23" t="str">
        <f>IF(AND(B37=Constants!$B$13,C37&lt;0),"Both error",IF(B37=C37,"Identical",IF(AND(B37=Constants!$B$13,C37&gt;=0),"Fixed in v1.0.0","Different")))</f>
        <v>Identical</v>
      </c>
      <c r="H37" s="7"/>
    </row>
    <row r="38" spans="1:8" x14ac:dyDescent="0.2">
      <c r="A38" s="20">
        <v>7.3</v>
      </c>
      <c r="B38" s="21">
        <v>26</v>
      </c>
      <c r="C38" s="21">
        <v>26</v>
      </c>
      <c r="D38" s="22">
        <f>IF(AND(A38&gt;=Constants!$B$8,A38&lt;=Constants!$B$9),Constants!$B$6+Constants!$B$7*(CEILING(A38,1)-Constants!$B$8),Constants!$B$11)</f>
        <v>26</v>
      </c>
      <c r="E38" s="23" t="str">
        <f t="shared" si="0"/>
        <v>OK</v>
      </c>
      <c r="F38" s="24">
        <f>IF(C38&gt;=0,C38/Constants!$B$5,"n/a")</f>
        <v>8.1250000000000003E-2</v>
      </c>
      <c r="G38" s="23" t="str">
        <f>IF(AND(B38=Constants!$B$13,C38&lt;0),"Both error",IF(B38=C38,"Identical",IF(AND(B38=Constants!$B$13,C38&gt;=0),"Fixed in v1.0.0","Different")))</f>
        <v>Identical</v>
      </c>
      <c r="H38" s="7"/>
    </row>
    <row r="39" spans="1:8" x14ac:dyDescent="0.2">
      <c r="A39" s="20">
        <v>7.4</v>
      </c>
      <c r="B39" s="21">
        <v>26</v>
      </c>
      <c r="C39" s="21">
        <v>26</v>
      </c>
      <c r="D39" s="22">
        <f>IF(AND(A39&gt;=Constants!$B$8,A39&lt;=Constants!$B$9),Constants!$B$6+Constants!$B$7*(CEILING(A39,1)-Constants!$B$8),Constants!$B$11)</f>
        <v>26</v>
      </c>
      <c r="E39" s="23" t="str">
        <f t="shared" si="0"/>
        <v>OK</v>
      </c>
      <c r="F39" s="24">
        <f>IF(C39&gt;=0,C39/Constants!$B$5,"n/a")</f>
        <v>8.1250000000000003E-2</v>
      </c>
      <c r="G39" s="23" t="str">
        <f>IF(AND(B39=Constants!$B$13,C39&lt;0),"Both error",IF(B39=C39,"Identical",IF(AND(B39=Constants!$B$13,C39&gt;=0),"Fixed in v1.0.0","Different")))</f>
        <v>Identical</v>
      </c>
      <c r="H39" s="7"/>
    </row>
    <row r="40" spans="1:8" x14ac:dyDescent="0.2">
      <c r="A40" s="20">
        <v>7.5</v>
      </c>
      <c r="B40" s="21">
        <v>26</v>
      </c>
      <c r="C40" s="21">
        <v>26</v>
      </c>
      <c r="D40" s="22">
        <f>IF(AND(A40&gt;=Constants!$B$8,A40&lt;=Constants!$B$9),Constants!$B$6+Constants!$B$7*(CEILING(A40,1)-Constants!$B$8),Constants!$B$11)</f>
        <v>26</v>
      </c>
      <c r="E40" s="23" t="str">
        <f t="shared" si="0"/>
        <v>OK</v>
      </c>
      <c r="F40" s="24">
        <f>IF(C40&gt;=0,C40/Constants!$B$5,"n/a")</f>
        <v>8.1250000000000003E-2</v>
      </c>
      <c r="G40" s="23" t="str">
        <f>IF(AND(B40=Constants!$B$13,C40&lt;0),"Both error",IF(B40=C40,"Identical",IF(AND(B40=Constants!$B$13,C40&gt;=0),"Fixed in v1.0.0","Different")))</f>
        <v>Identical</v>
      </c>
      <c r="H40" s="7"/>
    </row>
    <row r="41" spans="1:8" x14ac:dyDescent="0.2">
      <c r="A41" s="20">
        <v>7.6</v>
      </c>
      <c r="B41" s="21">
        <v>26</v>
      </c>
      <c r="C41" s="21">
        <v>26</v>
      </c>
      <c r="D41" s="22">
        <f>IF(AND(A41&gt;=Constants!$B$8,A41&lt;=Constants!$B$9),Constants!$B$6+Constants!$B$7*(CEILING(A41,1)-Constants!$B$8),Constants!$B$11)</f>
        <v>26</v>
      </c>
      <c r="E41" s="23" t="str">
        <f t="shared" si="0"/>
        <v>OK</v>
      </c>
      <c r="F41" s="24">
        <f>IF(C41&gt;=0,C41/Constants!$B$5,"n/a")</f>
        <v>8.1250000000000003E-2</v>
      </c>
      <c r="G41" s="23" t="str">
        <f>IF(AND(B41=Constants!$B$13,C41&lt;0),"Both error",IF(B41=C41,"Identical",IF(AND(B41=Constants!$B$13,C41&gt;=0),"Fixed in v1.0.0","Different")))</f>
        <v>Identical</v>
      </c>
      <c r="H41" s="7"/>
    </row>
    <row r="42" spans="1:8" x14ac:dyDescent="0.2">
      <c r="A42" s="20">
        <v>7.7</v>
      </c>
      <c r="B42" s="21">
        <v>26</v>
      </c>
      <c r="C42" s="21">
        <v>26</v>
      </c>
      <c r="D42" s="22">
        <f>IF(AND(A42&gt;=Constants!$B$8,A42&lt;=Constants!$B$9),Constants!$B$6+Constants!$B$7*(CEILING(A42,1)-Constants!$B$8),Constants!$B$11)</f>
        <v>26</v>
      </c>
      <c r="E42" s="23" t="str">
        <f t="shared" si="0"/>
        <v>OK</v>
      </c>
      <c r="F42" s="24">
        <f>IF(C42&gt;=0,C42/Constants!$B$5,"n/a")</f>
        <v>8.1250000000000003E-2</v>
      </c>
      <c r="G42" s="23" t="str">
        <f>IF(AND(B42=Constants!$B$13,C42&lt;0),"Both error",IF(B42=C42,"Identical",IF(AND(B42=Constants!$B$13,C42&gt;=0),"Fixed in v1.0.0","Different")))</f>
        <v>Identical</v>
      </c>
      <c r="H42" s="7"/>
    </row>
    <row r="43" spans="1:8" x14ac:dyDescent="0.2">
      <c r="A43" s="20">
        <v>7.8</v>
      </c>
      <c r="B43" s="21">
        <v>26</v>
      </c>
      <c r="C43" s="21">
        <v>26</v>
      </c>
      <c r="D43" s="22">
        <f>IF(AND(A43&gt;=Constants!$B$8,A43&lt;=Constants!$B$9),Constants!$B$6+Constants!$B$7*(CEILING(A43,1)-Constants!$B$8),Constants!$B$11)</f>
        <v>26</v>
      </c>
      <c r="E43" s="23" t="str">
        <f t="shared" si="0"/>
        <v>OK</v>
      </c>
      <c r="F43" s="24">
        <f>IF(C43&gt;=0,C43/Constants!$B$5,"n/a")</f>
        <v>8.1250000000000003E-2</v>
      </c>
      <c r="G43" s="23" t="str">
        <f>IF(AND(B43=Constants!$B$13,C43&lt;0),"Both error",IF(B43=C43,"Identical",IF(AND(B43=Constants!$B$13,C43&gt;=0),"Fixed in v1.0.0","Different")))</f>
        <v>Identical</v>
      </c>
      <c r="H43" s="7"/>
    </row>
    <row r="44" spans="1:8" x14ac:dyDescent="0.2">
      <c r="A44" s="20">
        <v>7.9</v>
      </c>
      <c r="B44" s="21">
        <v>26</v>
      </c>
      <c r="C44" s="21">
        <v>26</v>
      </c>
      <c r="D44" s="22">
        <f>IF(AND(A44&gt;=Constants!$B$8,A44&lt;=Constants!$B$9),Constants!$B$6+Constants!$B$7*(CEILING(A44,1)-Constants!$B$8),Constants!$B$11)</f>
        <v>26</v>
      </c>
      <c r="E44" s="23" t="str">
        <f t="shared" si="0"/>
        <v>OK</v>
      </c>
      <c r="F44" s="24">
        <f>IF(C44&gt;=0,C44/Constants!$B$5,"n/a")</f>
        <v>8.1250000000000003E-2</v>
      </c>
      <c r="G44" s="23" t="str">
        <f>IF(AND(B44=Constants!$B$13,C44&lt;0),"Both error",IF(B44=C44,"Identical",IF(AND(B44=Constants!$B$13,C44&gt;=0),"Fixed in v1.0.0","Different")))</f>
        <v>Identical</v>
      </c>
      <c r="H44" s="7"/>
    </row>
    <row r="45" spans="1:8" x14ac:dyDescent="0.2">
      <c r="A45" s="20">
        <v>8</v>
      </c>
      <c r="B45" s="21">
        <v>26</v>
      </c>
      <c r="C45" s="21">
        <v>26</v>
      </c>
      <c r="D45" s="22">
        <f>IF(AND(A45&gt;=Constants!$B$8,A45&lt;=Constants!$B$9),Constants!$B$6+Constants!$B$7*(CEILING(A45,1)-Constants!$B$8),Constants!$B$11)</f>
        <v>26</v>
      </c>
      <c r="E45" s="23" t="str">
        <f t="shared" si="0"/>
        <v>OK</v>
      </c>
      <c r="F45" s="24">
        <f>IF(C45&gt;=0,C45/Constants!$B$5,"n/a")</f>
        <v>8.1250000000000003E-2</v>
      </c>
      <c r="G45" s="23" t="str">
        <f>IF(AND(B45=Constants!$B$13,C45&lt;0),"Both error",IF(B45=C45,"Identical",IF(AND(B45=Constants!$B$13,C45&gt;=0),"Fixed in v1.0.0","Different")))</f>
        <v>Identical</v>
      </c>
      <c r="H45" s="7"/>
    </row>
    <row r="46" spans="1:8" x14ac:dyDescent="0.2">
      <c r="A46" s="20">
        <v>8.1</v>
      </c>
      <c r="B46" s="21">
        <v>33</v>
      </c>
      <c r="C46" s="21">
        <v>33</v>
      </c>
      <c r="D46" s="22">
        <f>IF(AND(A46&gt;=Constants!$B$8,A46&lt;=Constants!$B$9),Constants!$B$6+Constants!$B$7*(CEILING(A46,1)-Constants!$B$8),Constants!$B$11)</f>
        <v>33</v>
      </c>
      <c r="E46" s="23" t="str">
        <f t="shared" si="0"/>
        <v>OK</v>
      </c>
      <c r="F46" s="24">
        <f>IF(C46&gt;=0,C46/Constants!$B$5,"n/a")</f>
        <v>0.10312499999999999</v>
      </c>
      <c r="G46" s="23" t="str">
        <f>IF(AND(B46=Constants!$B$13,C46&lt;0),"Both error",IF(B46=C46,"Identical",IF(AND(B46=Constants!$B$13,C46&gt;=0),"Fixed in v1.0.0","Different")))</f>
        <v>Identical</v>
      </c>
      <c r="H46" s="7"/>
    </row>
    <row r="47" spans="1:8" x14ac:dyDescent="0.2">
      <c r="A47" s="20">
        <v>8.1999999999999993</v>
      </c>
      <c r="B47" s="21">
        <v>33</v>
      </c>
      <c r="C47" s="21">
        <v>33</v>
      </c>
      <c r="D47" s="22">
        <f>IF(AND(A47&gt;=Constants!$B$8,A47&lt;=Constants!$B$9),Constants!$B$6+Constants!$B$7*(CEILING(A47,1)-Constants!$B$8),Constants!$B$11)</f>
        <v>33</v>
      </c>
      <c r="E47" s="23" t="str">
        <f t="shared" si="0"/>
        <v>OK</v>
      </c>
      <c r="F47" s="24">
        <f>IF(C47&gt;=0,C47/Constants!$B$5,"n/a")</f>
        <v>0.10312499999999999</v>
      </c>
      <c r="G47" s="23" t="str">
        <f>IF(AND(B47=Constants!$B$13,C47&lt;0),"Both error",IF(B47=C47,"Identical",IF(AND(B47=Constants!$B$13,C47&gt;=0),"Fixed in v1.0.0","Different")))</f>
        <v>Identical</v>
      </c>
      <c r="H47" s="7"/>
    </row>
    <row r="48" spans="1:8" x14ac:dyDescent="0.2">
      <c r="A48" s="20">
        <v>8.3000000000000007</v>
      </c>
      <c r="B48" s="21">
        <v>33</v>
      </c>
      <c r="C48" s="21">
        <v>33</v>
      </c>
      <c r="D48" s="22">
        <f>IF(AND(A48&gt;=Constants!$B$8,A48&lt;=Constants!$B$9),Constants!$B$6+Constants!$B$7*(CEILING(A48,1)-Constants!$B$8),Constants!$B$11)</f>
        <v>33</v>
      </c>
      <c r="E48" s="23" t="str">
        <f t="shared" si="0"/>
        <v>OK</v>
      </c>
      <c r="F48" s="24">
        <f>IF(C48&gt;=0,C48/Constants!$B$5,"n/a")</f>
        <v>0.10312499999999999</v>
      </c>
      <c r="G48" s="23" t="str">
        <f>IF(AND(B48=Constants!$B$13,C48&lt;0),"Both error",IF(B48=C48,"Identical",IF(AND(B48=Constants!$B$13,C48&gt;=0),"Fixed in v1.0.0","Different")))</f>
        <v>Identical</v>
      </c>
      <c r="H48" s="7"/>
    </row>
    <row r="49" spans="1:8" x14ac:dyDescent="0.2">
      <c r="A49" s="20">
        <v>8.4</v>
      </c>
      <c r="B49" s="21">
        <v>33</v>
      </c>
      <c r="C49" s="21">
        <v>33</v>
      </c>
      <c r="D49" s="22">
        <f>IF(AND(A49&gt;=Constants!$B$8,A49&lt;=Constants!$B$9),Constants!$B$6+Constants!$B$7*(CEILING(A49,1)-Constants!$B$8),Constants!$B$11)</f>
        <v>33</v>
      </c>
      <c r="E49" s="23" t="str">
        <f t="shared" si="0"/>
        <v>OK</v>
      </c>
      <c r="F49" s="24">
        <f>IF(C49&gt;=0,C49/Constants!$B$5,"n/a")</f>
        <v>0.10312499999999999</v>
      </c>
      <c r="G49" s="23" t="str">
        <f>IF(AND(B49=Constants!$B$13,C49&lt;0),"Both error",IF(B49=C49,"Identical",IF(AND(B49=Constants!$B$13,C49&gt;=0),"Fixed in v1.0.0","Different")))</f>
        <v>Identical</v>
      </c>
      <c r="H49" s="7"/>
    </row>
    <row r="50" spans="1:8" x14ac:dyDescent="0.2">
      <c r="A50" s="20">
        <v>8.5</v>
      </c>
      <c r="B50" s="21">
        <v>33</v>
      </c>
      <c r="C50" s="21">
        <v>33</v>
      </c>
      <c r="D50" s="22">
        <f>IF(AND(A50&gt;=Constants!$B$8,A50&lt;=Constants!$B$9),Constants!$B$6+Constants!$B$7*(CEILING(A50,1)-Constants!$B$8),Constants!$B$11)</f>
        <v>33</v>
      </c>
      <c r="E50" s="23" t="str">
        <f t="shared" si="0"/>
        <v>OK</v>
      </c>
      <c r="F50" s="24">
        <f>IF(C50&gt;=0,C50/Constants!$B$5,"n/a")</f>
        <v>0.10312499999999999</v>
      </c>
      <c r="G50" s="23" t="str">
        <f>IF(AND(B50=Constants!$B$13,C50&lt;0),"Both error",IF(B50=C50,"Identical",IF(AND(B50=Constants!$B$13,C50&gt;=0),"Fixed in v1.0.0","Different")))</f>
        <v>Identical</v>
      </c>
      <c r="H50" s="7"/>
    </row>
    <row r="51" spans="1:8" x14ac:dyDescent="0.2">
      <c r="A51" s="20">
        <v>8.6</v>
      </c>
      <c r="B51" s="21">
        <v>33</v>
      </c>
      <c r="C51" s="21">
        <v>33</v>
      </c>
      <c r="D51" s="22">
        <f>IF(AND(A51&gt;=Constants!$B$8,A51&lt;=Constants!$B$9),Constants!$B$6+Constants!$B$7*(CEILING(A51,1)-Constants!$B$8),Constants!$B$11)</f>
        <v>33</v>
      </c>
      <c r="E51" s="23" t="str">
        <f t="shared" si="0"/>
        <v>OK</v>
      </c>
      <c r="F51" s="24">
        <f>IF(C51&gt;=0,C51/Constants!$B$5,"n/a")</f>
        <v>0.10312499999999999</v>
      </c>
      <c r="G51" s="23" t="str">
        <f>IF(AND(B51=Constants!$B$13,C51&lt;0),"Both error",IF(B51=C51,"Identical",IF(AND(B51=Constants!$B$13,C51&gt;=0),"Fixed in v1.0.0","Different")))</f>
        <v>Identical</v>
      </c>
      <c r="H51" s="7"/>
    </row>
    <row r="52" spans="1:8" x14ac:dyDescent="0.2">
      <c r="A52" s="20">
        <v>8.6999999999999993</v>
      </c>
      <c r="B52" s="21">
        <v>33</v>
      </c>
      <c r="C52" s="21">
        <v>33</v>
      </c>
      <c r="D52" s="22">
        <f>IF(AND(A52&gt;=Constants!$B$8,A52&lt;=Constants!$B$9),Constants!$B$6+Constants!$B$7*(CEILING(A52,1)-Constants!$B$8),Constants!$B$11)</f>
        <v>33</v>
      </c>
      <c r="E52" s="23" t="str">
        <f t="shared" si="0"/>
        <v>OK</v>
      </c>
      <c r="F52" s="24">
        <f>IF(C52&gt;=0,C52/Constants!$B$5,"n/a")</f>
        <v>0.10312499999999999</v>
      </c>
      <c r="G52" s="23" t="str">
        <f>IF(AND(B52=Constants!$B$13,C52&lt;0),"Both error",IF(B52=C52,"Identical",IF(AND(B52=Constants!$B$13,C52&gt;=0),"Fixed in v1.0.0","Different")))</f>
        <v>Identical</v>
      </c>
      <c r="H52" s="7"/>
    </row>
    <row r="53" spans="1:8" x14ac:dyDescent="0.2">
      <c r="A53" s="20">
        <v>8.8000000000000007</v>
      </c>
      <c r="B53" s="21">
        <v>33</v>
      </c>
      <c r="C53" s="21">
        <v>33</v>
      </c>
      <c r="D53" s="22">
        <f>IF(AND(A53&gt;=Constants!$B$8,A53&lt;=Constants!$B$9),Constants!$B$6+Constants!$B$7*(CEILING(A53,1)-Constants!$B$8),Constants!$B$11)</f>
        <v>33</v>
      </c>
      <c r="E53" s="23" t="str">
        <f t="shared" si="0"/>
        <v>OK</v>
      </c>
      <c r="F53" s="24">
        <f>IF(C53&gt;=0,C53/Constants!$B$5,"n/a")</f>
        <v>0.10312499999999999</v>
      </c>
      <c r="G53" s="23" t="str">
        <f>IF(AND(B53=Constants!$B$13,C53&lt;0),"Both error",IF(B53=C53,"Identical",IF(AND(B53=Constants!$B$13,C53&gt;=0),"Fixed in v1.0.0","Different")))</f>
        <v>Identical</v>
      </c>
      <c r="H53" s="7"/>
    </row>
    <row r="54" spans="1:8" x14ac:dyDescent="0.2">
      <c r="A54" s="20">
        <v>8.9</v>
      </c>
      <c r="B54" s="21">
        <v>33</v>
      </c>
      <c r="C54" s="21">
        <v>33</v>
      </c>
      <c r="D54" s="22">
        <f>IF(AND(A54&gt;=Constants!$B$8,A54&lt;=Constants!$B$9),Constants!$B$6+Constants!$B$7*(CEILING(A54,1)-Constants!$B$8),Constants!$B$11)</f>
        <v>33</v>
      </c>
      <c r="E54" s="23" t="str">
        <f t="shared" si="0"/>
        <v>OK</v>
      </c>
      <c r="F54" s="24">
        <f>IF(C54&gt;=0,C54/Constants!$B$5,"n/a")</f>
        <v>0.10312499999999999</v>
      </c>
      <c r="G54" s="23" t="str">
        <f>IF(AND(B54=Constants!$B$13,C54&lt;0),"Both error",IF(B54=C54,"Identical",IF(AND(B54=Constants!$B$13,C54&gt;=0),"Fixed in v1.0.0","Different")))</f>
        <v>Identical</v>
      </c>
      <c r="H54" s="7"/>
    </row>
    <row r="55" spans="1:8" x14ac:dyDescent="0.2">
      <c r="A55" s="20">
        <v>9</v>
      </c>
      <c r="B55" s="21">
        <v>33</v>
      </c>
      <c r="C55" s="21">
        <v>33</v>
      </c>
      <c r="D55" s="22">
        <f>IF(AND(A55&gt;=Constants!$B$8,A55&lt;=Constants!$B$9),Constants!$B$6+Constants!$B$7*(CEILING(A55,1)-Constants!$B$8),Constants!$B$11)</f>
        <v>33</v>
      </c>
      <c r="E55" s="23" t="str">
        <f t="shared" si="0"/>
        <v>OK</v>
      </c>
      <c r="F55" s="24">
        <f>IF(C55&gt;=0,C55/Constants!$B$5,"n/a")</f>
        <v>0.10312499999999999</v>
      </c>
      <c r="G55" s="23" t="str">
        <f>IF(AND(B55=Constants!$B$13,C55&lt;0),"Both error",IF(B55=C55,"Identical",IF(AND(B55=Constants!$B$13,C55&gt;=0),"Fixed in v1.0.0","Different")))</f>
        <v>Identical</v>
      </c>
      <c r="H55" s="7"/>
    </row>
    <row r="56" spans="1:8" x14ac:dyDescent="0.2">
      <c r="A56" s="20">
        <v>9.1</v>
      </c>
      <c r="B56" s="21">
        <v>40</v>
      </c>
      <c r="C56" s="21">
        <v>40</v>
      </c>
      <c r="D56" s="22">
        <f>IF(AND(A56&gt;=Constants!$B$8,A56&lt;=Constants!$B$9),Constants!$B$6+Constants!$B$7*(CEILING(A56,1)-Constants!$B$8),Constants!$B$11)</f>
        <v>40</v>
      </c>
      <c r="E56" s="23" t="str">
        <f t="shared" si="0"/>
        <v>OK</v>
      </c>
      <c r="F56" s="24">
        <f>IF(C56&gt;=0,C56/Constants!$B$5,"n/a")</f>
        <v>0.125</v>
      </c>
      <c r="G56" s="23" t="str">
        <f>IF(AND(B56=Constants!$B$13,C56&lt;0),"Both error",IF(B56=C56,"Identical",IF(AND(B56=Constants!$B$13,C56&gt;=0),"Fixed in v1.0.0","Different")))</f>
        <v>Identical</v>
      </c>
      <c r="H56" s="7"/>
    </row>
    <row r="57" spans="1:8" x14ac:dyDescent="0.2">
      <c r="A57" s="20">
        <v>9.1999999999999993</v>
      </c>
      <c r="B57" s="21">
        <v>40</v>
      </c>
      <c r="C57" s="21">
        <v>40</v>
      </c>
      <c r="D57" s="22">
        <f>IF(AND(A57&gt;=Constants!$B$8,A57&lt;=Constants!$B$9),Constants!$B$6+Constants!$B$7*(CEILING(A57,1)-Constants!$B$8),Constants!$B$11)</f>
        <v>40</v>
      </c>
      <c r="E57" s="23" t="str">
        <f t="shared" si="0"/>
        <v>OK</v>
      </c>
      <c r="F57" s="24">
        <f>IF(C57&gt;=0,C57/Constants!$B$5,"n/a")</f>
        <v>0.125</v>
      </c>
      <c r="G57" s="23" t="str">
        <f>IF(AND(B57=Constants!$B$13,C57&lt;0),"Both error",IF(B57=C57,"Identical",IF(AND(B57=Constants!$B$13,C57&gt;=0),"Fixed in v1.0.0","Different")))</f>
        <v>Identical</v>
      </c>
      <c r="H57" s="7"/>
    </row>
    <row r="58" spans="1:8" x14ac:dyDescent="0.2">
      <c r="A58" s="20">
        <v>9.3000000000000007</v>
      </c>
      <c r="B58" s="21">
        <v>40</v>
      </c>
      <c r="C58" s="21">
        <v>40</v>
      </c>
      <c r="D58" s="22">
        <f>IF(AND(A58&gt;=Constants!$B$8,A58&lt;=Constants!$B$9),Constants!$B$6+Constants!$B$7*(CEILING(A58,1)-Constants!$B$8),Constants!$B$11)</f>
        <v>40</v>
      </c>
      <c r="E58" s="23" t="str">
        <f t="shared" si="0"/>
        <v>OK</v>
      </c>
      <c r="F58" s="24">
        <f>IF(C58&gt;=0,C58/Constants!$B$5,"n/a")</f>
        <v>0.125</v>
      </c>
      <c r="G58" s="23" t="str">
        <f>IF(AND(B58=Constants!$B$13,C58&lt;0),"Both error",IF(B58=C58,"Identical",IF(AND(B58=Constants!$B$13,C58&gt;=0),"Fixed in v1.0.0","Different")))</f>
        <v>Identical</v>
      </c>
      <c r="H58" s="7"/>
    </row>
    <row r="59" spans="1:8" x14ac:dyDescent="0.2">
      <c r="A59" s="20">
        <v>9.4</v>
      </c>
      <c r="B59" s="21">
        <v>40</v>
      </c>
      <c r="C59" s="21">
        <v>40</v>
      </c>
      <c r="D59" s="22">
        <f>IF(AND(A59&gt;=Constants!$B$8,A59&lt;=Constants!$B$9),Constants!$B$6+Constants!$B$7*(CEILING(A59,1)-Constants!$B$8),Constants!$B$11)</f>
        <v>40</v>
      </c>
      <c r="E59" s="23" t="str">
        <f t="shared" si="0"/>
        <v>OK</v>
      </c>
      <c r="F59" s="24">
        <f>IF(C59&gt;=0,C59/Constants!$B$5,"n/a")</f>
        <v>0.125</v>
      </c>
      <c r="G59" s="23" t="str">
        <f>IF(AND(B59=Constants!$B$13,C59&lt;0),"Both error",IF(B59=C59,"Identical",IF(AND(B59=Constants!$B$13,C59&gt;=0),"Fixed in v1.0.0","Different")))</f>
        <v>Identical</v>
      </c>
      <c r="H59" s="7"/>
    </row>
    <row r="60" spans="1:8" x14ac:dyDescent="0.2">
      <c r="A60" s="20">
        <v>9.5</v>
      </c>
      <c r="B60" s="21">
        <v>40</v>
      </c>
      <c r="C60" s="21">
        <v>40</v>
      </c>
      <c r="D60" s="22">
        <f>IF(AND(A60&gt;=Constants!$B$8,A60&lt;=Constants!$B$9),Constants!$B$6+Constants!$B$7*(CEILING(A60,1)-Constants!$B$8),Constants!$B$11)</f>
        <v>40</v>
      </c>
      <c r="E60" s="23" t="str">
        <f t="shared" si="0"/>
        <v>OK</v>
      </c>
      <c r="F60" s="24">
        <f>IF(C60&gt;=0,C60/Constants!$B$5,"n/a")</f>
        <v>0.125</v>
      </c>
      <c r="G60" s="23" t="str">
        <f>IF(AND(B60=Constants!$B$13,C60&lt;0),"Both error",IF(B60=C60,"Identical",IF(AND(B60=Constants!$B$13,C60&gt;=0),"Fixed in v1.0.0","Different")))</f>
        <v>Identical</v>
      </c>
      <c r="H60" s="7"/>
    </row>
    <row r="61" spans="1:8" x14ac:dyDescent="0.2">
      <c r="A61" s="20">
        <v>9.6</v>
      </c>
      <c r="B61" s="21">
        <v>40</v>
      </c>
      <c r="C61" s="21">
        <v>40</v>
      </c>
      <c r="D61" s="22">
        <f>IF(AND(A61&gt;=Constants!$B$8,A61&lt;=Constants!$B$9),Constants!$B$6+Constants!$B$7*(CEILING(A61,1)-Constants!$B$8),Constants!$B$11)</f>
        <v>40</v>
      </c>
      <c r="E61" s="23" t="str">
        <f t="shared" si="0"/>
        <v>OK</v>
      </c>
      <c r="F61" s="24">
        <f>IF(C61&gt;=0,C61/Constants!$B$5,"n/a")</f>
        <v>0.125</v>
      </c>
      <c r="G61" s="23" t="str">
        <f>IF(AND(B61=Constants!$B$13,C61&lt;0),"Both error",IF(B61=C61,"Identical",IF(AND(B61=Constants!$B$13,C61&gt;=0),"Fixed in v1.0.0","Different")))</f>
        <v>Identical</v>
      </c>
      <c r="H61" s="7"/>
    </row>
    <row r="62" spans="1:8" x14ac:dyDescent="0.2">
      <c r="A62" s="20">
        <v>9.6999999999999993</v>
      </c>
      <c r="B62" s="21">
        <v>40</v>
      </c>
      <c r="C62" s="21">
        <v>40</v>
      </c>
      <c r="D62" s="22">
        <f>IF(AND(A62&gt;=Constants!$B$8,A62&lt;=Constants!$B$9),Constants!$B$6+Constants!$B$7*(CEILING(A62,1)-Constants!$B$8),Constants!$B$11)</f>
        <v>40</v>
      </c>
      <c r="E62" s="23" t="str">
        <f t="shared" si="0"/>
        <v>OK</v>
      </c>
      <c r="F62" s="24">
        <f>IF(C62&gt;=0,C62/Constants!$B$5,"n/a")</f>
        <v>0.125</v>
      </c>
      <c r="G62" s="23" t="str">
        <f>IF(AND(B62=Constants!$B$13,C62&lt;0),"Both error",IF(B62=C62,"Identical",IF(AND(B62=Constants!$B$13,C62&gt;=0),"Fixed in v1.0.0","Different")))</f>
        <v>Identical</v>
      </c>
      <c r="H62" s="7"/>
    </row>
    <row r="63" spans="1:8" x14ac:dyDescent="0.2">
      <c r="A63" s="20">
        <v>9.8000000000000007</v>
      </c>
      <c r="B63" s="21">
        <v>40</v>
      </c>
      <c r="C63" s="21">
        <v>40</v>
      </c>
      <c r="D63" s="22">
        <f>IF(AND(A63&gt;=Constants!$B$8,A63&lt;=Constants!$B$9),Constants!$B$6+Constants!$B$7*(CEILING(A63,1)-Constants!$B$8),Constants!$B$11)</f>
        <v>40</v>
      </c>
      <c r="E63" s="23" t="str">
        <f t="shared" si="0"/>
        <v>OK</v>
      </c>
      <c r="F63" s="24">
        <f>IF(C63&gt;=0,C63/Constants!$B$5,"n/a")</f>
        <v>0.125</v>
      </c>
      <c r="G63" s="23" t="str">
        <f>IF(AND(B63=Constants!$B$13,C63&lt;0),"Both error",IF(B63=C63,"Identical",IF(AND(B63=Constants!$B$13,C63&gt;=0),"Fixed in v1.0.0","Different")))</f>
        <v>Identical</v>
      </c>
      <c r="H63" s="7"/>
    </row>
    <row r="64" spans="1:8" x14ac:dyDescent="0.2">
      <c r="A64" s="20">
        <v>9.9</v>
      </c>
      <c r="B64" s="21">
        <v>40</v>
      </c>
      <c r="C64" s="21">
        <v>40</v>
      </c>
      <c r="D64" s="22">
        <f>IF(AND(A64&gt;=Constants!$B$8,A64&lt;=Constants!$B$9),Constants!$B$6+Constants!$B$7*(CEILING(A64,1)-Constants!$B$8),Constants!$B$11)</f>
        <v>40</v>
      </c>
      <c r="E64" s="23" t="str">
        <f t="shared" si="0"/>
        <v>OK</v>
      </c>
      <c r="F64" s="24">
        <f>IF(C64&gt;=0,C64/Constants!$B$5,"n/a")</f>
        <v>0.125</v>
      </c>
      <c r="G64" s="23" t="str">
        <f>IF(AND(B64=Constants!$B$13,C64&lt;0),"Both error",IF(B64=C64,"Identical",IF(AND(B64=Constants!$B$13,C64&gt;=0),"Fixed in v1.0.0","Different")))</f>
        <v>Identical</v>
      </c>
      <c r="H64" s="7"/>
    </row>
    <row r="65" spans="1:8" x14ac:dyDescent="0.2">
      <c r="A65" s="20">
        <v>10</v>
      </c>
      <c r="B65" s="21">
        <v>40</v>
      </c>
      <c r="C65" s="21">
        <v>40</v>
      </c>
      <c r="D65" s="22">
        <f>IF(AND(A65&gt;=Constants!$B$8,A65&lt;=Constants!$B$9),Constants!$B$6+Constants!$B$7*(CEILING(A65,1)-Constants!$B$8),Constants!$B$11)</f>
        <v>40</v>
      </c>
      <c r="E65" s="23" t="str">
        <f t="shared" si="0"/>
        <v>OK</v>
      </c>
      <c r="F65" s="24">
        <f>IF(C65&gt;=0,C65/Constants!$B$5,"n/a")</f>
        <v>0.125</v>
      </c>
      <c r="G65" s="23" t="str">
        <f>IF(AND(B65=Constants!$B$13,C65&lt;0),"Both error",IF(B65=C65,"Identical",IF(AND(B65=Constants!$B$13,C65&gt;=0),"Fixed in v1.0.0","Different")))</f>
        <v>Identical</v>
      </c>
      <c r="H65" s="7"/>
    </row>
    <row r="66" spans="1:8" x14ac:dyDescent="0.2">
      <c r="A66" s="20">
        <v>10.1</v>
      </c>
      <c r="B66" s="21">
        <v>47</v>
      </c>
      <c r="C66" s="21">
        <v>47</v>
      </c>
      <c r="D66" s="22">
        <f>IF(AND(A66&gt;=Constants!$B$8,A66&lt;=Constants!$B$9),Constants!$B$6+Constants!$B$7*(CEILING(A66,1)-Constants!$B$8),Constants!$B$11)</f>
        <v>47</v>
      </c>
      <c r="E66" s="23" t="str">
        <f t="shared" si="0"/>
        <v>OK</v>
      </c>
      <c r="F66" s="24">
        <f>IF(C66&gt;=0,C66/Constants!$B$5,"n/a")</f>
        <v>0.14687500000000001</v>
      </c>
      <c r="G66" s="23" t="str">
        <f>IF(AND(B66=Constants!$B$13,C66&lt;0),"Both error",IF(B66=C66,"Identical",IF(AND(B66=Constants!$B$13,C66&gt;=0),"Fixed in v1.0.0","Different")))</f>
        <v>Identical</v>
      </c>
      <c r="H66" s="7"/>
    </row>
    <row r="67" spans="1:8" x14ac:dyDescent="0.2">
      <c r="A67" s="20">
        <v>10.199999999999999</v>
      </c>
      <c r="B67" s="21">
        <v>47</v>
      </c>
      <c r="C67" s="21">
        <v>47</v>
      </c>
      <c r="D67" s="22">
        <f>IF(AND(A67&gt;=Constants!$B$8,A67&lt;=Constants!$B$9),Constants!$B$6+Constants!$B$7*(CEILING(A67,1)-Constants!$B$8),Constants!$B$11)</f>
        <v>47</v>
      </c>
      <c r="E67" s="23" t="str">
        <f t="shared" si="0"/>
        <v>OK</v>
      </c>
      <c r="F67" s="24">
        <f>IF(C67&gt;=0,C67/Constants!$B$5,"n/a")</f>
        <v>0.14687500000000001</v>
      </c>
      <c r="G67" s="23" t="str">
        <f>IF(AND(B67=Constants!$B$13,C67&lt;0),"Both error",IF(B67=C67,"Identical",IF(AND(B67=Constants!$B$13,C67&gt;=0),"Fixed in v1.0.0","Different")))</f>
        <v>Identical</v>
      </c>
      <c r="H67" s="7"/>
    </row>
    <row r="68" spans="1:8" x14ac:dyDescent="0.2">
      <c r="A68" s="20">
        <v>10.3</v>
      </c>
      <c r="B68" s="21">
        <v>47</v>
      </c>
      <c r="C68" s="21">
        <v>47</v>
      </c>
      <c r="D68" s="22">
        <f>IF(AND(A68&gt;=Constants!$B$8,A68&lt;=Constants!$B$9),Constants!$B$6+Constants!$B$7*(CEILING(A68,1)-Constants!$B$8),Constants!$B$11)</f>
        <v>47</v>
      </c>
      <c r="E68" s="23" t="str">
        <f t="shared" si="0"/>
        <v>OK</v>
      </c>
      <c r="F68" s="24">
        <f>IF(C68&gt;=0,C68/Constants!$B$5,"n/a")</f>
        <v>0.14687500000000001</v>
      </c>
      <c r="G68" s="23" t="str">
        <f>IF(AND(B68=Constants!$B$13,C68&lt;0),"Both error",IF(B68=C68,"Identical",IF(AND(B68=Constants!$B$13,C68&gt;=0),"Fixed in v1.0.0","Different")))</f>
        <v>Identical</v>
      </c>
      <c r="H68" s="7"/>
    </row>
    <row r="69" spans="1:8" x14ac:dyDescent="0.2">
      <c r="A69" s="20">
        <v>10.4</v>
      </c>
      <c r="B69" s="21">
        <v>47</v>
      </c>
      <c r="C69" s="21">
        <v>47</v>
      </c>
      <c r="D69" s="22">
        <f>IF(AND(A69&gt;=Constants!$B$8,A69&lt;=Constants!$B$9),Constants!$B$6+Constants!$B$7*(CEILING(A69,1)-Constants!$B$8),Constants!$B$11)</f>
        <v>47</v>
      </c>
      <c r="E69" s="23" t="str">
        <f t="shared" ref="E69:E132" si="1">IF(C69=D69,"OK","CHECK")</f>
        <v>OK</v>
      </c>
      <c r="F69" s="24">
        <f>IF(C69&gt;=0,C69/Constants!$B$5,"n/a")</f>
        <v>0.14687500000000001</v>
      </c>
      <c r="G69" s="23" t="str">
        <f>IF(AND(B69=Constants!$B$13,C69&lt;0),"Both error",IF(B69=C69,"Identical",IF(AND(B69=Constants!$B$13,C69&gt;=0),"Fixed in v1.0.0","Different")))</f>
        <v>Identical</v>
      </c>
      <c r="H69" s="7"/>
    </row>
    <row r="70" spans="1:8" x14ac:dyDescent="0.2">
      <c r="A70" s="20">
        <v>10.5</v>
      </c>
      <c r="B70" s="21">
        <v>47</v>
      </c>
      <c r="C70" s="21">
        <v>47</v>
      </c>
      <c r="D70" s="22">
        <f>IF(AND(A70&gt;=Constants!$B$8,A70&lt;=Constants!$B$9),Constants!$B$6+Constants!$B$7*(CEILING(A70,1)-Constants!$B$8),Constants!$B$11)</f>
        <v>47</v>
      </c>
      <c r="E70" s="23" t="str">
        <f t="shared" si="1"/>
        <v>OK</v>
      </c>
      <c r="F70" s="24">
        <f>IF(C70&gt;=0,C70/Constants!$B$5,"n/a")</f>
        <v>0.14687500000000001</v>
      </c>
      <c r="G70" s="23" t="str">
        <f>IF(AND(B70=Constants!$B$13,C70&lt;0),"Both error",IF(B70=C70,"Identical",IF(AND(B70=Constants!$B$13,C70&gt;=0),"Fixed in v1.0.0","Different")))</f>
        <v>Identical</v>
      </c>
      <c r="H70" s="7"/>
    </row>
    <row r="71" spans="1:8" x14ac:dyDescent="0.2">
      <c r="A71" s="20">
        <v>10.6</v>
      </c>
      <c r="B71" s="21">
        <v>47</v>
      </c>
      <c r="C71" s="21">
        <v>47</v>
      </c>
      <c r="D71" s="22">
        <f>IF(AND(A71&gt;=Constants!$B$8,A71&lt;=Constants!$B$9),Constants!$B$6+Constants!$B$7*(CEILING(A71,1)-Constants!$B$8),Constants!$B$11)</f>
        <v>47</v>
      </c>
      <c r="E71" s="23" t="str">
        <f t="shared" si="1"/>
        <v>OK</v>
      </c>
      <c r="F71" s="24">
        <f>IF(C71&gt;=0,C71/Constants!$B$5,"n/a")</f>
        <v>0.14687500000000001</v>
      </c>
      <c r="G71" s="23" t="str">
        <f>IF(AND(B71=Constants!$B$13,C71&lt;0),"Both error",IF(B71=C71,"Identical",IF(AND(B71=Constants!$B$13,C71&gt;=0),"Fixed in v1.0.0","Different")))</f>
        <v>Identical</v>
      </c>
      <c r="H71" s="7"/>
    </row>
    <row r="72" spans="1:8" x14ac:dyDescent="0.2">
      <c r="A72" s="20">
        <v>10.7</v>
      </c>
      <c r="B72" s="21">
        <v>47</v>
      </c>
      <c r="C72" s="21">
        <v>47</v>
      </c>
      <c r="D72" s="22">
        <f>IF(AND(A72&gt;=Constants!$B$8,A72&lt;=Constants!$B$9),Constants!$B$6+Constants!$B$7*(CEILING(A72,1)-Constants!$B$8),Constants!$B$11)</f>
        <v>47</v>
      </c>
      <c r="E72" s="23" t="str">
        <f t="shared" si="1"/>
        <v>OK</v>
      </c>
      <c r="F72" s="24">
        <f>IF(C72&gt;=0,C72/Constants!$B$5,"n/a")</f>
        <v>0.14687500000000001</v>
      </c>
      <c r="G72" s="23" t="str">
        <f>IF(AND(B72=Constants!$B$13,C72&lt;0),"Both error",IF(B72=C72,"Identical",IF(AND(B72=Constants!$B$13,C72&gt;=0),"Fixed in v1.0.0","Different")))</f>
        <v>Identical</v>
      </c>
      <c r="H72" s="7"/>
    </row>
    <row r="73" spans="1:8" x14ac:dyDescent="0.2">
      <c r="A73" s="20">
        <v>10.8</v>
      </c>
      <c r="B73" s="21">
        <v>47</v>
      </c>
      <c r="C73" s="21">
        <v>47</v>
      </c>
      <c r="D73" s="22">
        <f>IF(AND(A73&gt;=Constants!$B$8,A73&lt;=Constants!$B$9),Constants!$B$6+Constants!$B$7*(CEILING(A73,1)-Constants!$B$8),Constants!$B$11)</f>
        <v>47</v>
      </c>
      <c r="E73" s="23" t="str">
        <f t="shared" si="1"/>
        <v>OK</v>
      </c>
      <c r="F73" s="24">
        <f>IF(C73&gt;=0,C73/Constants!$B$5,"n/a")</f>
        <v>0.14687500000000001</v>
      </c>
      <c r="G73" s="23" t="str">
        <f>IF(AND(B73=Constants!$B$13,C73&lt;0),"Both error",IF(B73=C73,"Identical",IF(AND(B73=Constants!$B$13,C73&gt;=0),"Fixed in v1.0.0","Different")))</f>
        <v>Identical</v>
      </c>
      <c r="H73" s="7"/>
    </row>
    <row r="74" spans="1:8" x14ac:dyDescent="0.2">
      <c r="A74" s="20">
        <v>10.9</v>
      </c>
      <c r="B74" s="21">
        <v>47</v>
      </c>
      <c r="C74" s="21">
        <v>47</v>
      </c>
      <c r="D74" s="22">
        <f>IF(AND(A74&gt;=Constants!$B$8,A74&lt;=Constants!$B$9),Constants!$B$6+Constants!$B$7*(CEILING(A74,1)-Constants!$B$8),Constants!$B$11)</f>
        <v>47</v>
      </c>
      <c r="E74" s="23" t="str">
        <f t="shared" si="1"/>
        <v>OK</v>
      </c>
      <c r="F74" s="24">
        <f>IF(C74&gt;=0,C74/Constants!$B$5,"n/a")</f>
        <v>0.14687500000000001</v>
      </c>
      <c r="G74" s="23" t="str">
        <f>IF(AND(B74=Constants!$B$13,C74&lt;0),"Both error",IF(B74=C74,"Identical",IF(AND(B74=Constants!$B$13,C74&gt;=0),"Fixed in v1.0.0","Different")))</f>
        <v>Identical</v>
      </c>
      <c r="H74" s="7"/>
    </row>
    <row r="75" spans="1:8" x14ac:dyDescent="0.2">
      <c r="A75" s="20">
        <v>11</v>
      </c>
      <c r="B75" s="21">
        <v>47</v>
      </c>
      <c r="C75" s="21">
        <v>47</v>
      </c>
      <c r="D75" s="22">
        <f>IF(AND(A75&gt;=Constants!$B$8,A75&lt;=Constants!$B$9),Constants!$B$6+Constants!$B$7*(CEILING(A75,1)-Constants!$B$8),Constants!$B$11)</f>
        <v>47</v>
      </c>
      <c r="E75" s="23" t="str">
        <f t="shared" si="1"/>
        <v>OK</v>
      </c>
      <c r="F75" s="24">
        <f>IF(C75&gt;=0,C75/Constants!$B$5,"n/a")</f>
        <v>0.14687500000000001</v>
      </c>
      <c r="G75" s="23" t="str">
        <f>IF(AND(B75=Constants!$B$13,C75&lt;0),"Both error",IF(B75=C75,"Identical",IF(AND(B75=Constants!$B$13,C75&gt;=0),"Fixed in v1.0.0","Different")))</f>
        <v>Identical</v>
      </c>
      <c r="H75" s="7"/>
    </row>
    <row r="76" spans="1:8" x14ac:dyDescent="0.2">
      <c r="A76" s="20">
        <v>11.1</v>
      </c>
      <c r="B76" s="21">
        <v>54</v>
      </c>
      <c r="C76" s="21">
        <v>54</v>
      </c>
      <c r="D76" s="22">
        <f>IF(AND(A76&gt;=Constants!$B$8,A76&lt;=Constants!$B$9),Constants!$B$6+Constants!$B$7*(CEILING(A76,1)-Constants!$B$8),Constants!$B$11)</f>
        <v>54</v>
      </c>
      <c r="E76" s="23" t="str">
        <f t="shared" si="1"/>
        <v>OK</v>
      </c>
      <c r="F76" s="24">
        <f>IF(C76&gt;=0,C76/Constants!$B$5,"n/a")</f>
        <v>0.16875000000000001</v>
      </c>
      <c r="G76" s="23" t="str">
        <f>IF(AND(B76=Constants!$B$13,C76&lt;0),"Both error",IF(B76=C76,"Identical",IF(AND(B76=Constants!$B$13,C76&gt;=0),"Fixed in v1.0.0","Different")))</f>
        <v>Identical</v>
      </c>
      <c r="H76" s="7"/>
    </row>
    <row r="77" spans="1:8" x14ac:dyDescent="0.2">
      <c r="A77" s="20">
        <v>11.2</v>
      </c>
      <c r="B77" s="21">
        <v>54</v>
      </c>
      <c r="C77" s="21">
        <v>54</v>
      </c>
      <c r="D77" s="22">
        <f>IF(AND(A77&gt;=Constants!$B$8,A77&lt;=Constants!$B$9),Constants!$B$6+Constants!$B$7*(CEILING(A77,1)-Constants!$B$8),Constants!$B$11)</f>
        <v>54</v>
      </c>
      <c r="E77" s="23" t="str">
        <f t="shared" si="1"/>
        <v>OK</v>
      </c>
      <c r="F77" s="24">
        <f>IF(C77&gt;=0,C77/Constants!$B$5,"n/a")</f>
        <v>0.16875000000000001</v>
      </c>
      <c r="G77" s="23" t="str">
        <f>IF(AND(B77=Constants!$B$13,C77&lt;0),"Both error",IF(B77=C77,"Identical",IF(AND(B77=Constants!$B$13,C77&gt;=0),"Fixed in v1.0.0","Different")))</f>
        <v>Identical</v>
      </c>
      <c r="H77" s="7"/>
    </row>
    <row r="78" spans="1:8" x14ac:dyDescent="0.2">
      <c r="A78" s="20">
        <v>11.3</v>
      </c>
      <c r="B78" s="21">
        <v>54</v>
      </c>
      <c r="C78" s="21">
        <v>54</v>
      </c>
      <c r="D78" s="22">
        <f>IF(AND(A78&gt;=Constants!$B$8,A78&lt;=Constants!$B$9),Constants!$B$6+Constants!$B$7*(CEILING(A78,1)-Constants!$B$8),Constants!$B$11)</f>
        <v>54</v>
      </c>
      <c r="E78" s="23" t="str">
        <f t="shared" si="1"/>
        <v>OK</v>
      </c>
      <c r="F78" s="24">
        <f>IF(C78&gt;=0,C78/Constants!$B$5,"n/a")</f>
        <v>0.16875000000000001</v>
      </c>
      <c r="G78" s="23" t="str">
        <f>IF(AND(B78=Constants!$B$13,C78&lt;0),"Both error",IF(B78=C78,"Identical",IF(AND(B78=Constants!$B$13,C78&gt;=0),"Fixed in v1.0.0","Different")))</f>
        <v>Identical</v>
      </c>
      <c r="H78" s="7"/>
    </row>
    <row r="79" spans="1:8" x14ac:dyDescent="0.2">
      <c r="A79" s="20">
        <v>11.4</v>
      </c>
      <c r="B79" s="21">
        <v>54</v>
      </c>
      <c r="C79" s="21">
        <v>54</v>
      </c>
      <c r="D79" s="22">
        <f>IF(AND(A79&gt;=Constants!$B$8,A79&lt;=Constants!$B$9),Constants!$B$6+Constants!$B$7*(CEILING(A79,1)-Constants!$B$8),Constants!$B$11)</f>
        <v>54</v>
      </c>
      <c r="E79" s="23" t="str">
        <f t="shared" si="1"/>
        <v>OK</v>
      </c>
      <c r="F79" s="24">
        <f>IF(C79&gt;=0,C79/Constants!$B$5,"n/a")</f>
        <v>0.16875000000000001</v>
      </c>
      <c r="G79" s="23" t="str">
        <f>IF(AND(B79=Constants!$B$13,C79&lt;0),"Both error",IF(B79=C79,"Identical",IF(AND(B79=Constants!$B$13,C79&gt;=0),"Fixed in v1.0.0","Different")))</f>
        <v>Identical</v>
      </c>
      <c r="H79" s="7"/>
    </row>
    <row r="80" spans="1:8" x14ac:dyDescent="0.2">
      <c r="A80" s="20">
        <v>11.5</v>
      </c>
      <c r="B80" s="21">
        <v>54</v>
      </c>
      <c r="C80" s="21">
        <v>54</v>
      </c>
      <c r="D80" s="22">
        <f>IF(AND(A80&gt;=Constants!$B$8,A80&lt;=Constants!$B$9),Constants!$B$6+Constants!$B$7*(CEILING(A80,1)-Constants!$B$8),Constants!$B$11)</f>
        <v>54</v>
      </c>
      <c r="E80" s="23" t="str">
        <f t="shared" si="1"/>
        <v>OK</v>
      </c>
      <c r="F80" s="24">
        <f>IF(C80&gt;=0,C80/Constants!$B$5,"n/a")</f>
        <v>0.16875000000000001</v>
      </c>
      <c r="G80" s="23" t="str">
        <f>IF(AND(B80=Constants!$B$13,C80&lt;0),"Both error",IF(B80=C80,"Identical",IF(AND(B80=Constants!$B$13,C80&gt;=0),"Fixed in v1.0.0","Different")))</f>
        <v>Identical</v>
      </c>
      <c r="H80" s="7"/>
    </row>
    <row r="81" spans="1:8" x14ac:dyDescent="0.2">
      <c r="A81" s="20">
        <v>11.6</v>
      </c>
      <c r="B81" s="21">
        <v>54</v>
      </c>
      <c r="C81" s="21">
        <v>54</v>
      </c>
      <c r="D81" s="22">
        <f>IF(AND(A81&gt;=Constants!$B$8,A81&lt;=Constants!$B$9),Constants!$B$6+Constants!$B$7*(CEILING(A81,1)-Constants!$B$8),Constants!$B$11)</f>
        <v>54</v>
      </c>
      <c r="E81" s="23" t="str">
        <f t="shared" si="1"/>
        <v>OK</v>
      </c>
      <c r="F81" s="24">
        <f>IF(C81&gt;=0,C81/Constants!$B$5,"n/a")</f>
        <v>0.16875000000000001</v>
      </c>
      <c r="G81" s="23" t="str">
        <f>IF(AND(B81=Constants!$B$13,C81&lt;0),"Both error",IF(B81=C81,"Identical",IF(AND(B81=Constants!$B$13,C81&gt;=0),"Fixed in v1.0.0","Different")))</f>
        <v>Identical</v>
      </c>
      <c r="H81" s="7"/>
    </row>
    <row r="82" spans="1:8" x14ac:dyDescent="0.2">
      <c r="A82" s="20">
        <v>11.7</v>
      </c>
      <c r="B82" s="21">
        <v>54</v>
      </c>
      <c r="C82" s="21">
        <v>54</v>
      </c>
      <c r="D82" s="22">
        <f>IF(AND(A82&gt;=Constants!$B$8,A82&lt;=Constants!$B$9),Constants!$B$6+Constants!$B$7*(CEILING(A82,1)-Constants!$B$8),Constants!$B$11)</f>
        <v>54</v>
      </c>
      <c r="E82" s="23" t="str">
        <f t="shared" si="1"/>
        <v>OK</v>
      </c>
      <c r="F82" s="24">
        <f>IF(C82&gt;=0,C82/Constants!$B$5,"n/a")</f>
        <v>0.16875000000000001</v>
      </c>
      <c r="G82" s="23" t="str">
        <f>IF(AND(B82=Constants!$B$13,C82&lt;0),"Both error",IF(B82=C82,"Identical",IF(AND(B82=Constants!$B$13,C82&gt;=0),"Fixed in v1.0.0","Different")))</f>
        <v>Identical</v>
      </c>
      <c r="H82" s="7"/>
    </row>
    <row r="83" spans="1:8" x14ac:dyDescent="0.2">
      <c r="A83" s="20">
        <v>11.8</v>
      </c>
      <c r="B83" s="21">
        <v>54</v>
      </c>
      <c r="C83" s="21">
        <v>54</v>
      </c>
      <c r="D83" s="22">
        <f>IF(AND(A83&gt;=Constants!$B$8,A83&lt;=Constants!$B$9),Constants!$B$6+Constants!$B$7*(CEILING(A83,1)-Constants!$B$8),Constants!$B$11)</f>
        <v>54</v>
      </c>
      <c r="E83" s="23" t="str">
        <f t="shared" si="1"/>
        <v>OK</v>
      </c>
      <c r="F83" s="24">
        <f>IF(C83&gt;=0,C83/Constants!$B$5,"n/a")</f>
        <v>0.16875000000000001</v>
      </c>
      <c r="G83" s="23" t="str">
        <f>IF(AND(B83=Constants!$B$13,C83&lt;0),"Both error",IF(B83=C83,"Identical",IF(AND(B83=Constants!$B$13,C83&gt;=0),"Fixed in v1.0.0","Different")))</f>
        <v>Identical</v>
      </c>
      <c r="H83" s="7"/>
    </row>
    <row r="84" spans="1:8" x14ac:dyDescent="0.2">
      <c r="A84" s="20">
        <v>11.9</v>
      </c>
      <c r="B84" s="21">
        <v>54</v>
      </c>
      <c r="C84" s="21">
        <v>54</v>
      </c>
      <c r="D84" s="22">
        <f>IF(AND(A84&gt;=Constants!$B$8,A84&lt;=Constants!$B$9),Constants!$B$6+Constants!$B$7*(CEILING(A84,1)-Constants!$B$8),Constants!$B$11)</f>
        <v>54</v>
      </c>
      <c r="E84" s="23" t="str">
        <f t="shared" si="1"/>
        <v>OK</v>
      </c>
      <c r="F84" s="24">
        <f>IF(C84&gt;=0,C84/Constants!$B$5,"n/a")</f>
        <v>0.16875000000000001</v>
      </c>
      <c r="G84" s="23" t="str">
        <f>IF(AND(B84=Constants!$B$13,C84&lt;0),"Both error",IF(B84=C84,"Identical",IF(AND(B84=Constants!$B$13,C84&gt;=0),"Fixed in v1.0.0","Different")))</f>
        <v>Identical</v>
      </c>
      <c r="H84" s="7"/>
    </row>
    <row r="85" spans="1:8" x14ac:dyDescent="0.2">
      <c r="A85" s="20">
        <v>12</v>
      </c>
      <c r="B85" s="21">
        <v>54</v>
      </c>
      <c r="C85" s="21">
        <v>54</v>
      </c>
      <c r="D85" s="22">
        <f>IF(AND(A85&gt;=Constants!$B$8,A85&lt;=Constants!$B$9),Constants!$B$6+Constants!$B$7*(CEILING(A85,1)-Constants!$B$8),Constants!$B$11)</f>
        <v>54</v>
      </c>
      <c r="E85" s="23" t="str">
        <f t="shared" si="1"/>
        <v>OK</v>
      </c>
      <c r="F85" s="24">
        <f>IF(C85&gt;=0,C85/Constants!$B$5,"n/a")</f>
        <v>0.16875000000000001</v>
      </c>
      <c r="G85" s="23" t="str">
        <f>IF(AND(B85=Constants!$B$13,C85&lt;0),"Both error",IF(B85=C85,"Identical",IF(AND(B85=Constants!$B$13,C85&gt;=0),"Fixed in v1.0.0","Different")))</f>
        <v>Identical</v>
      </c>
      <c r="H85" s="7"/>
    </row>
    <row r="86" spans="1:8" x14ac:dyDescent="0.2">
      <c r="A86" s="20">
        <v>12.1</v>
      </c>
      <c r="B86" s="21">
        <v>61</v>
      </c>
      <c r="C86" s="21">
        <v>61</v>
      </c>
      <c r="D86" s="22">
        <f>IF(AND(A86&gt;=Constants!$B$8,A86&lt;=Constants!$B$9),Constants!$B$6+Constants!$B$7*(CEILING(A86,1)-Constants!$B$8),Constants!$B$11)</f>
        <v>61</v>
      </c>
      <c r="E86" s="23" t="str">
        <f t="shared" si="1"/>
        <v>OK</v>
      </c>
      <c r="F86" s="24">
        <f>IF(C86&gt;=0,C86/Constants!$B$5,"n/a")</f>
        <v>0.19062499999999999</v>
      </c>
      <c r="G86" s="23" t="str">
        <f>IF(AND(B86=Constants!$B$13,C86&lt;0),"Both error",IF(B86=C86,"Identical",IF(AND(B86=Constants!$B$13,C86&gt;=0),"Fixed in v1.0.0","Different")))</f>
        <v>Identical</v>
      </c>
      <c r="H86" s="7"/>
    </row>
    <row r="87" spans="1:8" x14ac:dyDescent="0.2">
      <c r="A87" s="20">
        <v>12.2</v>
      </c>
      <c r="B87" s="21">
        <v>61</v>
      </c>
      <c r="C87" s="21">
        <v>61</v>
      </c>
      <c r="D87" s="22">
        <f>IF(AND(A87&gt;=Constants!$B$8,A87&lt;=Constants!$B$9),Constants!$B$6+Constants!$B$7*(CEILING(A87,1)-Constants!$B$8),Constants!$B$11)</f>
        <v>61</v>
      </c>
      <c r="E87" s="23" t="str">
        <f t="shared" si="1"/>
        <v>OK</v>
      </c>
      <c r="F87" s="24">
        <f>IF(C87&gt;=0,C87/Constants!$B$5,"n/a")</f>
        <v>0.19062499999999999</v>
      </c>
      <c r="G87" s="23" t="str">
        <f>IF(AND(B87=Constants!$B$13,C87&lt;0),"Both error",IF(B87=C87,"Identical",IF(AND(B87=Constants!$B$13,C87&gt;=0),"Fixed in v1.0.0","Different")))</f>
        <v>Identical</v>
      </c>
      <c r="H87" s="7"/>
    </row>
    <row r="88" spans="1:8" x14ac:dyDescent="0.2">
      <c r="A88" s="20">
        <v>12.3</v>
      </c>
      <c r="B88" s="21">
        <v>61</v>
      </c>
      <c r="C88" s="21">
        <v>61</v>
      </c>
      <c r="D88" s="22">
        <f>IF(AND(A88&gt;=Constants!$B$8,A88&lt;=Constants!$B$9),Constants!$B$6+Constants!$B$7*(CEILING(A88,1)-Constants!$B$8),Constants!$B$11)</f>
        <v>61</v>
      </c>
      <c r="E88" s="23" t="str">
        <f t="shared" si="1"/>
        <v>OK</v>
      </c>
      <c r="F88" s="24">
        <f>IF(C88&gt;=0,C88/Constants!$B$5,"n/a")</f>
        <v>0.19062499999999999</v>
      </c>
      <c r="G88" s="23" t="str">
        <f>IF(AND(B88=Constants!$B$13,C88&lt;0),"Both error",IF(B88=C88,"Identical",IF(AND(B88=Constants!$B$13,C88&gt;=0),"Fixed in v1.0.0","Different")))</f>
        <v>Identical</v>
      </c>
      <c r="H88" s="7"/>
    </row>
    <row r="89" spans="1:8" x14ac:dyDescent="0.2">
      <c r="A89" s="20">
        <v>12.4</v>
      </c>
      <c r="B89" s="21">
        <v>61</v>
      </c>
      <c r="C89" s="21">
        <v>61</v>
      </c>
      <c r="D89" s="22">
        <f>IF(AND(A89&gt;=Constants!$B$8,A89&lt;=Constants!$B$9),Constants!$B$6+Constants!$B$7*(CEILING(A89,1)-Constants!$B$8),Constants!$B$11)</f>
        <v>61</v>
      </c>
      <c r="E89" s="23" t="str">
        <f t="shared" si="1"/>
        <v>OK</v>
      </c>
      <c r="F89" s="24">
        <f>IF(C89&gt;=0,C89/Constants!$B$5,"n/a")</f>
        <v>0.19062499999999999</v>
      </c>
      <c r="G89" s="23" t="str">
        <f>IF(AND(B89=Constants!$B$13,C89&lt;0),"Both error",IF(B89=C89,"Identical",IF(AND(B89=Constants!$B$13,C89&gt;=0),"Fixed in v1.0.0","Different")))</f>
        <v>Identical</v>
      </c>
      <c r="H89" s="7"/>
    </row>
    <row r="90" spans="1:8" x14ac:dyDescent="0.2">
      <c r="A90" s="20">
        <v>12.5</v>
      </c>
      <c r="B90" s="21">
        <v>61</v>
      </c>
      <c r="C90" s="21">
        <v>61</v>
      </c>
      <c r="D90" s="22">
        <f>IF(AND(A90&gt;=Constants!$B$8,A90&lt;=Constants!$B$9),Constants!$B$6+Constants!$B$7*(CEILING(A90,1)-Constants!$B$8),Constants!$B$11)</f>
        <v>61</v>
      </c>
      <c r="E90" s="23" t="str">
        <f t="shared" si="1"/>
        <v>OK</v>
      </c>
      <c r="F90" s="24">
        <f>IF(C90&gt;=0,C90/Constants!$B$5,"n/a")</f>
        <v>0.19062499999999999</v>
      </c>
      <c r="G90" s="23" t="str">
        <f>IF(AND(B90=Constants!$B$13,C90&lt;0),"Both error",IF(B90=C90,"Identical",IF(AND(B90=Constants!$B$13,C90&gt;=0),"Fixed in v1.0.0","Different")))</f>
        <v>Identical</v>
      </c>
      <c r="H90" s="7"/>
    </row>
    <row r="91" spans="1:8" x14ac:dyDescent="0.2">
      <c r="A91" s="20">
        <v>12.6</v>
      </c>
      <c r="B91" s="21">
        <v>61</v>
      </c>
      <c r="C91" s="21">
        <v>61</v>
      </c>
      <c r="D91" s="22">
        <f>IF(AND(A91&gt;=Constants!$B$8,A91&lt;=Constants!$B$9),Constants!$B$6+Constants!$B$7*(CEILING(A91,1)-Constants!$B$8),Constants!$B$11)</f>
        <v>61</v>
      </c>
      <c r="E91" s="23" t="str">
        <f t="shared" si="1"/>
        <v>OK</v>
      </c>
      <c r="F91" s="24">
        <f>IF(C91&gt;=0,C91/Constants!$B$5,"n/a")</f>
        <v>0.19062499999999999</v>
      </c>
      <c r="G91" s="23" t="str">
        <f>IF(AND(B91=Constants!$B$13,C91&lt;0),"Both error",IF(B91=C91,"Identical",IF(AND(B91=Constants!$B$13,C91&gt;=0),"Fixed in v1.0.0","Different")))</f>
        <v>Identical</v>
      </c>
      <c r="H91" s="7"/>
    </row>
    <row r="92" spans="1:8" x14ac:dyDescent="0.2">
      <c r="A92" s="20">
        <v>12.7</v>
      </c>
      <c r="B92" s="21">
        <v>61</v>
      </c>
      <c r="C92" s="21">
        <v>61</v>
      </c>
      <c r="D92" s="22">
        <f>IF(AND(A92&gt;=Constants!$B$8,A92&lt;=Constants!$B$9),Constants!$B$6+Constants!$B$7*(CEILING(A92,1)-Constants!$B$8),Constants!$B$11)</f>
        <v>61</v>
      </c>
      <c r="E92" s="23" t="str">
        <f t="shared" si="1"/>
        <v>OK</v>
      </c>
      <c r="F92" s="24">
        <f>IF(C92&gt;=0,C92/Constants!$B$5,"n/a")</f>
        <v>0.19062499999999999</v>
      </c>
      <c r="G92" s="23" t="str">
        <f>IF(AND(B92=Constants!$B$13,C92&lt;0),"Both error",IF(B92=C92,"Identical",IF(AND(B92=Constants!$B$13,C92&gt;=0),"Fixed in v1.0.0","Different")))</f>
        <v>Identical</v>
      </c>
      <c r="H92" s="7"/>
    </row>
    <row r="93" spans="1:8" x14ac:dyDescent="0.2">
      <c r="A93" s="20">
        <v>12.8</v>
      </c>
      <c r="B93" s="21">
        <v>61</v>
      </c>
      <c r="C93" s="21">
        <v>61</v>
      </c>
      <c r="D93" s="22">
        <f>IF(AND(A93&gt;=Constants!$B$8,A93&lt;=Constants!$B$9),Constants!$B$6+Constants!$B$7*(CEILING(A93,1)-Constants!$B$8),Constants!$B$11)</f>
        <v>61</v>
      </c>
      <c r="E93" s="23" t="str">
        <f t="shared" si="1"/>
        <v>OK</v>
      </c>
      <c r="F93" s="24">
        <f>IF(C93&gt;=0,C93/Constants!$B$5,"n/a")</f>
        <v>0.19062499999999999</v>
      </c>
      <c r="G93" s="23" t="str">
        <f>IF(AND(B93=Constants!$B$13,C93&lt;0),"Both error",IF(B93=C93,"Identical",IF(AND(B93=Constants!$B$13,C93&gt;=0),"Fixed in v1.0.0","Different")))</f>
        <v>Identical</v>
      </c>
      <c r="H93" s="7"/>
    </row>
    <row r="94" spans="1:8" x14ac:dyDescent="0.2">
      <c r="A94" s="20">
        <v>12.9</v>
      </c>
      <c r="B94" s="21">
        <v>61</v>
      </c>
      <c r="C94" s="21">
        <v>61</v>
      </c>
      <c r="D94" s="22">
        <f>IF(AND(A94&gt;=Constants!$B$8,A94&lt;=Constants!$B$9),Constants!$B$6+Constants!$B$7*(CEILING(A94,1)-Constants!$B$8),Constants!$B$11)</f>
        <v>61</v>
      </c>
      <c r="E94" s="23" t="str">
        <f t="shared" si="1"/>
        <v>OK</v>
      </c>
      <c r="F94" s="24">
        <f>IF(C94&gt;=0,C94/Constants!$B$5,"n/a")</f>
        <v>0.19062499999999999</v>
      </c>
      <c r="G94" s="23" t="str">
        <f>IF(AND(B94=Constants!$B$13,C94&lt;0),"Both error",IF(B94=C94,"Identical",IF(AND(B94=Constants!$B$13,C94&gt;=0),"Fixed in v1.0.0","Different")))</f>
        <v>Identical</v>
      </c>
      <c r="H94" s="7"/>
    </row>
    <row r="95" spans="1:8" x14ac:dyDescent="0.2">
      <c r="A95" s="20">
        <v>13</v>
      </c>
      <c r="B95" s="21">
        <v>61</v>
      </c>
      <c r="C95" s="21">
        <v>61</v>
      </c>
      <c r="D95" s="22">
        <f>IF(AND(A95&gt;=Constants!$B$8,A95&lt;=Constants!$B$9),Constants!$B$6+Constants!$B$7*(CEILING(A95,1)-Constants!$B$8),Constants!$B$11)</f>
        <v>61</v>
      </c>
      <c r="E95" s="23" t="str">
        <f t="shared" si="1"/>
        <v>OK</v>
      </c>
      <c r="F95" s="24">
        <f>IF(C95&gt;=0,C95/Constants!$B$5,"n/a")</f>
        <v>0.19062499999999999</v>
      </c>
      <c r="G95" s="23" t="str">
        <f>IF(AND(B95=Constants!$B$13,C95&lt;0),"Both error",IF(B95=C95,"Identical",IF(AND(B95=Constants!$B$13,C95&gt;=0),"Fixed in v1.0.0","Different")))</f>
        <v>Identical</v>
      </c>
      <c r="H95" s="7"/>
    </row>
    <row r="96" spans="1:8" x14ac:dyDescent="0.2">
      <c r="A96" s="20">
        <v>13.1</v>
      </c>
      <c r="B96" s="21">
        <v>68</v>
      </c>
      <c r="C96" s="21">
        <v>68</v>
      </c>
      <c r="D96" s="22">
        <f>IF(AND(A96&gt;=Constants!$B$8,A96&lt;=Constants!$B$9),Constants!$B$6+Constants!$B$7*(CEILING(A96,1)-Constants!$B$8),Constants!$B$11)</f>
        <v>68</v>
      </c>
      <c r="E96" s="23" t="str">
        <f t="shared" si="1"/>
        <v>OK</v>
      </c>
      <c r="F96" s="24">
        <f>IF(C96&gt;=0,C96/Constants!$B$5,"n/a")</f>
        <v>0.21249999999999999</v>
      </c>
      <c r="G96" s="23" t="str">
        <f>IF(AND(B96=Constants!$B$13,C96&lt;0),"Both error",IF(B96=C96,"Identical",IF(AND(B96=Constants!$B$13,C96&gt;=0),"Fixed in v1.0.0","Different")))</f>
        <v>Identical</v>
      </c>
      <c r="H96" s="7"/>
    </row>
    <row r="97" spans="1:8" x14ac:dyDescent="0.2">
      <c r="A97" s="20">
        <v>13.2</v>
      </c>
      <c r="B97" s="21">
        <v>68</v>
      </c>
      <c r="C97" s="21">
        <v>68</v>
      </c>
      <c r="D97" s="22">
        <f>IF(AND(A97&gt;=Constants!$B$8,A97&lt;=Constants!$B$9),Constants!$B$6+Constants!$B$7*(CEILING(A97,1)-Constants!$B$8),Constants!$B$11)</f>
        <v>68</v>
      </c>
      <c r="E97" s="23" t="str">
        <f t="shared" si="1"/>
        <v>OK</v>
      </c>
      <c r="F97" s="24">
        <f>IF(C97&gt;=0,C97/Constants!$B$5,"n/a")</f>
        <v>0.21249999999999999</v>
      </c>
      <c r="G97" s="23" t="str">
        <f>IF(AND(B97=Constants!$B$13,C97&lt;0),"Both error",IF(B97=C97,"Identical",IF(AND(B97=Constants!$B$13,C97&gt;=0),"Fixed in v1.0.0","Different")))</f>
        <v>Identical</v>
      </c>
      <c r="H97" s="7"/>
    </row>
    <row r="98" spans="1:8" x14ac:dyDescent="0.2">
      <c r="A98" s="20">
        <v>13.3</v>
      </c>
      <c r="B98" s="21">
        <v>68</v>
      </c>
      <c r="C98" s="21">
        <v>68</v>
      </c>
      <c r="D98" s="22">
        <f>IF(AND(A98&gt;=Constants!$B$8,A98&lt;=Constants!$B$9),Constants!$B$6+Constants!$B$7*(CEILING(A98,1)-Constants!$B$8),Constants!$B$11)</f>
        <v>68</v>
      </c>
      <c r="E98" s="23" t="str">
        <f t="shared" si="1"/>
        <v>OK</v>
      </c>
      <c r="F98" s="24">
        <f>IF(C98&gt;=0,C98/Constants!$B$5,"n/a")</f>
        <v>0.21249999999999999</v>
      </c>
      <c r="G98" s="23" t="str">
        <f>IF(AND(B98=Constants!$B$13,C98&lt;0),"Both error",IF(B98=C98,"Identical",IF(AND(B98=Constants!$B$13,C98&gt;=0),"Fixed in v1.0.0","Different")))</f>
        <v>Identical</v>
      </c>
      <c r="H98" s="7"/>
    </row>
    <row r="99" spans="1:8" x14ac:dyDescent="0.2">
      <c r="A99" s="20">
        <v>13.4</v>
      </c>
      <c r="B99" s="21">
        <v>68</v>
      </c>
      <c r="C99" s="21">
        <v>68</v>
      </c>
      <c r="D99" s="22">
        <f>IF(AND(A99&gt;=Constants!$B$8,A99&lt;=Constants!$B$9),Constants!$B$6+Constants!$B$7*(CEILING(A99,1)-Constants!$B$8),Constants!$B$11)</f>
        <v>68</v>
      </c>
      <c r="E99" s="23" t="str">
        <f t="shared" si="1"/>
        <v>OK</v>
      </c>
      <c r="F99" s="24">
        <f>IF(C99&gt;=0,C99/Constants!$B$5,"n/a")</f>
        <v>0.21249999999999999</v>
      </c>
      <c r="G99" s="23" t="str">
        <f>IF(AND(B99=Constants!$B$13,C99&lt;0),"Both error",IF(B99=C99,"Identical",IF(AND(B99=Constants!$B$13,C99&gt;=0),"Fixed in v1.0.0","Different")))</f>
        <v>Identical</v>
      </c>
      <c r="H99" s="7"/>
    </row>
    <row r="100" spans="1:8" x14ac:dyDescent="0.2">
      <c r="A100" s="20">
        <v>13.5</v>
      </c>
      <c r="B100" s="21">
        <v>68</v>
      </c>
      <c r="C100" s="21">
        <v>68</v>
      </c>
      <c r="D100" s="22">
        <f>IF(AND(A100&gt;=Constants!$B$8,A100&lt;=Constants!$B$9),Constants!$B$6+Constants!$B$7*(CEILING(A100,1)-Constants!$B$8),Constants!$B$11)</f>
        <v>68</v>
      </c>
      <c r="E100" s="23" t="str">
        <f t="shared" si="1"/>
        <v>OK</v>
      </c>
      <c r="F100" s="24">
        <f>IF(C100&gt;=0,C100/Constants!$B$5,"n/a")</f>
        <v>0.21249999999999999</v>
      </c>
      <c r="G100" s="23" t="str">
        <f>IF(AND(B100=Constants!$B$13,C100&lt;0),"Both error",IF(B100=C100,"Identical",IF(AND(B100=Constants!$B$13,C100&gt;=0),"Fixed in v1.0.0","Different")))</f>
        <v>Identical</v>
      </c>
      <c r="H100" s="7"/>
    </row>
    <row r="101" spans="1:8" x14ac:dyDescent="0.2">
      <c r="A101" s="20">
        <v>13.6</v>
      </c>
      <c r="B101" s="21">
        <v>68</v>
      </c>
      <c r="C101" s="21">
        <v>68</v>
      </c>
      <c r="D101" s="22">
        <f>IF(AND(A101&gt;=Constants!$B$8,A101&lt;=Constants!$B$9),Constants!$B$6+Constants!$B$7*(CEILING(A101,1)-Constants!$B$8),Constants!$B$11)</f>
        <v>68</v>
      </c>
      <c r="E101" s="23" t="str">
        <f t="shared" si="1"/>
        <v>OK</v>
      </c>
      <c r="F101" s="24">
        <f>IF(C101&gt;=0,C101/Constants!$B$5,"n/a")</f>
        <v>0.21249999999999999</v>
      </c>
      <c r="G101" s="23" t="str">
        <f>IF(AND(B101=Constants!$B$13,C101&lt;0),"Both error",IF(B101=C101,"Identical",IF(AND(B101=Constants!$B$13,C101&gt;=0),"Fixed in v1.0.0","Different")))</f>
        <v>Identical</v>
      </c>
      <c r="H101" s="7"/>
    </row>
    <row r="102" spans="1:8" x14ac:dyDescent="0.2">
      <c r="A102" s="20">
        <v>13.7</v>
      </c>
      <c r="B102" s="21">
        <v>68</v>
      </c>
      <c r="C102" s="21">
        <v>68</v>
      </c>
      <c r="D102" s="22">
        <f>IF(AND(A102&gt;=Constants!$B$8,A102&lt;=Constants!$B$9),Constants!$B$6+Constants!$B$7*(CEILING(A102,1)-Constants!$B$8),Constants!$B$11)</f>
        <v>68</v>
      </c>
      <c r="E102" s="23" t="str">
        <f t="shared" si="1"/>
        <v>OK</v>
      </c>
      <c r="F102" s="24">
        <f>IF(C102&gt;=0,C102/Constants!$B$5,"n/a")</f>
        <v>0.21249999999999999</v>
      </c>
      <c r="G102" s="23" t="str">
        <f>IF(AND(B102=Constants!$B$13,C102&lt;0),"Both error",IF(B102=C102,"Identical",IF(AND(B102=Constants!$B$13,C102&gt;=0),"Fixed in v1.0.0","Different")))</f>
        <v>Identical</v>
      </c>
      <c r="H102" s="7"/>
    </row>
    <row r="103" spans="1:8" x14ac:dyDescent="0.2">
      <c r="A103" s="20">
        <v>13.8</v>
      </c>
      <c r="B103" s="21">
        <v>68</v>
      </c>
      <c r="C103" s="21">
        <v>68</v>
      </c>
      <c r="D103" s="22">
        <f>IF(AND(A103&gt;=Constants!$B$8,A103&lt;=Constants!$B$9),Constants!$B$6+Constants!$B$7*(CEILING(A103,1)-Constants!$B$8),Constants!$B$11)</f>
        <v>68</v>
      </c>
      <c r="E103" s="23" t="str">
        <f t="shared" si="1"/>
        <v>OK</v>
      </c>
      <c r="F103" s="24">
        <f>IF(C103&gt;=0,C103/Constants!$B$5,"n/a")</f>
        <v>0.21249999999999999</v>
      </c>
      <c r="G103" s="23" t="str">
        <f>IF(AND(B103=Constants!$B$13,C103&lt;0),"Both error",IF(B103=C103,"Identical",IF(AND(B103=Constants!$B$13,C103&gt;=0),"Fixed in v1.0.0","Different")))</f>
        <v>Identical</v>
      </c>
      <c r="H103" s="7"/>
    </row>
    <row r="104" spans="1:8" x14ac:dyDescent="0.2">
      <c r="A104" s="20">
        <v>13.9</v>
      </c>
      <c r="B104" s="21">
        <v>68</v>
      </c>
      <c r="C104" s="21">
        <v>68</v>
      </c>
      <c r="D104" s="22">
        <f>IF(AND(A104&gt;=Constants!$B$8,A104&lt;=Constants!$B$9),Constants!$B$6+Constants!$B$7*(CEILING(A104,1)-Constants!$B$8),Constants!$B$11)</f>
        <v>68</v>
      </c>
      <c r="E104" s="23" t="str">
        <f t="shared" si="1"/>
        <v>OK</v>
      </c>
      <c r="F104" s="24">
        <f>IF(C104&gt;=0,C104/Constants!$B$5,"n/a")</f>
        <v>0.21249999999999999</v>
      </c>
      <c r="G104" s="23" t="str">
        <f>IF(AND(B104=Constants!$B$13,C104&lt;0),"Both error",IF(B104=C104,"Identical",IF(AND(B104=Constants!$B$13,C104&gt;=0),"Fixed in v1.0.0","Different")))</f>
        <v>Identical</v>
      </c>
      <c r="H104" s="7"/>
    </row>
    <row r="105" spans="1:8" x14ac:dyDescent="0.2">
      <c r="A105" s="20">
        <v>14</v>
      </c>
      <c r="B105" s="21">
        <v>68</v>
      </c>
      <c r="C105" s="21">
        <v>68</v>
      </c>
      <c r="D105" s="22">
        <f>IF(AND(A105&gt;=Constants!$B$8,A105&lt;=Constants!$B$9),Constants!$B$6+Constants!$B$7*(CEILING(A105,1)-Constants!$B$8),Constants!$B$11)</f>
        <v>68</v>
      </c>
      <c r="E105" s="23" t="str">
        <f t="shared" si="1"/>
        <v>OK</v>
      </c>
      <c r="F105" s="24">
        <f>IF(C105&gt;=0,C105/Constants!$B$5,"n/a")</f>
        <v>0.21249999999999999</v>
      </c>
      <c r="G105" s="23" t="str">
        <f>IF(AND(B105=Constants!$B$13,C105&lt;0),"Both error",IF(B105=C105,"Identical",IF(AND(B105=Constants!$B$13,C105&gt;=0),"Fixed in v1.0.0","Different")))</f>
        <v>Identical</v>
      </c>
      <c r="H105" s="7"/>
    </row>
    <row r="106" spans="1:8" x14ac:dyDescent="0.2">
      <c r="A106" s="20">
        <v>14.1</v>
      </c>
      <c r="B106" s="21">
        <v>75</v>
      </c>
      <c r="C106" s="21">
        <v>75</v>
      </c>
      <c r="D106" s="22">
        <f>IF(AND(A106&gt;=Constants!$B$8,A106&lt;=Constants!$B$9),Constants!$B$6+Constants!$B$7*(CEILING(A106,1)-Constants!$B$8),Constants!$B$11)</f>
        <v>75</v>
      </c>
      <c r="E106" s="23" t="str">
        <f t="shared" si="1"/>
        <v>OK</v>
      </c>
      <c r="F106" s="24">
        <f>IF(C106&gt;=0,C106/Constants!$B$5,"n/a")</f>
        <v>0.234375</v>
      </c>
      <c r="G106" s="23" t="str">
        <f>IF(AND(B106=Constants!$B$13,C106&lt;0),"Both error",IF(B106=C106,"Identical",IF(AND(B106=Constants!$B$13,C106&gt;=0),"Fixed in v1.0.0","Different")))</f>
        <v>Identical</v>
      </c>
      <c r="H106" s="7"/>
    </row>
    <row r="107" spans="1:8" x14ac:dyDescent="0.2">
      <c r="A107" s="20">
        <v>14.2</v>
      </c>
      <c r="B107" s="21">
        <v>75</v>
      </c>
      <c r="C107" s="21">
        <v>75</v>
      </c>
      <c r="D107" s="22">
        <f>IF(AND(A107&gt;=Constants!$B$8,A107&lt;=Constants!$B$9),Constants!$B$6+Constants!$B$7*(CEILING(A107,1)-Constants!$B$8),Constants!$B$11)</f>
        <v>75</v>
      </c>
      <c r="E107" s="23" t="str">
        <f t="shared" si="1"/>
        <v>OK</v>
      </c>
      <c r="F107" s="24">
        <f>IF(C107&gt;=0,C107/Constants!$B$5,"n/a")</f>
        <v>0.234375</v>
      </c>
      <c r="G107" s="23" t="str">
        <f>IF(AND(B107=Constants!$B$13,C107&lt;0),"Both error",IF(B107=C107,"Identical",IF(AND(B107=Constants!$B$13,C107&gt;=0),"Fixed in v1.0.0","Different")))</f>
        <v>Identical</v>
      </c>
      <c r="H107" s="7"/>
    </row>
    <row r="108" spans="1:8" x14ac:dyDescent="0.2">
      <c r="A108" s="20">
        <v>14.3</v>
      </c>
      <c r="B108" s="21">
        <v>75</v>
      </c>
      <c r="C108" s="21">
        <v>75</v>
      </c>
      <c r="D108" s="22">
        <f>IF(AND(A108&gt;=Constants!$B$8,A108&lt;=Constants!$B$9),Constants!$B$6+Constants!$B$7*(CEILING(A108,1)-Constants!$B$8),Constants!$B$11)</f>
        <v>75</v>
      </c>
      <c r="E108" s="23" t="str">
        <f t="shared" si="1"/>
        <v>OK</v>
      </c>
      <c r="F108" s="24">
        <f>IF(C108&gt;=0,C108/Constants!$B$5,"n/a")</f>
        <v>0.234375</v>
      </c>
      <c r="G108" s="23" t="str">
        <f>IF(AND(B108=Constants!$B$13,C108&lt;0),"Both error",IF(B108=C108,"Identical",IF(AND(B108=Constants!$B$13,C108&gt;=0),"Fixed in v1.0.0","Different")))</f>
        <v>Identical</v>
      </c>
      <c r="H108" s="7"/>
    </row>
    <row r="109" spans="1:8" x14ac:dyDescent="0.2">
      <c r="A109" s="20">
        <v>14.4</v>
      </c>
      <c r="B109" s="21">
        <v>75</v>
      </c>
      <c r="C109" s="21">
        <v>75</v>
      </c>
      <c r="D109" s="22">
        <f>IF(AND(A109&gt;=Constants!$B$8,A109&lt;=Constants!$B$9),Constants!$B$6+Constants!$B$7*(CEILING(A109,1)-Constants!$B$8),Constants!$B$11)</f>
        <v>75</v>
      </c>
      <c r="E109" s="23" t="str">
        <f t="shared" si="1"/>
        <v>OK</v>
      </c>
      <c r="F109" s="24">
        <f>IF(C109&gt;=0,C109/Constants!$B$5,"n/a")</f>
        <v>0.234375</v>
      </c>
      <c r="G109" s="23" t="str">
        <f>IF(AND(B109=Constants!$B$13,C109&lt;0),"Both error",IF(B109=C109,"Identical",IF(AND(B109=Constants!$B$13,C109&gt;=0),"Fixed in v1.0.0","Different")))</f>
        <v>Identical</v>
      </c>
      <c r="H109" s="7"/>
    </row>
    <row r="110" spans="1:8" x14ac:dyDescent="0.2">
      <c r="A110" s="20">
        <v>14.5</v>
      </c>
      <c r="B110" s="21">
        <v>75</v>
      </c>
      <c r="C110" s="21">
        <v>75</v>
      </c>
      <c r="D110" s="22">
        <f>IF(AND(A110&gt;=Constants!$B$8,A110&lt;=Constants!$B$9),Constants!$B$6+Constants!$B$7*(CEILING(A110,1)-Constants!$B$8),Constants!$B$11)</f>
        <v>75</v>
      </c>
      <c r="E110" s="23" t="str">
        <f t="shared" si="1"/>
        <v>OK</v>
      </c>
      <c r="F110" s="24">
        <f>IF(C110&gt;=0,C110/Constants!$B$5,"n/a")</f>
        <v>0.234375</v>
      </c>
      <c r="G110" s="23" t="str">
        <f>IF(AND(B110=Constants!$B$13,C110&lt;0),"Both error",IF(B110=C110,"Identical",IF(AND(B110=Constants!$B$13,C110&gt;=0),"Fixed in v1.0.0","Different")))</f>
        <v>Identical</v>
      </c>
      <c r="H110" s="7"/>
    </row>
    <row r="111" spans="1:8" x14ac:dyDescent="0.2">
      <c r="A111" s="20">
        <v>14.6</v>
      </c>
      <c r="B111" s="21">
        <v>75</v>
      </c>
      <c r="C111" s="21">
        <v>75</v>
      </c>
      <c r="D111" s="22">
        <f>IF(AND(A111&gt;=Constants!$B$8,A111&lt;=Constants!$B$9),Constants!$B$6+Constants!$B$7*(CEILING(A111,1)-Constants!$B$8),Constants!$B$11)</f>
        <v>75</v>
      </c>
      <c r="E111" s="23" t="str">
        <f t="shared" si="1"/>
        <v>OK</v>
      </c>
      <c r="F111" s="24">
        <f>IF(C111&gt;=0,C111/Constants!$B$5,"n/a")</f>
        <v>0.234375</v>
      </c>
      <c r="G111" s="23" t="str">
        <f>IF(AND(B111=Constants!$B$13,C111&lt;0),"Both error",IF(B111=C111,"Identical",IF(AND(B111=Constants!$B$13,C111&gt;=0),"Fixed in v1.0.0","Different")))</f>
        <v>Identical</v>
      </c>
      <c r="H111" s="7"/>
    </row>
    <row r="112" spans="1:8" x14ac:dyDescent="0.2">
      <c r="A112" s="20">
        <v>14.7</v>
      </c>
      <c r="B112" s="21">
        <v>75</v>
      </c>
      <c r="C112" s="21">
        <v>75</v>
      </c>
      <c r="D112" s="22">
        <f>IF(AND(A112&gt;=Constants!$B$8,A112&lt;=Constants!$B$9),Constants!$B$6+Constants!$B$7*(CEILING(A112,1)-Constants!$B$8),Constants!$B$11)</f>
        <v>75</v>
      </c>
      <c r="E112" s="23" t="str">
        <f t="shared" si="1"/>
        <v>OK</v>
      </c>
      <c r="F112" s="24">
        <f>IF(C112&gt;=0,C112/Constants!$B$5,"n/a")</f>
        <v>0.234375</v>
      </c>
      <c r="G112" s="23" t="str">
        <f>IF(AND(B112=Constants!$B$13,C112&lt;0),"Both error",IF(B112=C112,"Identical",IF(AND(B112=Constants!$B$13,C112&gt;=0),"Fixed in v1.0.0","Different")))</f>
        <v>Identical</v>
      </c>
      <c r="H112" s="7"/>
    </row>
    <row r="113" spans="1:8" x14ac:dyDescent="0.2">
      <c r="A113" s="20">
        <v>14.8</v>
      </c>
      <c r="B113" s="21">
        <v>75</v>
      </c>
      <c r="C113" s="21">
        <v>75</v>
      </c>
      <c r="D113" s="22">
        <f>IF(AND(A113&gt;=Constants!$B$8,A113&lt;=Constants!$B$9),Constants!$B$6+Constants!$B$7*(CEILING(A113,1)-Constants!$B$8),Constants!$B$11)</f>
        <v>75</v>
      </c>
      <c r="E113" s="23" t="str">
        <f t="shared" si="1"/>
        <v>OK</v>
      </c>
      <c r="F113" s="24">
        <f>IF(C113&gt;=0,C113/Constants!$B$5,"n/a")</f>
        <v>0.234375</v>
      </c>
      <c r="G113" s="23" t="str">
        <f>IF(AND(B113=Constants!$B$13,C113&lt;0),"Both error",IF(B113=C113,"Identical",IF(AND(B113=Constants!$B$13,C113&gt;=0),"Fixed in v1.0.0","Different")))</f>
        <v>Identical</v>
      </c>
      <c r="H113" s="7"/>
    </row>
    <row r="114" spans="1:8" x14ac:dyDescent="0.2">
      <c r="A114" s="20">
        <v>14.9</v>
      </c>
      <c r="B114" s="21">
        <v>75</v>
      </c>
      <c r="C114" s="21">
        <v>75</v>
      </c>
      <c r="D114" s="22">
        <f>IF(AND(A114&gt;=Constants!$B$8,A114&lt;=Constants!$B$9),Constants!$B$6+Constants!$B$7*(CEILING(A114,1)-Constants!$B$8),Constants!$B$11)</f>
        <v>75</v>
      </c>
      <c r="E114" s="23" t="str">
        <f t="shared" si="1"/>
        <v>OK</v>
      </c>
      <c r="F114" s="24">
        <f>IF(C114&gt;=0,C114/Constants!$B$5,"n/a")</f>
        <v>0.234375</v>
      </c>
      <c r="G114" s="23" t="str">
        <f>IF(AND(B114=Constants!$B$13,C114&lt;0),"Both error",IF(B114=C114,"Identical",IF(AND(B114=Constants!$B$13,C114&gt;=0),"Fixed in v1.0.0","Different")))</f>
        <v>Identical</v>
      </c>
      <c r="H114" s="7"/>
    </row>
    <row r="115" spans="1:8" x14ac:dyDescent="0.2">
      <c r="A115" s="20">
        <v>15</v>
      </c>
      <c r="B115" s="21">
        <v>75</v>
      </c>
      <c r="C115" s="21">
        <v>75</v>
      </c>
      <c r="D115" s="22">
        <f>IF(AND(A115&gt;=Constants!$B$8,A115&lt;=Constants!$B$9),Constants!$B$6+Constants!$B$7*(CEILING(A115,1)-Constants!$B$8),Constants!$B$11)</f>
        <v>75</v>
      </c>
      <c r="E115" s="23" t="str">
        <f t="shared" si="1"/>
        <v>OK</v>
      </c>
      <c r="F115" s="24">
        <f>IF(C115&gt;=0,C115/Constants!$B$5,"n/a")</f>
        <v>0.234375</v>
      </c>
      <c r="G115" s="23" t="str">
        <f>IF(AND(B115=Constants!$B$13,C115&lt;0),"Both error",IF(B115=C115,"Identical",IF(AND(B115=Constants!$B$13,C115&gt;=0),"Fixed in v1.0.0","Different")))</f>
        <v>Identical</v>
      </c>
      <c r="H115" s="7"/>
    </row>
    <row r="116" spans="1:8" x14ac:dyDescent="0.2">
      <c r="A116" s="20">
        <v>15.1</v>
      </c>
      <c r="B116" s="21">
        <v>82</v>
      </c>
      <c r="C116" s="21">
        <v>82</v>
      </c>
      <c r="D116" s="22">
        <f>IF(AND(A116&gt;=Constants!$B$8,A116&lt;=Constants!$B$9),Constants!$B$6+Constants!$B$7*(CEILING(A116,1)-Constants!$B$8),Constants!$B$11)</f>
        <v>82</v>
      </c>
      <c r="E116" s="23" t="str">
        <f t="shared" si="1"/>
        <v>OK</v>
      </c>
      <c r="F116" s="24">
        <f>IF(C116&gt;=0,C116/Constants!$B$5,"n/a")</f>
        <v>0.25624999999999998</v>
      </c>
      <c r="G116" s="23" t="str">
        <f>IF(AND(B116=Constants!$B$13,C116&lt;0),"Both error",IF(B116=C116,"Identical",IF(AND(B116=Constants!$B$13,C116&gt;=0),"Fixed in v1.0.0","Different")))</f>
        <v>Identical</v>
      </c>
      <c r="H116" s="7"/>
    </row>
    <row r="117" spans="1:8" x14ac:dyDescent="0.2">
      <c r="A117" s="20">
        <v>15.2</v>
      </c>
      <c r="B117" s="21">
        <v>82</v>
      </c>
      <c r="C117" s="21">
        <v>82</v>
      </c>
      <c r="D117" s="22">
        <f>IF(AND(A117&gt;=Constants!$B$8,A117&lt;=Constants!$B$9),Constants!$B$6+Constants!$B$7*(CEILING(A117,1)-Constants!$B$8),Constants!$B$11)</f>
        <v>82</v>
      </c>
      <c r="E117" s="23" t="str">
        <f t="shared" si="1"/>
        <v>OK</v>
      </c>
      <c r="F117" s="24">
        <f>IF(C117&gt;=0,C117/Constants!$B$5,"n/a")</f>
        <v>0.25624999999999998</v>
      </c>
      <c r="G117" s="23" t="str">
        <f>IF(AND(B117=Constants!$B$13,C117&lt;0),"Both error",IF(B117=C117,"Identical",IF(AND(B117=Constants!$B$13,C117&gt;=0),"Fixed in v1.0.0","Different")))</f>
        <v>Identical</v>
      </c>
      <c r="H117" s="7"/>
    </row>
    <row r="118" spans="1:8" x14ac:dyDescent="0.2">
      <c r="A118" s="20">
        <v>15.3</v>
      </c>
      <c r="B118" s="21">
        <v>82</v>
      </c>
      <c r="C118" s="21">
        <v>82</v>
      </c>
      <c r="D118" s="22">
        <f>IF(AND(A118&gt;=Constants!$B$8,A118&lt;=Constants!$B$9),Constants!$B$6+Constants!$B$7*(CEILING(A118,1)-Constants!$B$8),Constants!$B$11)</f>
        <v>82</v>
      </c>
      <c r="E118" s="23" t="str">
        <f t="shared" si="1"/>
        <v>OK</v>
      </c>
      <c r="F118" s="24">
        <f>IF(C118&gt;=0,C118/Constants!$B$5,"n/a")</f>
        <v>0.25624999999999998</v>
      </c>
      <c r="G118" s="23" t="str">
        <f>IF(AND(B118=Constants!$B$13,C118&lt;0),"Both error",IF(B118=C118,"Identical",IF(AND(B118=Constants!$B$13,C118&gt;=0),"Fixed in v1.0.0","Different")))</f>
        <v>Identical</v>
      </c>
      <c r="H118" s="7"/>
    </row>
    <row r="119" spans="1:8" x14ac:dyDescent="0.2">
      <c r="A119" s="20">
        <v>15.4</v>
      </c>
      <c r="B119" s="21">
        <v>82</v>
      </c>
      <c r="C119" s="21">
        <v>82</v>
      </c>
      <c r="D119" s="22">
        <f>IF(AND(A119&gt;=Constants!$B$8,A119&lt;=Constants!$B$9),Constants!$B$6+Constants!$B$7*(CEILING(A119,1)-Constants!$B$8),Constants!$B$11)</f>
        <v>82</v>
      </c>
      <c r="E119" s="23" t="str">
        <f t="shared" si="1"/>
        <v>OK</v>
      </c>
      <c r="F119" s="24">
        <f>IF(C119&gt;=0,C119/Constants!$B$5,"n/a")</f>
        <v>0.25624999999999998</v>
      </c>
      <c r="G119" s="23" t="str">
        <f>IF(AND(B119=Constants!$B$13,C119&lt;0),"Both error",IF(B119=C119,"Identical",IF(AND(B119=Constants!$B$13,C119&gt;=0),"Fixed in v1.0.0","Different")))</f>
        <v>Identical</v>
      </c>
      <c r="H119" s="7"/>
    </row>
    <row r="120" spans="1:8" x14ac:dyDescent="0.2">
      <c r="A120" s="20">
        <v>15.5</v>
      </c>
      <c r="B120" s="21">
        <v>82</v>
      </c>
      <c r="C120" s="21">
        <v>82</v>
      </c>
      <c r="D120" s="22">
        <f>IF(AND(A120&gt;=Constants!$B$8,A120&lt;=Constants!$B$9),Constants!$B$6+Constants!$B$7*(CEILING(A120,1)-Constants!$B$8),Constants!$B$11)</f>
        <v>82</v>
      </c>
      <c r="E120" s="23" t="str">
        <f t="shared" si="1"/>
        <v>OK</v>
      </c>
      <c r="F120" s="24">
        <f>IF(C120&gt;=0,C120/Constants!$B$5,"n/a")</f>
        <v>0.25624999999999998</v>
      </c>
      <c r="G120" s="23" t="str">
        <f>IF(AND(B120=Constants!$B$13,C120&lt;0),"Both error",IF(B120=C120,"Identical",IF(AND(B120=Constants!$B$13,C120&gt;=0),"Fixed in v1.0.0","Different")))</f>
        <v>Identical</v>
      </c>
      <c r="H120" s="7"/>
    </row>
    <row r="121" spans="1:8" x14ac:dyDescent="0.2">
      <c r="A121" s="20">
        <v>15.6</v>
      </c>
      <c r="B121" s="21">
        <v>82</v>
      </c>
      <c r="C121" s="21">
        <v>82</v>
      </c>
      <c r="D121" s="22">
        <f>IF(AND(A121&gt;=Constants!$B$8,A121&lt;=Constants!$B$9),Constants!$B$6+Constants!$B$7*(CEILING(A121,1)-Constants!$B$8),Constants!$B$11)</f>
        <v>82</v>
      </c>
      <c r="E121" s="23" t="str">
        <f t="shared" si="1"/>
        <v>OK</v>
      </c>
      <c r="F121" s="24">
        <f>IF(C121&gt;=0,C121/Constants!$B$5,"n/a")</f>
        <v>0.25624999999999998</v>
      </c>
      <c r="G121" s="23" t="str">
        <f>IF(AND(B121=Constants!$B$13,C121&lt;0),"Both error",IF(B121=C121,"Identical",IF(AND(B121=Constants!$B$13,C121&gt;=0),"Fixed in v1.0.0","Different")))</f>
        <v>Identical</v>
      </c>
      <c r="H121" s="7"/>
    </row>
    <row r="122" spans="1:8" x14ac:dyDescent="0.2">
      <c r="A122" s="20">
        <v>15.7</v>
      </c>
      <c r="B122" s="21">
        <v>82</v>
      </c>
      <c r="C122" s="21">
        <v>82</v>
      </c>
      <c r="D122" s="22">
        <f>IF(AND(A122&gt;=Constants!$B$8,A122&lt;=Constants!$B$9),Constants!$B$6+Constants!$B$7*(CEILING(A122,1)-Constants!$B$8),Constants!$B$11)</f>
        <v>82</v>
      </c>
      <c r="E122" s="23" t="str">
        <f t="shared" si="1"/>
        <v>OK</v>
      </c>
      <c r="F122" s="24">
        <f>IF(C122&gt;=0,C122/Constants!$B$5,"n/a")</f>
        <v>0.25624999999999998</v>
      </c>
      <c r="G122" s="23" t="str">
        <f>IF(AND(B122=Constants!$B$13,C122&lt;0),"Both error",IF(B122=C122,"Identical",IF(AND(B122=Constants!$B$13,C122&gt;=0),"Fixed in v1.0.0","Different")))</f>
        <v>Identical</v>
      </c>
      <c r="H122" s="7"/>
    </row>
    <row r="123" spans="1:8" x14ac:dyDescent="0.2">
      <c r="A123" s="20">
        <v>15.8</v>
      </c>
      <c r="B123" s="21">
        <v>82</v>
      </c>
      <c r="C123" s="21">
        <v>82</v>
      </c>
      <c r="D123" s="22">
        <f>IF(AND(A123&gt;=Constants!$B$8,A123&lt;=Constants!$B$9),Constants!$B$6+Constants!$B$7*(CEILING(A123,1)-Constants!$B$8),Constants!$B$11)</f>
        <v>82</v>
      </c>
      <c r="E123" s="23" t="str">
        <f t="shared" si="1"/>
        <v>OK</v>
      </c>
      <c r="F123" s="24">
        <f>IF(C123&gt;=0,C123/Constants!$B$5,"n/a")</f>
        <v>0.25624999999999998</v>
      </c>
      <c r="G123" s="23" t="str">
        <f>IF(AND(B123=Constants!$B$13,C123&lt;0),"Both error",IF(B123=C123,"Identical",IF(AND(B123=Constants!$B$13,C123&gt;=0),"Fixed in v1.0.0","Different")))</f>
        <v>Identical</v>
      </c>
      <c r="H123" s="7"/>
    </row>
    <row r="124" spans="1:8" x14ac:dyDescent="0.2">
      <c r="A124" s="20">
        <v>15.9</v>
      </c>
      <c r="B124" s="21">
        <v>82</v>
      </c>
      <c r="C124" s="21">
        <v>82</v>
      </c>
      <c r="D124" s="22">
        <f>IF(AND(A124&gt;=Constants!$B$8,A124&lt;=Constants!$B$9),Constants!$B$6+Constants!$B$7*(CEILING(A124,1)-Constants!$B$8),Constants!$B$11)</f>
        <v>82</v>
      </c>
      <c r="E124" s="23" t="str">
        <f t="shared" si="1"/>
        <v>OK</v>
      </c>
      <c r="F124" s="24">
        <f>IF(C124&gt;=0,C124/Constants!$B$5,"n/a")</f>
        <v>0.25624999999999998</v>
      </c>
      <c r="G124" s="23" t="str">
        <f>IF(AND(B124=Constants!$B$13,C124&lt;0),"Both error",IF(B124=C124,"Identical",IF(AND(B124=Constants!$B$13,C124&gt;=0),"Fixed in v1.0.0","Different")))</f>
        <v>Identical</v>
      </c>
      <c r="H124" s="7"/>
    </row>
    <row r="125" spans="1:8" x14ac:dyDescent="0.2">
      <c r="A125" s="20">
        <v>16</v>
      </c>
      <c r="B125" s="21">
        <v>82</v>
      </c>
      <c r="C125" s="21">
        <v>82</v>
      </c>
      <c r="D125" s="22">
        <f>IF(AND(A125&gt;=Constants!$B$8,A125&lt;=Constants!$B$9),Constants!$B$6+Constants!$B$7*(CEILING(A125,1)-Constants!$B$8),Constants!$B$11)</f>
        <v>82</v>
      </c>
      <c r="E125" s="23" t="str">
        <f t="shared" si="1"/>
        <v>OK</v>
      </c>
      <c r="F125" s="24">
        <f>IF(C125&gt;=0,C125/Constants!$B$5,"n/a")</f>
        <v>0.25624999999999998</v>
      </c>
      <c r="G125" s="23" t="str">
        <f>IF(AND(B125=Constants!$B$13,C125&lt;0),"Both error",IF(B125=C125,"Identical",IF(AND(B125=Constants!$B$13,C125&gt;=0),"Fixed in v1.0.0","Different")))</f>
        <v>Identical</v>
      </c>
      <c r="H125" s="7"/>
    </row>
    <row r="126" spans="1:8" x14ac:dyDescent="0.2">
      <c r="A126" s="20">
        <v>16.100000000000001</v>
      </c>
      <c r="B126" s="21">
        <v>89</v>
      </c>
      <c r="C126" s="21">
        <v>89</v>
      </c>
      <c r="D126" s="22">
        <f>IF(AND(A126&gt;=Constants!$B$8,A126&lt;=Constants!$B$9),Constants!$B$6+Constants!$B$7*(CEILING(A126,1)-Constants!$B$8),Constants!$B$11)</f>
        <v>89</v>
      </c>
      <c r="E126" s="23" t="str">
        <f t="shared" si="1"/>
        <v>OK</v>
      </c>
      <c r="F126" s="24">
        <f>IF(C126&gt;=0,C126/Constants!$B$5,"n/a")</f>
        <v>0.27812500000000001</v>
      </c>
      <c r="G126" s="23" t="str">
        <f>IF(AND(B126=Constants!$B$13,C126&lt;0),"Both error",IF(B126=C126,"Identical",IF(AND(B126=Constants!$B$13,C126&gt;=0),"Fixed in v1.0.0","Different")))</f>
        <v>Identical</v>
      </c>
      <c r="H126" s="7"/>
    </row>
    <row r="127" spans="1:8" x14ac:dyDescent="0.2">
      <c r="A127" s="20">
        <v>16.2</v>
      </c>
      <c r="B127" s="21">
        <v>89</v>
      </c>
      <c r="C127" s="21">
        <v>89</v>
      </c>
      <c r="D127" s="22">
        <f>IF(AND(A127&gt;=Constants!$B$8,A127&lt;=Constants!$B$9),Constants!$B$6+Constants!$B$7*(CEILING(A127,1)-Constants!$B$8),Constants!$B$11)</f>
        <v>89</v>
      </c>
      <c r="E127" s="23" t="str">
        <f t="shared" si="1"/>
        <v>OK</v>
      </c>
      <c r="F127" s="24">
        <f>IF(C127&gt;=0,C127/Constants!$B$5,"n/a")</f>
        <v>0.27812500000000001</v>
      </c>
      <c r="G127" s="23" t="str">
        <f>IF(AND(B127=Constants!$B$13,C127&lt;0),"Both error",IF(B127=C127,"Identical",IF(AND(B127=Constants!$B$13,C127&gt;=0),"Fixed in v1.0.0","Different")))</f>
        <v>Identical</v>
      </c>
      <c r="H127" s="7"/>
    </row>
    <row r="128" spans="1:8" x14ac:dyDescent="0.2">
      <c r="A128" s="20">
        <v>16.3</v>
      </c>
      <c r="B128" s="21">
        <v>89</v>
      </c>
      <c r="C128" s="21">
        <v>89</v>
      </c>
      <c r="D128" s="22">
        <f>IF(AND(A128&gt;=Constants!$B$8,A128&lt;=Constants!$B$9),Constants!$B$6+Constants!$B$7*(CEILING(A128,1)-Constants!$B$8),Constants!$B$11)</f>
        <v>89</v>
      </c>
      <c r="E128" s="23" t="str">
        <f t="shared" si="1"/>
        <v>OK</v>
      </c>
      <c r="F128" s="24">
        <f>IF(C128&gt;=0,C128/Constants!$B$5,"n/a")</f>
        <v>0.27812500000000001</v>
      </c>
      <c r="G128" s="23" t="str">
        <f>IF(AND(B128=Constants!$B$13,C128&lt;0),"Both error",IF(B128=C128,"Identical",IF(AND(B128=Constants!$B$13,C128&gt;=0),"Fixed in v1.0.0","Different")))</f>
        <v>Identical</v>
      </c>
      <c r="H128" s="7"/>
    </row>
    <row r="129" spans="1:8" x14ac:dyDescent="0.2">
      <c r="A129" s="20">
        <v>16.399999999999999</v>
      </c>
      <c r="B129" s="21">
        <v>89</v>
      </c>
      <c r="C129" s="21">
        <v>89</v>
      </c>
      <c r="D129" s="22">
        <f>IF(AND(A129&gt;=Constants!$B$8,A129&lt;=Constants!$B$9),Constants!$B$6+Constants!$B$7*(CEILING(A129,1)-Constants!$B$8),Constants!$B$11)</f>
        <v>89</v>
      </c>
      <c r="E129" s="23" t="str">
        <f t="shared" si="1"/>
        <v>OK</v>
      </c>
      <c r="F129" s="24">
        <f>IF(C129&gt;=0,C129/Constants!$B$5,"n/a")</f>
        <v>0.27812500000000001</v>
      </c>
      <c r="G129" s="23" t="str">
        <f>IF(AND(B129=Constants!$B$13,C129&lt;0),"Both error",IF(B129=C129,"Identical",IF(AND(B129=Constants!$B$13,C129&gt;=0),"Fixed in v1.0.0","Different")))</f>
        <v>Identical</v>
      </c>
      <c r="H129" s="7"/>
    </row>
    <row r="130" spans="1:8" x14ac:dyDescent="0.2">
      <c r="A130" s="20">
        <v>16.5</v>
      </c>
      <c r="B130" s="21">
        <v>89</v>
      </c>
      <c r="C130" s="21">
        <v>89</v>
      </c>
      <c r="D130" s="22">
        <f>IF(AND(A130&gt;=Constants!$B$8,A130&lt;=Constants!$B$9),Constants!$B$6+Constants!$B$7*(CEILING(A130,1)-Constants!$B$8),Constants!$B$11)</f>
        <v>89</v>
      </c>
      <c r="E130" s="23" t="str">
        <f t="shared" si="1"/>
        <v>OK</v>
      </c>
      <c r="F130" s="24">
        <f>IF(C130&gt;=0,C130/Constants!$B$5,"n/a")</f>
        <v>0.27812500000000001</v>
      </c>
      <c r="G130" s="23" t="str">
        <f>IF(AND(B130=Constants!$B$13,C130&lt;0),"Both error",IF(B130=C130,"Identical",IF(AND(B130=Constants!$B$13,C130&gt;=0),"Fixed in v1.0.0","Different")))</f>
        <v>Identical</v>
      </c>
      <c r="H130" s="7"/>
    </row>
    <row r="131" spans="1:8" x14ac:dyDescent="0.2">
      <c r="A131" s="20">
        <v>16.600000000000001</v>
      </c>
      <c r="B131" s="21">
        <v>89</v>
      </c>
      <c r="C131" s="21">
        <v>89</v>
      </c>
      <c r="D131" s="22">
        <f>IF(AND(A131&gt;=Constants!$B$8,A131&lt;=Constants!$B$9),Constants!$B$6+Constants!$B$7*(CEILING(A131,1)-Constants!$B$8),Constants!$B$11)</f>
        <v>89</v>
      </c>
      <c r="E131" s="23" t="str">
        <f t="shared" si="1"/>
        <v>OK</v>
      </c>
      <c r="F131" s="24">
        <f>IF(C131&gt;=0,C131/Constants!$B$5,"n/a")</f>
        <v>0.27812500000000001</v>
      </c>
      <c r="G131" s="23" t="str">
        <f>IF(AND(B131=Constants!$B$13,C131&lt;0),"Both error",IF(B131=C131,"Identical",IF(AND(B131=Constants!$B$13,C131&gt;=0),"Fixed in v1.0.0","Different")))</f>
        <v>Identical</v>
      </c>
      <c r="H131" s="7"/>
    </row>
    <row r="132" spans="1:8" x14ac:dyDescent="0.2">
      <c r="A132" s="20">
        <v>16.7</v>
      </c>
      <c r="B132" s="21">
        <v>89</v>
      </c>
      <c r="C132" s="21">
        <v>89</v>
      </c>
      <c r="D132" s="22">
        <f>IF(AND(A132&gt;=Constants!$B$8,A132&lt;=Constants!$B$9),Constants!$B$6+Constants!$B$7*(CEILING(A132,1)-Constants!$B$8),Constants!$B$11)</f>
        <v>89</v>
      </c>
      <c r="E132" s="23" t="str">
        <f t="shared" si="1"/>
        <v>OK</v>
      </c>
      <c r="F132" s="24">
        <f>IF(C132&gt;=0,C132/Constants!$B$5,"n/a")</f>
        <v>0.27812500000000001</v>
      </c>
      <c r="G132" s="23" t="str">
        <f>IF(AND(B132=Constants!$B$13,C132&lt;0),"Both error",IF(B132=C132,"Identical",IF(AND(B132=Constants!$B$13,C132&gt;=0),"Fixed in v1.0.0","Different")))</f>
        <v>Identical</v>
      </c>
      <c r="H132" s="7"/>
    </row>
    <row r="133" spans="1:8" x14ac:dyDescent="0.2">
      <c r="A133" s="20">
        <v>16.8</v>
      </c>
      <c r="B133" s="21">
        <v>89</v>
      </c>
      <c r="C133" s="21">
        <v>89</v>
      </c>
      <c r="D133" s="22">
        <f>IF(AND(A133&gt;=Constants!$B$8,A133&lt;=Constants!$B$9),Constants!$B$6+Constants!$B$7*(CEILING(A133,1)-Constants!$B$8),Constants!$B$11)</f>
        <v>89</v>
      </c>
      <c r="E133" s="23" t="str">
        <f t="shared" ref="E133:E196" si="2">IF(C133=D133,"OK","CHECK")</f>
        <v>OK</v>
      </c>
      <c r="F133" s="24">
        <f>IF(C133&gt;=0,C133/Constants!$B$5,"n/a")</f>
        <v>0.27812500000000001</v>
      </c>
      <c r="G133" s="23" t="str">
        <f>IF(AND(B133=Constants!$B$13,C133&lt;0),"Both error",IF(B133=C133,"Identical",IF(AND(B133=Constants!$B$13,C133&gt;=0),"Fixed in v1.0.0","Different")))</f>
        <v>Identical</v>
      </c>
      <c r="H133" s="7"/>
    </row>
    <row r="134" spans="1:8" x14ac:dyDescent="0.2">
      <c r="A134" s="20">
        <v>16.899999999999999</v>
      </c>
      <c r="B134" s="21">
        <v>89</v>
      </c>
      <c r="C134" s="21">
        <v>89</v>
      </c>
      <c r="D134" s="22">
        <f>IF(AND(A134&gt;=Constants!$B$8,A134&lt;=Constants!$B$9),Constants!$B$6+Constants!$B$7*(CEILING(A134,1)-Constants!$B$8),Constants!$B$11)</f>
        <v>89</v>
      </c>
      <c r="E134" s="23" t="str">
        <f t="shared" si="2"/>
        <v>OK</v>
      </c>
      <c r="F134" s="24">
        <f>IF(C134&gt;=0,C134/Constants!$B$5,"n/a")</f>
        <v>0.27812500000000001</v>
      </c>
      <c r="G134" s="23" t="str">
        <f>IF(AND(B134=Constants!$B$13,C134&lt;0),"Both error",IF(B134=C134,"Identical",IF(AND(B134=Constants!$B$13,C134&gt;=0),"Fixed in v1.0.0","Different")))</f>
        <v>Identical</v>
      </c>
      <c r="H134" s="7"/>
    </row>
    <row r="135" spans="1:8" x14ac:dyDescent="0.2">
      <c r="A135" s="20">
        <v>17</v>
      </c>
      <c r="B135" s="21">
        <v>89</v>
      </c>
      <c r="C135" s="21">
        <v>89</v>
      </c>
      <c r="D135" s="22">
        <f>IF(AND(A135&gt;=Constants!$B$8,A135&lt;=Constants!$B$9),Constants!$B$6+Constants!$B$7*(CEILING(A135,1)-Constants!$B$8),Constants!$B$11)</f>
        <v>89</v>
      </c>
      <c r="E135" s="23" t="str">
        <f t="shared" si="2"/>
        <v>OK</v>
      </c>
      <c r="F135" s="24">
        <f>IF(C135&gt;=0,C135/Constants!$B$5,"n/a")</f>
        <v>0.27812500000000001</v>
      </c>
      <c r="G135" s="23" t="str">
        <f>IF(AND(B135=Constants!$B$13,C135&lt;0),"Both error",IF(B135=C135,"Identical",IF(AND(B135=Constants!$B$13,C135&gt;=0),"Fixed in v1.0.0","Different")))</f>
        <v>Identical</v>
      </c>
      <c r="H135" s="7"/>
    </row>
    <row r="136" spans="1:8" x14ac:dyDescent="0.2">
      <c r="A136" s="20">
        <v>17.100000000000001</v>
      </c>
      <c r="B136" s="21">
        <v>96</v>
      </c>
      <c r="C136" s="21">
        <v>96</v>
      </c>
      <c r="D136" s="22">
        <f>IF(AND(A136&gt;=Constants!$B$8,A136&lt;=Constants!$B$9),Constants!$B$6+Constants!$B$7*(CEILING(A136,1)-Constants!$B$8),Constants!$B$11)</f>
        <v>96</v>
      </c>
      <c r="E136" s="23" t="str">
        <f t="shared" si="2"/>
        <v>OK</v>
      </c>
      <c r="F136" s="24">
        <f>IF(C136&gt;=0,C136/Constants!$B$5,"n/a")</f>
        <v>0.3</v>
      </c>
      <c r="G136" s="23" t="str">
        <f>IF(AND(B136=Constants!$B$13,C136&lt;0),"Both error",IF(B136=C136,"Identical",IF(AND(B136=Constants!$B$13,C136&gt;=0),"Fixed in v1.0.0","Different")))</f>
        <v>Identical</v>
      </c>
      <c r="H136" s="7"/>
    </row>
    <row r="137" spans="1:8" x14ac:dyDescent="0.2">
      <c r="A137" s="20">
        <v>17.2</v>
      </c>
      <c r="B137" s="21">
        <v>96</v>
      </c>
      <c r="C137" s="21">
        <v>96</v>
      </c>
      <c r="D137" s="22">
        <f>IF(AND(A137&gt;=Constants!$B$8,A137&lt;=Constants!$B$9),Constants!$B$6+Constants!$B$7*(CEILING(A137,1)-Constants!$B$8),Constants!$B$11)</f>
        <v>96</v>
      </c>
      <c r="E137" s="23" t="str">
        <f t="shared" si="2"/>
        <v>OK</v>
      </c>
      <c r="F137" s="24">
        <f>IF(C137&gt;=0,C137/Constants!$B$5,"n/a")</f>
        <v>0.3</v>
      </c>
      <c r="G137" s="23" t="str">
        <f>IF(AND(B137=Constants!$B$13,C137&lt;0),"Both error",IF(B137=C137,"Identical",IF(AND(B137=Constants!$B$13,C137&gt;=0),"Fixed in v1.0.0","Different")))</f>
        <v>Identical</v>
      </c>
      <c r="H137" s="7"/>
    </row>
    <row r="138" spans="1:8" x14ac:dyDescent="0.2">
      <c r="A138" s="20">
        <v>17.3</v>
      </c>
      <c r="B138" s="21">
        <v>96</v>
      </c>
      <c r="C138" s="21">
        <v>96</v>
      </c>
      <c r="D138" s="22">
        <f>IF(AND(A138&gt;=Constants!$B$8,A138&lt;=Constants!$B$9),Constants!$B$6+Constants!$B$7*(CEILING(A138,1)-Constants!$B$8),Constants!$B$11)</f>
        <v>96</v>
      </c>
      <c r="E138" s="23" t="str">
        <f t="shared" si="2"/>
        <v>OK</v>
      </c>
      <c r="F138" s="24">
        <f>IF(C138&gt;=0,C138/Constants!$B$5,"n/a")</f>
        <v>0.3</v>
      </c>
      <c r="G138" s="23" t="str">
        <f>IF(AND(B138=Constants!$B$13,C138&lt;0),"Both error",IF(B138=C138,"Identical",IF(AND(B138=Constants!$B$13,C138&gt;=0),"Fixed in v1.0.0","Different")))</f>
        <v>Identical</v>
      </c>
      <c r="H138" s="7"/>
    </row>
    <row r="139" spans="1:8" x14ac:dyDescent="0.2">
      <c r="A139" s="20">
        <v>17.399999999999999</v>
      </c>
      <c r="B139" s="21">
        <v>96</v>
      </c>
      <c r="C139" s="21">
        <v>96</v>
      </c>
      <c r="D139" s="22">
        <f>IF(AND(A139&gt;=Constants!$B$8,A139&lt;=Constants!$B$9),Constants!$B$6+Constants!$B$7*(CEILING(A139,1)-Constants!$B$8),Constants!$B$11)</f>
        <v>96</v>
      </c>
      <c r="E139" s="23" t="str">
        <f t="shared" si="2"/>
        <v>OK</v>
      </c>
      <c r="F139" s="24">
        <f>IF(C139&gt;=0,C139/Constants!$B$5,"n/a")</f>
        <v>0.3</v>
      </c>
      <c r="G139" s="23" t="str">
        <f>IF(AND(B139=Constants!$B$13,C139&lt;0),"Both error",IF(B139=C139,"Identical",IF(AND(B139=Constants!$B$13,C139&gt;=0),"Fixed in v1.0.0","Different")))</f>
        <v>Identical</v>
      </c>
      <c r="H139" s="7"/>
    </row>
    <row r="140" spans="1:8" x14ac:dyDescent="0.2">
      <c r="A140" s="20">
        <v>17.5</v>
      </c>
      <c r="B140" s="21">
        <v>96</v>
      </c>
      <c r="C140" s="21">
        <v>96</v>
      </c>
      <c r="D140" s="22">
        <f>IF(AND(A140&gt;=Constants!$B$8,A140&lt;=Constants!$B$9),Constants!$B$6+Constants!$B$7*(CEILING(A140,1)-Constants!$B$8),Constants!$B$11)</f>
        <v>96</v>
      </c>
      <c r="E140" s="23" t="str">
        <f t="shared" si="2"/>
        <v>OK</v>
      </c>
      <c r="F140" s="24">
        <f>IF(C140&gt;=0,C140/Constants!$B$5,"n/a")</f>
        <v>0.3</v>
      </c>
      <c r="G140" s="23" t="str">
        <f>IF(AND(B140=Constants!$B$13,C140&lt;0),"Both error",IF(B140=C140,"Identical",IF(AND(B140=Constants!$B$13,C140&gt;=0),"Fixed in v1.0.0","Different")))</f>
        <v>Identical</v>
      </c>
      <c r="H140" s="7"/>
    </row>
    <row r="141" spans="1:8" x14ac:dyDescent="0.2">
      <c r="A141" s="20">
        <v>17.600000000000001</v>
      </c>
      <c r="B141" s="21">
        <v>96</v>
      </c>
      <c r="C141" s="21">
        <v>96</v>
      </c>
      <c r="D141" s="22">
        <f>IF(AND(A141&gt;=Constants!$B$8,A141&lt;=Constants!$B$9),Constants!$B$6+Constants!$B$7*(CEILING(A141,1)-Constants!$B$8),Constants!$B$11)</f>
        <v>96</v>
      </c>
      <c r="E141" s="23" t="str">
        <f t="shared" si="2"/>
        <v>OK</v>
      </c>
      <c r="F141" s="24">
        <f>IF(C141&gt;=0,C141/Constants!$B$5,"n/a")</f>
        <v>0.3</v>
      </c>
      <c r="G141" s="23" t="str">
        <f>IF(AND(B141=Constants!$B$13,C141&lt;0),"Both error",IF(B141=C141,"Identical",IF(AND(B141=Constants!$B$13,C141&gt;=0),"Fixed in v1.0.0","Different")))</f>
        <v>Identical</v>
      </c>
      <c r="H141" s="7"/>
    </row>
    <row r="142" spans="1:8" x14ac:dyDescent="0.2">
      <c r="A142" s="20">
        <v>17.7</v>
      </c>
      <c r="B142" s="21">
        <v>96</v>
      </c>
      <c r="C142" s="21">
        <v>96</v>
      </c>
      <c r="D142" s="22">
        <f>IF(AND(A142&gt;=Constants!$B$8,A142&lt;=Constants!$B$9),Constants!$B$6+Constants!$B$7*(CEILING(A142,1)-Constants!$B$8),Constants!$B$11)</f>
        <v>96</v>
      </c>
      <c r="E142" s="23" t="str">
        <f t="shared" si="2"/>
        <v>OK</v>
      </c>
      <c r="F142" s="24">
        <f>IF(C142&gt;=0,C142/Constants!$B$5,"n/a")</f>
        <v>0.3</v>
      </c>
      <c r="G142" s="23" t="str">
        <f>IF(AND(B142=Constants!$B$13,C142&lt;0),"Both error",IF(B142=C142,"Identical",IF(AND(B142=Constants!$B$13,C142&gt;=0),"Fixed in v1.0.0","Different")))</f>
        <v>Identical</v>
      </c>
      <c r="H142" s="7"/>
    </row>
    <row r="143" spans="1:8" x14ac:dyDescent="0.2">
      <c r="A143" s="20">
        <v>17.8</v>
      </c>
      <c r="B143" s="21">
        <v>96</v>
      </c>
      <c r="C143" s="21">
        <v>96</v>
      </c>
      <c r="D143" s="22">
        <f>IF(AND(A143&gt;=Constants!$B$8,A143&lt;=Constants!$B$9),Constants!$B$6+Constants!$B$7*(CEILING(A143,1)-Constants!$B$8),Constants!$B$11)</f>
        <v>96</v>
      </c>
      <c r="E143" s="23" t="str">
        <f t="shared" si="2"/>
        <v>OK</v>
      </c>
      <c r="F143" s="24">
        <f>IF(C143&gt;=0,C143/Constants!$B$5,"n/a")</f>
        <v>0.3</v>
      </c>
      <c r="G143" s="23" t="str">
        <f>IF(AND(B143=Constants!$B$13,C143&lt;0),"Both error",IF(B143=C143,"Identical",IF(AND(B143=Constants!$B$13,C143&gt;=0),"Fixed in v1.0.0","Different")))</f>
        <v>Identical</v>
      </c>
      <c r="H143" s="7"/>
    </row>
    <row r="144" spans="1:8" x14ac:dyDescent="0.2">
      <c r="A144" s="20">
        <v>17.899999999999999</v>
      </c>
      <c r="B144" s="21">
        <v>96</v>
      </c>
      <c r="C144" s="21">
        <v>96</v>
      </c>
      <c r="D144" s="22">
        <f>IF(AND(A144&gt;=Constants!$B$8,A144&lt;=Constants!$B$9),Constants!$B$6+Constants!$B$7*(CEILING(A144,1)-Constants!$B$8),Constants!$B$11)</f>
        <v>96</v>
      </c>
      <c r="E144" s="23" t="str">
        <f t="shared" si="2"/>
        <v>OK</v>
      </c>
      <c r="F144" s="24">
        <f>IF(C144&gt;=0,C144/Constants!$B$5,"n/a")</f>
        <v>0.3</v>
      </c>
      <c r="G144" s="23" t="str">
        <f>IF(AND(B144=Constants!$B$13,C144&lt;0),"Both error",IF(B144=C144,"Identical",IF(AND(B144=Constants!$B$13,C144&gt;=0),"Fixed in v1.0.0","Different")))</f>
        <v>Identical</v>
      </c>
      <c r="H144" s="7"/>
    </row>
    <row r="145" spans="1:8" x14ac:dyDescent="0.2">
      <c r="A145" s="20">
        <v>18</v>
      </c>
      <c r="B145" s="21">
        <v>96</v>
      </c>
      <c r="C145" s="21">
        <v>96</v>
      </c>
      <c r="D145" s="22">
        <f>IF(AND(A145&gt;=Constants!$B$8,A145&lt;=Constants!$B$9),Constants!$B$6+Constants!$B$7*(CEILING(A145,1)-Constants!$B$8),Constants!$B$11)</f>
        <v>96</v>
      </c>
      <c r="E145" s="23" t="str">
        <f t="shared" si="2"/>
        <v>OK</v>
      </c>
      <c r="F145" s="24">
        <f>IF(C145&gt;=0,C145/Constants!$B$5,"n/a")</f>
        <v>0.3</v>
      </c>
      <c r="G145" s="23" t="str">
        <f>IF(AND(B145=Constants!$B$13,C145&lt;0),"Both error",IF(B145=C145,"Identical",IF(AND(B145=Constants!$B$13,C145&gt;=0),"Fixed in v1.0.0","Different")))</f>
        <v>Identical</v>
      </c>
      <c r="H145" s="7"/>
    </row>
    <row r="146" spans="1:8" x14ac:dyDescent="0.2">
      <c r="A146" s="20">
        <v>18.100000000000001</v>
      </c>
      <c r="B146" s="21">
        <v>103</v>
      </c>
      <c r="C146" s="21">
        <v>103</v>
      </c>
      <c r="D146" s="22">
        <f>IF(AND(A146&gt;=Constants!$B$8,A146&lt;=Constants!$B$9),Constants!$B$6+Constants!$B$7*(CEILING(A146,1)-Constants!$B$8),Constants!$B$11)</f>
        <v>103</v>
      </c>
      <c r="E146" s="23" t="str">
        <f t="shared" si="2"/>
        <v>OK</v>
      </c>
      <c r="F146" s="24">
        <f>IF(C146&gt;=0,C146/Constants!$B$5,"n/a")</f>
        <v>0.32187500000000002</v>
      </c>
      <c r="G146" s="23" t="str">
        <f>IF(AND(B146=Constants!$B$13,C146&lt;0),"Both error",IF(B146=C146,"Identical",IF(AND(B146=Constants!$B$13,C146&gt;=0),"Fixed in v1.0.0","Different")))</f>
        <v>Identical</v>
      </c>
      <c r="H146" s="7"/>
    </row>
    <row r="147" spans="1:8" x14ac:dyDescent="0.2">
      <c r="A147" s="20">
        <v>18.2</v>
      </c>
      <c r="B147" s="21">
        <v>103</v>
      </c>
      <c r="C147" s="21">
        <v>103</v>
      </c>
      <c r="D147" s="22">
        <f>IF(AND(A147&gt;=Constants!$B$8,A147&lt;=Constants!$B$9),Constants!$B$6+Constants!$B$7*(CEILING(A147,1)-Constants!$B$8),Constants!$B$11)</f>
        <v>103</v>
      </c>
      <c r="E147" s="23" t="str">
        <f t="shared" si="2"/>
        <v>OK</v>
      </c>
      <c r="F147" s="24">
        <f>IF(C147&gt;=0,C147/Constants!$B$5,"n/a")</f>
        <v>0.32187500000000002</v>
      </c>
      <c r="G147" s="23" t="str">
        <f>IF(AND(B147=Constants!$B$13,C147&lt;0),"Both error",IF(B147=C147,"Identical",IF(AND(B147=Constants!$B$13,C147&gt;=0),"Fixed in v1.0.0","Different")))</f>
        <v>Identical</v>
      </c>
      <c r="H147" s="7"/>
    </row>
    <row r="148" spans="1:8" x14ac:dyDescent="0.2">
      <c r="A148" s="20">
        <v>18.3</v>
      </c>
      <c r="B148" s="21">
        <v>103</v>
      </c>
      <c r="C148" s="21">
        <v>103</v>
      </c>
      <c r="D148" s="22">
        <f>IF(AND(A148&gt;=Constants!$B$8,A148&lt;=Constants!$B$9),Constants!$B$6+Constants!$B$7*(CEILING(A148,1)-Constants!$B$8),Constants!$B$11)</f>
        <v>103</v>
      </c>
      <c r="E148" s="23" t="str">
        <f t="shared" si="2"/>
        <v>OK</v>
      </c>
      <c r="F148" s="24">
        <f>IF(C148&gt;=0,C148/Constants!$B$5,"n/a")</f>
        <v>0.32187500000000002</v>
      </c>
      <c r="G148" s="23" t="str">
        <f>IF(AND(B148=Constants!$B$13,C148&lt;0),"Both error",IF(B148=C148,"Identical",IF(AND(B148=Constants!$B$13,C148&gt;=0),"Fixed in v1.0.0","Different")))</f>
        <v>Identical</v>
      </c>
      <c r="H148" s="7"/>
    </row>
    <row r="149" spans="1:8" x14ac:dyDescent="0.2">
      <c r="A149" s="20">
        <v>18.399999999999999</v>
      </c>
      <c r="B149" s="21">
        <v>103</v>
      </c>
      <c r="C149" s="21">
        <v>103</v>
      </c>
      <c r="D149" s="22">
        <f>IF(AND(A149&gt;=Constants!$B$8,A149&lt;=Constants!$B$9),Constants!$B$6+Constants!$B$7*(CEILING(A149,1)-Constants!$B$8),Constants!$B$11)</f>
        <v>103</v>
      </c>
      <c r="E149" s="23" t="str">
        <f t="shared" si="2"/>
        <v>OK</v>
      </c>
      <c r="F149" s="24">
        <f>IF(C149&gt;=0,C149/Constants!$B$5,"n/a")</f>
        <v>0.32187500000000002</v>
      </c>
      <c r="G149" s="23" t="str">
        <f>IF(AND(B149=Constants!$B$13,C149&lt;0),"Both error",IF(B149=C149,"Identical",IF(AND(B149=Constants!$B$13,C149&gt;=0),"Fixed in v1.0.0","Different")))</f>
        <v>Identical</v>
      </c>
      <c r="H149" s="7"/>
    </row>
    <row r="150" spans="1:8" x14ac:dyDescent="0.2">
      <c r="A150" s="20">
        <v>18.5</v>
      </c>
      <c r="B150" s="21">
        <v>103</v>
      </c>
      <c r="C150" s="21">
        <v>103</v>
      </c>
      <c r="D150" s="22">
        <f>IF(AND(A150&gt;=Constants!$B$8,A150&lt;=Constants!$B$9),Constants!$B$6+Constants!$B$7*(CEILING(A150,1)-Constants!$B$8),Constants!$B$11)</f>
        <v>103</v>
      </c>
      <c r="E150" s="23" t="str">
        <f t="shared" si="2"/>
        <v>OK</v>
      </c>
      <c r="F150" s="24">
        <f>IF(C150&gt;=0,C150/Constants!$B$5,"n/a")</f>
        <v>0.32187500000000002</v>
      </c>
      <c r="G150" s="23" t="str">
        <f>IF(AND(B150=Constants!$B$13,C150&lt;0),"Both error",IF(B150=C150,"Identical",IF(AND(B150=Constants!$B$13,C150&gt;=0),"Fixed in v1.0.0","Different")))</f>
        <v>Identical</v>
      </c>
      <c r="H150" s="7"/>
    </row>
    <row r="151" spans="1:8" x14ac:dyDescent="0.2">
      <c r="A151" s="20">
        <v>18.600000000000001</v>
      </c>
      <c r="B151" s="21">
        <v>103</v>
      </c>
      <c r="C151" s="21">
        <v>103</v>
      </c>
      <c r="D151" s="22">
        <f>IF(AND(A151&gt;=Constants!$B$8,A151&lt;=Constants!$B$9),Constants!$B$6+Constants!$B$7*(CEILING(A151,1)-Constants!$B$8),Constants!$B$11)</f>
        <v>103</v>
      </c>
      <c r="E151" s="23" t="str">
        <f t="shared" si="2"/>
        <v>OK</v>
      </c>
      <c r="F151" s="24">
        <f>IF(C151&gt;=0,C151/Constants!$B$5,"n/a")</f>
        <v>0.32187500000000002</v>
      </c>
      <c r="G151" s="23" t="str">
        <f>IF(AND(B151=Constants!$B$13,C151&lt;0),"Both error",IF(B151=C151,"Identical",IF(AND(B151=Constants!$B$13,C151&gt;=0),"Fixed in v1.0.0","Different")))</f>
        <v>Identical</v>
      </c>
      <c r="H151" s="7"/>
    </row>
    <row r="152" spans="1:8" x14ac:dyDescent="0.2">
      <c r="A152" s="20">
        <v>18.7</v>
      </c>
      <c r="B152" s="21">
        <v>103</v>
      </c>
      <c r="C152" s="21">
        <v>103</v>
      </c>
      <c r="D152" s="22">
        <f>IF(AND(A152&gt;=Constants!$B$8,A152&lt;=Constants!$B$9),Constants!$B$6+Constants!$B$7*(CEILING(A152,1)-Constants!$B$8),Constants!$B$11)</f>
        <v>103</v>
      </c>
      <c r="E152" s="23" t="str">
        <f t="shared" si="2"/>
        <v>OK</v>
      </c>
      <c r="F152" s="24">
        <f>IF(C152&gt;=0,C152/Constants!$B$5,"n/a")</f>
        <v>0.32187500000000002</v>
      </c>
      <c r="G152" s="23" t="str">
        <f>IF(AND(B152=Constants!$B$13,C152&lt;0),"Both error",IF(B152=C152,"Identical",IF(AND(B152=Constants!$B$13,C152&gt;=0),"Fixed in v1.0.0","Different")))</f>
        <v>Identical</v>
      </c>
      <c r="H152" s="7"/>
    </row>
    <row r="153" spans="1:8" x14ac:dyDescent="0.2">
      <c r="A153" s="20">
        <v>18.8</v>
      </c>
      <c r="B153" s="21">
        <v>103</v>
      </c>
      <c r="C153" s="21">
        <v>103</v>
      </c>
      <c r="D153" s="22">
        <f>IF(AND(A153&gt;=Constants!$B$8,A153&lt;=Constants!$B$9),Constants!$B$6+Constants!$B$7*(CEILING(A153,1)-Constants!$B$8),Constants!$B$11)</f>
        <v>103</v>
      </c>
      <c r="E153" s="23" t="str">
        <f t="shared" si="2"/>
        <v>OK</v>
      </c>
      <c r="F153" s="24">
        <f>IF(C153&gt;=0,C153/Constants!$B$5,"n/a")</f>
        <v>0.32187500000000002</v>
      </c>
      <c r="G153" s="23" t="str">
        <f>IF(AND(B153=Constants!$B$13,C153&lt;0),"Both error",IF(B153=C153,"Identical",IF(AND(B153=Constants!$B$13,C153&gt;=0),"Fixed in v1.0.0","Different")))</f>
        <v>Identical</v>
      </c>
      <c r="H153" s="7"/>
    </row>
    <row r="154" spans="1:8" x14ac:dyDescent="0.2">
      <c r="A154" s="20">
        <v>18.899999999999999</v>
      </c>
      <c r="B154" s="21">
        <v>103</v>
      </c>
      <c r="C154" s="21">
        <v>103</v>
      </c>
      <c r="D154" s="22">
        <f>IF(AND(A154&gt;=Constants!$B$8,A154&lt;=Constants!$B$9),Constants!$B$6+Constants!$B$7*(CEILING(A154,1)-Constants!$B$8),Constants!$B$11)</f>
        <v>103</v>
      </c>
      <c r="E154" s="23" t="str">
        <f t="shared" si="2"/>
        <v>OK</v>
      </c>
      <c r="F154" s="24">
        <f>IF(C154&gt;=0,C154/Constants!$B$5,"n/a")</f>
        <v>0.32187500000000002</v>
      </c>
      <c r="G154" s="23" t="str">
        <f>IF(AND(B154=Constants!$B$13,C154&lt;0),"Both error",IF(B154=C154,"Identical",IF(AND(B154=Constants!$B$13,C154&gt;=0),"Fixed in v1.0.0","Different")))</f>
        <v>Identical</v>
      </c>
      <c r="H154" s="7"/>
    </row>
    <row r="155" spans="1:8" x14ac:dyDescent="0.2">
      <c r="A155" s="20">
        <v>19</v>
      </c>
      <c r="B155" s="21">
        <v>103</v>
      </c>
      <c r="C155" s="21">
        <v>103</v>
      </c>
      <c r="D155" s="22">
        <f>IF(AND(A155&gt;=Constants!$B$8,A155&lt;=Constants!$B$9),Constants!$B$6+Constants!$B$7*(CEILING(A155,1)-Constants!$B$8),Constants!$B$11)</f>
        <v>103</v>
      </c>
      <c r="E155" s="23" t="str">
        <f t="shared" si="2"/>
        <v>OK</v>
      </c>
      <c r="F155" s="24">
        <f>IF(C155&gt;=0,C155/Constants!$B$5,"n/a")</f>
        <v>0.32187500000000002</v>
      </c>
      <c r="G155" s="23" t="str">
        <f>IF(AND(B155=Constants!$B$13,C155&lt;0),"Both error",IF(B155=C155,"Identical",IF(AND(B155=Constants!$B$13,C155&gt;=0),"Fixed in v1.0.0","Different")))</f>
        <v>Identical</v>
      </c>
      <c r="H155" s="7"/>
    </row>
    <row r="156" spans="1:8" x14ac:dyDescent="0.2">
      <c r="A156" s="20">
        <v>19.100000000000001</v>
      </c>
      <c r="B156" s="21">
        <v>110</v>
      </c>
      <c r="C156" s="21">
        <v>110</v>
      </c>
      <c r="D156" s="22">
        <f>IF(AND(A156&gt;=Constants!$B$8,A156&lt;=Constants!$B$9),Constants!$B$6+Constants!$B$7*(CEILING(A156,1)-Constants!$B$8),Constants!$B$11)</f>
        <v>110</v>
      </c>
      <c r="E156" s="23" t="str">
        <f t="shared" si="2"/>
        <v>OK</v>
      </c>
      <c r="F156" s="24">
        <f>IF(C156&gt;=0,C156/Constants!$B$5,"n/a")</f>
        <v>0.34375</v>
      </c>
      <c r="G156" s="23" t="str">
        <f>IF(AND(B156=Constants!$B$13,C156&lt;0),"Both error",IF(B156=C156,"Identical",IF(AND(B156=Constants!$B$13,C156&gt;=0),"Fixed in v1.0.0","Different")))</f>
        <v>Identical</v>
      </c>
      <c r="H156" s="7"/>
    </row>
    <row r="157" spans="1:8" x14ac:dyDescent="0.2">
      <c r="A157" s="20">
        <v>19.2</v>
      </c>
      <c r="B157" s="21">
        <v>110</v>
      </c>
      <c r="C157" s="21">
        <v>110</v>
      </c>
      <c r="D157" s="22">
        <f>IF(AND(A157&gt;=Constants!$B$8,A157&lt;=Constants!$B$9),Constants!$B$6+Constants!$B$7*(CEILING(A157,1)-Constants!$B$8),Constants!$B$11)</f>
        <v>110</v>
      </c>
      <c r="E157" s="23" t="str">
        <f t="shared" si="2"/>
        <v>OK</v>
      </c>
      <c r="F157" s="24">
        <f>IF(C157&gt;=0,C157/Constants!$B$5,"n/a")</f>
        <v>0.34375</v>
      </c>
      <c r="G157" s="23" t="str">
        <f>IF(AND(B157=Constants!$B$13,C157&lt;0),"Both error",IF(B157=C157,"Identical",IF(AND(B157=Constants!$B$13,C157&gt;=0),"Fixed in v1.0.0","Different")))</f>
        <v>Identical</v>
      </c>
      <c r="H157" s="7"/>
    </row>
    <row r="158" spans="1:8" x14ac:dyDescent="0.2">
      <c r="A158" s="20">
        <v>19.3</v>
      </c>
      <c r="B158" s="21">
        <v>110</v>
      </c>
      <c r="C158" s="21">
        <v>110</v>
      </c>
      <c r="D158" s="22">
        <f>IF(AND(A158&gt;=Constants!$B$8,A158&lt;=Constants!$B$9),Constants!$B$6+Constants!$B$7*(CEILING(A158,1)-Constants!$B$8),Constants!$B$11)</f>
        <v>110</v>
      </c>
      <c r="E158" s="23" t="str">
        <f t="shared" si="2"/>
        <v>OK</v>
      </c>
      <c r="F158" s="24">
        <f>IF(C158&gt;=0,C158/Constants!$B$5,"n/a")</f>
        <v>0.34375</v>
      </c>
      <c r="G158" s="23" t="str">
        <f>IF(AND(B158=Constants!$B$13,C158&lt;0),"Both error",IF(B158=C158,"Identical",IF(AND(B158=Constants!$B$13,C158&gt;=0),"Fixed in v1.0.0","Different")))</f>
        <v>Identical</v>
      </c>
      <c r="H158" s="7"/>
    </row>
    <row r="159" spans="1:8" x14ac:dyDescent="0.2">
      <c r="A159" s="20">
        <v>19.399999999999999</v>
      </c>
      <c r="B159" s="21">
        <v>110</v>
      </c>
      <c r="C159" s="21">
        <v>110</v>
      </c>
      <c r="D159" s="22">
        <f>IF(AND(A159&gt;=Constants!$B$8,A159&lt;=Constants!$B$9),Constants!$B$6+Constants!$B$7*(CEILING(A159,1)-Constants!$B$8),Constants!$B$11)</f>
        <v>110</v>
      </c>
      <c r="E159" s="23" t="str">
        <f t="shared" si="2"/>
        <v>OK</v>
      </c>
      <c r="F159" s="24">
        <f>IF(C159&gt;=0,C159/Constants!$B$5,"n/a")</f>
        <v>0.34375</v>
      </c>
      <c r="G159" s="23" t="str">
        <f>IF(AND(B159=Constants!$B$13,C159&lt;0),"Both error",IF(B159=C159,"Identical",IF(AND(B159=Constants!$B$13,C159&gt;=0),"Fixed in v1.0.0","Different")))</f>
        <v>Identical</v>
      </c>
      <c r="H159" s="7"/>
    </row>
    <row r="160" spans="1:8" x14ac:dyDescent="0.2">
      <c r="A160" s="20">
        <v>19.5</v>
      </c>
      <c r="B160" s="21">
        <v>110</v>
      </c>
      <c r="C160" s="21">
        <v>110</v>
      </c>
      <c r="D160" s="22">
        <f>IF(AND(A160&gt;=Constants!$B$8,A160&lt;=Constants!$B$9),Constants!$B$6+Constants!$B$7*(CEILING(A160,1)-Constants!$B$8),Constants!$B$11)</f>
        <v>110</v>
      </c>
      <c r="E160" s="23" t="str">
        <f t="shared" si="2"/>
        <v>OK</v>
      </c>
      <c r="F160" s="24">
        <f>IF(C160&gt;=0,C160/Constants!$B$5,"n/a")</f>
        <v>0.34375</v>
      </c>
      <c r="G160" s="23" t="str">
        <f>IF(AND(B160=Constants!$B$13,C160&lt;0),"Both error",IF(B160=C160,"Identical",IF(AND(B160=Constants!$B$13,C160&gt;=0),"Fixed in v1.0.0","Different")))</f>
        <v>Identical</v>
      </c>
      <c r="H160" s="7"/>
    </row>
    <row r="161" spans="1:8" x14ac:dyDescent="0.2">
      <c r="A161" s="20">
        <v>19.600000000000001</v>
      </c>
      <c r="B161" s="21">
        <v>110</v>
      </c>
      <c r="C161" s="21">
        <v>110</v>
      </c>
      <c r="D161" s="22">
        <f>IF(AND(A161&gt;=Constants!$B$8,A161&lt;=Constants!$B$9),Constants!$B$6+Constants!$B$7*(CEILING(A161,1)-Constants!$B$8),Constants!$B$11)</f>
        <v>110</v>
      </c>
      <c r="E161" s="23" t="str">
        <f t="shared" si="2"/>
        <v>OK</v>
      </c>
      <c r="F161" s="24">
        <f>IF(C161&gt;=0,C161/Constants!$B$5,"n/a")</f>
        <v>0.34375</v>
      </c>
      <c r="G161" s="23" t="str">
        <f>IF(AND(B161=Constants!$B$13,C161&lt;0),"Both error",IF(B161=C161,"Identical",IF(AND(B161=Constants!$B$13,C161&gt;=0),"Fixed in v1.0.0","Different")))</f>
        <v>Identical</v>
      </c>
      <c r="H161" s="7"/>
    </row>
    <row r="162" spans="1:8" x14ac:dyDescent="0.2">
      <c r="A162" s="20">
        <v>19.7</v>
      </c>
      <c r="B162" s="21">
        <v>110</v>
      </c>
      <c r="C162" s="21">
        <v>110</v>
      </c>
      <c r="D162" s="22">
        <f>IF(AND(A162&gt;=Constants!$B$8,A162&lt;=Constants!$B$9),Constants!$B$6+Constants!$B$7*(CEILING(A162,1)-Constants!$B$8),Constants!$B$11)</f>
        <v>110</v>
      </c>
      <c r="E162" s="23" t="str">
        <f t="shared" si="2"/>
        <v>OK</v>
      </c>
      <c r="F162" s="24">
        <f>IF(C162&gt;=0,C162/Constants!$B$5,"n/a")</f>
        <v>0.34375</v>
      </c>
      <c r="G162" s="23" t="str">
        <f>IF(AND(B162=Constants!$B$13,C162&lt;0),"Both error",IF(B162=C162,"Identical",IF(AND(B162=Constants!$B$13,C162&gt;=0),"Fixed in v1.0.0","Different")))</f>
        <v>Identical</v>
      </c>
      <c r="H162" s="7"/>
    </row>
    <row r="163" spans="1:8" x14ac:dyDescent="0.2">
      <c r="A163" s="20">
        <v>19.8</v>
      </c>
      <c r="B163" s="21">
        <v>110</v>
      </c>
      <c r="C163" s="21">
        <v>110</v>
      </c>
      <c r="D163" s="22">
        <f>IF(AND(A163&gt;=Constants!$B$8,A163&lt;=Constants!$B$9),Constants!$B$6+Constants!$B$7*(CEILING(A163,1)-Constants!$B$8),Constants!$B$11)</f>
        <v>110</v>
      </c>
      <c r="E163" s="23" t="str">
        <f t="shared" si="2"/>
        <v>OK</v>
      </c>
      <c r="F163" s="24">
        <f>IF(C163&gt;=0,C163/Constants!$B$5,"n/a")</f>
        <v>0.34375</v>
      </c>
      <c r="G163" s="23" t="str">
        <f>IF(AND(B163=Constants!$B$13,C163&lt;0),"Both error",IF(B163=C163,"Identical",IF(AND(B163=Constants!$B$13,C163&gt;=0),"Fixed in v1.0.0","Different")))</f>
        <v>Identical</v>
      </c>
      <c r="H163" s="7"/>
    </row>
    <row r="164" spans="1:8" x14ac:dyDescent="0.2">
      <c r="A164" s="20">
        <v>19.899999999999999</v>
      </c>
      <c r="B164" s="21">
        <v>110</v>
      </c>
      <c r="C164" s="21">
        <v>110</v>
      </c>
      <c r="D164" s="22">
        <f>IF(AND(A164&gt;=Constants!$B$8,A164&lt;=Constants!$B$9),Constants!$B$6+Constants!$B$7*(CEILING(A164,1)-Constants!$B$8),Constants!$B$11)</f>
        <v>110</v>
      </c>
      <c r="E164" s="23" t="str">
        <f t="shared" si="2"/>
        <v>OK</v>
      </c>
      <c r="F164" s="24">
        <f>IF(C164&gt;=0,C164/Constants!$B$5,"n/a")</f>
        <v>0.34375</v>
      </c>
      <c r="G164" s="23" t="str">
        <f>IF(AND(B164=Constants!$B$13,C164&lt;0),"Both error",IF(B164=C164,"Identical",IF(AND(B164=Constants!$B$13,C164&gt;=0),"Fixed in v1.0.0","Different")))</f>
        <v>Identical</v>
      </c>
      <c r="H164" s="7"/>
    </row>
    <row r="165" spans="1:8" x14ac:dyDescent="0.2">
      <c r="A165" s="20">
        <v>20</v>
      </c>
      <c r="B165" s="21">
        <v>110</v>
      </c>
      <c r="C165" s="21">
        <v>110</v>
      </c>
      <c r="D165" s="22">
        <f>IF(AND(A165&gt;=Constants!$B$8,A165&lt;=Constants!$B$9),Constants!$B$6+Constants!$B$7*(CEILING(A165,1)-Constants!$B$8),Constants!$B$11)</f>
        <v>110</v>
      </c>
      <c r="E165" s="23" t="str">
        <f t="shared" si="2"/>
        <v>OK</v>
      </c>
      <c r="F165" s="24">
        <f>IF(C165&gt;=0,C165/Constants!$B$5,"n/a")</f>
        <v>0.34375</v>
      </c>
      <c r="G165" s="23" t="str">
        <f>IF(AND(B165=Constants!$B$13,C165&lt;0),"Both error",IF(B165=C165,"Identical",IF(AND(B165=Constants!$B$13,C165&gt;=0),"Fixed in v1.0.0","Different")))</f>
        <v>Identical</v>
      </c>
      <c r="H165" s="7"/>
    </row>
    <row r="166" spans="1:8" x14ac:dyDescent="0.2">
      <c r="A166" s="20">
        <v>20.100000000000001</v>
      </c>
      <c r="B166" s="21">
        <v>117</v>
      </c>
      <c r="C166" s="21">
        <v>117</v>
      </c>
      <c r="D166" s="22">
        <f>IF(AND(A166&gt;=Constants!$B$8,A166&lt;=Constants!$B$9),Constants!$B$6+Constants!$B$7*(CEILING(A166,1)-Constants!$B$8),Constants!$B$11)</f>
        <v>117</v>
      </c>
      <c r="E166" s="23" t="str">
        <f t="shared" si="2"/>
        <v>OK</v>
      </c>
      <c r="F166" s="24">
        <f>IF(C166&gt;=0,C166/Constants!$B$5,"n/a")</f>
        <v>0.36562499999999998</v>
      </c>
      <c r="G166" s="23" t="str">
        <f>IF(AND(B166=Constants!$B$13,C166&lt;0),"Both error",IF(B166=C166,"Identical",IF(AND(B166=Constants!$B$13,C166&gt;=0),"Fixed in v1.0.0","Different")))</f>
        <v>Identical</v>
      </c>
      <c r="H166" s="7"/>
    </row>
    <row r="167" spans="1:8" x14ac:dyDescent="0.2">
      <c r="A167" s="20">
        <v>20.2</v>
      </c>
      <c r="B167" s="21">
        <v>117</v>
      </c>
      <c r="C167" s="21">
        <v>117</v>
      </c>
      <c r="D167" s="22">
        <f>IF(AND(A167&gt;=Constants!$B$8,A167&lt;=Constants!$B$9),Constants!$B$6+Constants!$B$7*(CEILING(A167,1)-Constants!$B$8),Constants!$B$11)</f>
        <v>117</v>
      </c>
      <c r="E167" s="23" t="str">
        <f t="shared" si="2"/>
        <v>OK</v>
      </c>
      <c r="F167" s="24">
        <f>IF(C167&gt;=0,C167/Constants!$B$5,"n/a")</f>
        <v>0.36562499999999998</v>
      </c>
      <c r="G167" s="23" t="str">
        <f>IF(AND(B167=Constants!$B$13,C167&lt;0),"Both error",IF(B167=C167,"Identical",IF(AND(B167=Constants!$B$13,C167&gt;=0),"Fixed in v1.0.0","Different")))</f>
        <v>Identical</v>
      </c>
      <c r="H167" s="7"/>
    </row>
    <row r="168" spans="1:8" x14ac:dyDescent="0.2">
      <c r="A168" s="20">
        <v>20.3</v>
      </c>
      <c r="B168" s="21">
        <v>117</v>
      </c>
      <c r="C168" s="21">
        <v>117</v>
      </c>
      <c r="D168" s="22">
        <f>IF(AND(A168&gt;=Constants!$B$8,A168&lt;=Constants!$B$9),Constants!$B$6+Constants!$B$7*(CEILING(A168,1)-Constants!$B$8),Constants!$B$11)</f>
        <v>117</v>
      </c>
      <c r="E168" s="23" t="str">
        <f t="shared" si="2"/>
        <v>OK</v>
      </c>
      <c r="F168" s="24">
        <f>IF(C168&gt;=0,C168/Constants!$B$5,"n/a")</f>
        <v>0.36562499999999998</v>
      </c>
      <c r="G168" s="23" t="str">
        <f>IF(AND(B168=Constants!$B$13,C168&lt;0),"Both error",IF(B168=C168,"Identical",IF(AND(B168=Constants!$B$13,C168&gt;=0),"Fixed in v1.0.0","Different")))</f>
        <v>Identical</v>
      </c>
      <c r="H168" s="7"/>
    </row>
    <row r="169" spans="1:8" x14ac:dyDescent="0.2">
      <c r="A169" s="20">
        <v>20.399999999999999</v>
      </c>
      <c r="B169" s="21">
        <v>117</v>
      </c>
      <c r="C169" s="21">
        <v>117</v>
      </c>
      <c r="D169" s="22">
        <f>IF(AND(A169&gt;=Constants!$B$8,A169&lt;=Constants!$B$9),Constants!$B$6+Constants!$B$7*(CEILING(A169,1)-Constants!$B$8),Constants!$B$11)</f>
        <v>117</v>
      </c>
      <c r="E169" s="23" t="str">
        <f t="shared" si="2"/>
        <v>OK</v>
      </c>
      <c r="F169" s="24">
        <f>IF(C169&gt;=0,C169/Constants!$B$5,"n/a")</f>
        <v>0.36562499999999998</v>
      </c>
      <c r="G169" s="23" t="str">
        <f>IF(AND(B169=Constants!$B$13,C169&lt;0),"Both error",IF(B169=C169,"Identical",IF(AND(B169=Constants!$B$13,C169&gt;=0),"Fixed in v1.0.0","Different")))</f>
        <v>Identical</v>
      </c>
      <c r="H169" s="7"/>
    </row>
    <row r="170" spans="1:8" x14ac:dyDescent="0.2">
      <c r="A170" s="20">
        <v>20.5</v>
      </c>
      <c r="B170" s="21">
        <v>117</v>
      </c>
      <c r="C170" s="21">
        <v>117</v>
      </c>
      <c r="D170" s="22">
        <f>IF(AND(A170&gt;=Constants!$B$8,A170&lt;=Constants!$B$9),Constants!$B$6+Constants!$B$7*(CEILING(A170,1)-Constants!$B$8),Constants!$B$11)</f>
        <v>117</v>
      </c>
      <c r="E170" s="23" t="str">
        <f t="shared" si="2"/>
        <v>OK</v>
      </c>
      <c r="F170" s="24">
        <f>IF(C170&gt;=0,C170/Constants!$B$5,"n/a")</f>
        <v>0.36562499999999998</v>
      </c>
      <c r="G170" s="23" t="str">
        <f>IF(AND(B170=Constants!$B$13,C170&lt;0),"Both error",IF(B170=C170,"Identical",IF(AND(B170=Constants!$B$13,C170&gt;=0),"Fixed in v1.0.0","Different")))</f>
        <v>Identical</v>
      </c>
      <c r="H170" s="7"/>
    </row>
    <row r="171" spans="1:8" x14ac:dyDescent="0.2">
      <c r="A171" s="20">
        <v>20.6</v>
      </c>
      <c r="B171" s="21">
        <v>117</v>
      </c>
      <c r="C171" s="21">
        <v>117</v>
      </c>
      <c r="D171" s="22">
        <f>IF(AND(A171&gt;=Constants!$B$8,A171&lt;=Constants!$B$9),Constants!$B$6+Constants!$B$7*(CEILING(A171,1)-Constants!$B$8),Constants!$B$11)</f>
        <v>117</v>
      </c>
      <c r="E171" s="23" t="str">
        <f t="shared" si="2"/>
        <v>OK</v>
      </c>
      <c r="F171" s="24">
        <f>IF(C171&gt;=0,C171/Constants!$B$5,"n/a")</f>
        <v>0.36562499999999998</v>
      </c>
      <c r="G171" s="23" t="str">
        <f>IF(AND(B171=Constants!$B$13,C171&lt;0),"Both error",IF(B171=C171,"Identical",IF(AND(B171=Constants!$B$13,C171&gt;=0),"Fixed in v1.0.0","Different")))</f>
        <v>Identical</v>
      </c>
      <c r="H171" s="7"/>
    </row>
    <row r="172" spans="1:8" x14ac:dyDescent="0.2">
      <c r="A172" s="20">
        <v>20.7</v>
      </c>
      <c r="B172" s="21">
        <v>117</v>
      </c>
      <c r="C172" s="21">
        <v>117</v>
      </c>
      <c r="D172" s="22">
        <f>IF(AND(A172&gt;=Constants!$B$8,A172&lt;=Constants!$B$9),Constants!$B$6+Constants!$B$7*(CEILING(A172,1)-Constants!$B$8),Constants!$B$11)</f>
        <v>117</v>
      </c>
      <c r="E172" s="23" t="str">
        <f t="shared" si="2"/>
        <v>OK</v>
      </c>
      <c r="F172" s="24">
        <f>IF(C172&gt;=0,C172/Constants!$B$5,"n/a")</f>
        <v>0.36562499999999998</v>
      </c>
      <c r="G172" s="23" t="str">
        <f>IF(AND(B172=Constants!$B$13,C172&lt;0),"Both error",IF(B172=C172,"Identical",IF(AND(B172=Constants!$B$13,C172&gt;=0),"Fixed in v1.0.0","Different")))</f>
        <v>Identical</v>
      </c>
      <c r="H172" s="7"/>
    </row>
    <row r="173" spans="1:8" x14ac:dyDescent="0.2">
      <c r="A173" s="20">
        <v>20.8</v>
      </c>
      <c r="B173" s="21">
        <v>117</v>
      </c>
      <c r="C173" s="21">
        <v>117</v>
      </c>
      <c r="D173" s="22">
        <f>IF(AND(A173&gt;=Constants!$B$8,A173&lt;=Constants!$B$9),Constants!$B$6+Constants!$B$7*(CEILING(A173,1)-Constants!$B$8),Constants!$B$11)</f>
        <v>117</v>
      </c>
      <c r="E173" s="23" t="str">
        <f t="shared" si="2"/>
        <v>OK</v>
      </c>
      <c r="F173" s="24">
        <f>IF(C173&gt;=0,C173/Constants!$B$5,"n/a")</f>
        <v>0.36562499999999998</v>
      </c>
      <c r="G173" s="23" t="str">
        <f>IF(AND(B173=Constants!$B$13,C173&lt;0),"Both error",IF(B173=C173,"Identical",IF(AND(B173=Constants!$B$13,C173&gt;=0),"Fixed in v1.0.0","Different")))</f>
        <v>Identical</v>
      </c>
      <c r="H173" s="7"/>
    </row>
    <row r="174" spans="1:8" x14ac:dyDescent="0.2">
      <c r="A174" s="20">
        <v>20.9</v>
      </c>
      <c r="B174" s="21">
        <v>117</v>
      </c>
      <c r="C174" s="21">
        <v>117</v>
      </c>
      <c r="D174" s="22">
        <f>IF(AND(A174&gt;=Constants!$B$8,A174&lt;=Constants!$B$9),Constants!$B$6+Constants!$B$7*(CEILING(A174,1)-Constants!$B$8),Constants!$B$11)</f>
        <v>117</v>
      </c>
      <c r="E174" s="23" t="str">
        <f t="shared" si="2"/>
        <v>OK</v>
      </c>
      <c r="F174" s="24">
        <f>IF(C174&gt;=0,C174/Constants!$B$5,"n/a")</f>
        <v>0.36562499999999998</v>
      </c>
      <c r="G174" s="23" t="str">
        <f>IF(AND(B174=Constants!$B$13,C174&lt;0),"Both error",IF(B174=C174,"Identical",IF(AND(B174=Constants!$B$13,C174&gt;=0),"Fixed in v1.0.0","Different")))</f>
        <v>Identical</v>
      </c>
      <c r="H174" s="7"/>
    </row>
    <row r="175" spans="1:8" x14ac:dyDescent="0.2">
      <c r="A175" s="20">
        <v>21</v>
      </c>
      <c r="B175" s="21">
        <v>117</v>
      </c>
      <c r="C175" s="21">
        <v>117</v>
      </c>
      <c r="D175" s="22">
        <f>IF(AND(A175&gt;=Constants!$B$8,A175&lt;=Constants!$B$9),Constants!$B$6+Constants!$B$7*(CEILING(A175,1)-Constants!$B$8),Constants!$B$11)</f>
        <v>117</v>
      </c>
      <c r="E175" s="23" t="str">
        <f t="shared" si="2"/>
        <v>OK</v>
      </c>
      <c r="F175" s="24">
        <f>IF(C175&gt;=0,C175/Constants!$B$5,"n/a")</f>
        <v>0.36562499999999998</v>
      </c>
      <c r="G175" s="23" t="str">
        <f>IF(AND(B175=Constants!$B$13,C175&lt;0),"Both error",IF(B175=C175,"Identical",IF(AND(B175=Constants!$B$13,C175&gt;=0),"Fixed in v1.0.0","Different")))</f>
        <v>Identical</v>
      </c>
      <c r="H175" s="7"/>
    </row>
    <row r="176" spans="1:8" x14ac:dyDescent="0.2">
      <c r="A176" s="20">
        <v>21.1</v>
      </c>
      <c r="B176" s="21">
        <v>124</v>
      </c>
      <c r="C176" s="21">
        <v>124</v>
      </c>
      <c r="D176" s="22">
        <f>IF(AND(A176&gt;=Constants!$B$8,A176&lt;=Constants!$B$9),Constants!$B$6+Constants!$B$7*(CEILING(A176,1)-Constants!$B$8),Constants!$B$11)</f>
        <v>124</v>
      </c>
      <c r="E176" s="23" t="str">
        <f t="shared" si="2"/>
        <v>OK</v>
      </c>
      <c r="F176" s="24">
        <f>IF(C176&gt;=0,C176/Constants!$B$5,"n/a")</f>
        <v>0.38750000000000001</v>
      </c>
      <c r="G176" s="23" t="str">
        <f>IF(AND(B176=Constants!$B$13,C176&lt;0),"Both error",IF(B176=C176,"Identical",IF(AND(B176=Constants!$B$13,C176&gt;=0),"Fixed in v1.0.0","Different")))</f>
        <v>Identical</v>
      </c>
      <c r="H176" s="7"/>
    </row>
    <row r="177" spans="1:8" x14ac:dyDescent="0.2">
      <c r="A177" s="20">
        <v>21.2</v>
      </c>
      <c r="B177" s="21">
        <v>124</v>
      </c>
      <c r="C177" s="21">
        <v>124</v>
      </c>
      <c r="D177" s="22">
        <f>IF(AND(A177&gt;=Constants!$B$8,A177&lt;=Constants!$B$9),Constants!$B$6+Constants!$B$7*(CEILING(A177,1)-Constants!$B$8),Constants!$B$11)</f>
        <v>124</v>
      </c>
      <c r="E177" s="23" t="str">
        <f t="shared" si="2"/>
        <v>OK</v>
      </c>
      <c r="F177" s="24">
        <f>IF(C177&gt;=0,C177/Constants!$B$5,"n/a")</f>
        <v>0.38750000000000001</v>
      </c>
      <c r="G177" s="23" t="str">
        <f>IF(AND(B177=Constants!$B$13,C177&lt;0),"Both error",IF(B177=C177,"Identical",IF(AND(B177=Constants!$B$13,C177&gt;=0),"Fixed in v1.0.0","Different")))</f>
        <v>Identical</v>
      </c>
      <c r="H177" s="7"/>
    </row>
    <row r="178" spans="1:8" x14ac:dyDescent="0.2">
      <c r="A178" s="20">
        <v>21.3</v>
      </c>
      <c r="B178" s="21">
        <v>124</v>
      </c>
      <c r="C178" s="21">
        <v>124</v>
      </c>
      <c r="D178" s="22">
        <f>IF(AND(A178&gt;=Constants!$B$8,A178&lt;=Constants!$B$9),Constants!$B$6+Constants!$B$7*(CEILING(A178,1)-Constants!$B$8),Constants!$B$11)</f>
        <v>124</v>
      </c>
      <c r="E178" s="23" t="str">
        <f t="shared" si="2"/>
        <v>OK</v>
      </c>
      <c r="F178" s="24">
        <f>IF(C178&gt;=0,C178/Constants!$B$5,"n/a")</f>
        <v>0.38750000000000001</v>
      </c>
      <c r="G178" s="23" t="str">
        <f>IF(AND(B178=Constants!$B$13,C178&lt;0),"Both error",IF(B178=C178,"Identical",IF(AND(B178=Constants!$B$13,C178&gt;=0),"Fixed in v1.0.0","Different")))</f>
        <v>Identical</v>
      </c>
      <c r="H178" s="7"/>
    </row>
    <row r="179" spans="1:8" x14ac:dyDescent="0.2">
      <c r="A179" s="20">
        <v>21.4</v>
      </c>
      <c r="B179" s="21">
        <v>124</v>
      </c>
      <c r="C179" s="21">
        <v>124</v>
      </c>
      <c r="D179" s="22">
        <f>IF(AND(A179&gt;=Constants!$B$8,A179&lt;=Constants!$B$9),Constants!$B$6+Constants!$B$7*(CEILING(A179,1)-Constants!$B$8),Constants!$B$11)</f>
        <v>124</v>
      </c>
      <c r="E179" s="23" t="str">
        <f t="shared" si="2"/>
        <v>OK</v>
      </c>
      <c r="F179" s="24">
        <f>IF(C179&gt;=0,C179/Constants!$B$5,"n/a")</f>
        <v>0.38750000000000001</v>
      </c>
      <c r="G179" s="23" t="str">
        <f>IF(AND(B179=Constants!$B$13,C179&lt;0),"Both error",IF(B179=C179,"Identical",IF(AND(B179=Constants!$B$13,C179&gt;=0),"Fixed in v1.0.0","Different")))</f>
        <v>Identical</v>
      </c>
      <c r="H179" s="7"/>
    </row>
    <row r="180" spans="1:8" x14ac:dyDescent="0.2">
      <c r="A180" s="20">
        <v>21.5</v>
      </c>
      <c r="B180" s="21">
        <v>124</v>
      </c>
      <c r="C180" s="21">
        <v>124</v>
      </c>
      <c r="D180" s="22">
        <f>IF(AND(A180&gt;=Constants!$B$8,A180&lt;=Constants!$B$9),Constants!$B$6+Constants!$B$7*(CEILING(A180,1)-Constants!$B$8),Constants!$B$11)</f>
        <v>124</v>
      </c>
      <c r="E180" s="23" t="str">
        <f t="shared" si="2"/>
        <v>OK</v>
      </c>
      <c r="F180" s="24">
        <f>IF(C180&gt;=0,C180/Constants!$B$5,"n/a")</f>
        <v>0.38750000000000001</v>
      </c>
      <c r="G180" s="23" t="str">
        <f>IF(AND(B180=Constants!$B$13,C180&lt;0),"Both error",IF(B180=C180,"Identical",IF(AND(B180=Constants!$B$13,C180&gt;=0),"Fixed in v1.0.0","Different")))</f>
        <v>Identical</v>
      </c>
      <c r="H180" s="7"/>
    </row>
    <row r="181" spans="1:8" x14ac:dyDescent="0.2">
      <c r="A181" s="20">
        <v>21.6</v>
      </c>
      <c r="B181" s="21">
        <v>124</v>
      </c>
      <c r="C181" s="21">
        <v>124</v>
      </c>
      <c r="D181" s="22">
        <f>IF(AND(A181&gt;=Constants!$B$8,A181&lt;=Constants!$B$9),Constants!$B$6+Constants!$B$7*(CEILING(A181,1)-Constants!$B$8),Constants!$B$11)</f>
        <v>124</v>
      </c>
      <c r="E181" s="23" t="str">
        <f t="shared" si="2"/>
        <v>OK</v>
      </c>
      <c r="F181" s="24">
        <f>IF(C181&gt;=0,C181/Constants!$B$5,"n/a")</f>
        <v>0.38750000000000001</v>
      </c>
      <c r="G181" s="23" t="str">
        <f>IF(AND(B181=Constants!$B$13,C181&lt;0),"Both error",IF(B181=C181,"Identical",IF(AND(B181=Constants!$B$13,C181&gt;=0),"Fixed in v1.0.0","Different")))</f>
        <v>Identical</v>
      </c>
      <c r="H181" s="7"/>
    </row>
    <row r="182" spans="1:8" x14ac:dyDescent="0.2">
      <c r="A182" s="20">
        <v>21.7</v>
      </c>
      <c r="B182" s="21">
        <v>124</v>
      </c>
      <c r="C182" s="21">
        <v>124</v>
      </c>
      <c r="D182" s="22">
        <f>IF(AND(A182&gt;=Constants!$B$8,A182&lt;=Constants!$B$9),Constants!$B$6+Constants!$B$7*(CEILING(A182,1)-Constants!$B$8),Constants!$B$11)</f>
        <v>124</v>
      </c>
      <c r="E182" s="23" t="str">
        <f t="shared" si="2"/>
        <v>OK</v>
      </c>
      <c r="F182" s="24">
        <f>IF(C182&gt;=0,C182/Constants!$B$5,"n/a")</f>
        <v>0.38750000000000001</v>
      </c>
      <c r="G182" s="23" t="str">
        <f>IF(AND(B182=Constants!$B$13,C182&lt;0),"Both error",IF(B182=C182,"Identical",IF(AND(B182=Constants!$B$13,C182&gt;=0),"Fixed in v1.0.0","Different")))</f>
        <v>Identical</v>
      </c>
      <c r="H182" s="7"/>
    </row>
    <row r="183" spans="1:8" x14ac:dyDescent="0.2">
      <c r="A183" s="20">
        <v>21.8</v>
      </c>
      <c r="B183" s="21">
        <v>124</v>
      </c>
      <c r="C183" s="21">
        <v>124</v>
      </c>
      <c r="D183" s="22">
        <f>IF(AND(A183&gt;=Constants!$B$8,A183&lt;=Constants!$B$9),Constants!$B$6+Constants!$B$7*(CEILING(A183,1)-Constants!$B$8),Constants!$B$11)</f>
        <v>124</v>
      </c>
      <c r="E183" s="23" t="str">
        <f t="shared" si="2"/>
        <v>OK</v>
      </c>
      <c r="F183" s="24">
        <f>IF(C183&gt;=0,C183/Constants!$B$5,"n/a")</f>
        <v>0.38750000000000001</v>
      </c>
      <c r="G183" s="23" t="str">
        <f>IF(AND(B183=Constants!$B$13,C183&lt;0),"Both error",IF(B183=C183,"Identical",IF(AND(B183=Constants!$B$13,C183&gt;=0),"Fixed in v1.0.0","Different")))</f>
        <v>Identical</v>
      </c>
      <c r="H183" s="7"/>
    </row>
    <row r="184" spans="1:8" x14ac:dyDescent="0.2">
      <c r="A184" s="20">
        <v>21.9</v>
      </c>
      <c r="B184" s="21">
        <v>124</v>
      </c>
      <c r="C184" s="21">
        <v>124</v>
      </c>
      <c r="D184" s="22">
        <f>IF(AND(A184&gt;=Constants!$B$8,A184&lt;=Constants!$B$9),Constants!$B$6+Constants!$B$7*(CEILING(A184,1)-Constants!$B$8),Constants!$B$11)</f>
        <v>124</v>
      </c>
      <c r="E184" s="23" t="str">
        <f t="shared" si="2"/>
        <v>OK</v>
      </c>
      <c r="F184" s="24">
        <f>IF(C184&gt;=0,C184/Constants!$B$5,"n/a")</f>
        <v>0.38750000000000001</v>
      </c>
      <c r="G184" s="23" t="str">
        <f>IF(AND(B184=Constants!$B$13,C184&lt;0),"Both error",IF(B184=C184,"Identical",IF(AND(B184=Constants!$B$13,C184&gt;=0),"Fixed in v1.0.0","Different")))</f>
        <v>Identical</v>
      </c>
      <c r="H184" s="7"/>
    </row>
    <row r="185" spans="1:8" x14ac:dyDescent="0.2">
      <c r="A185" s="20">
        <v>22</v>
      </c>
      <c r="B185" s="21">
        <v>124</v>
      </c>
      <c r="C185" s="21">
        <v>124</v>
      </c>
      <c r="D185" s="22">
        <f>IF(AND(A185&gt;=Constants!$B$8,A185&lt;=Constants!$B$9),Constants!$B$6+Constants!$B$7*(CEILING(A185,1)-Constants!$B$8),Constants!$B$11)</f>
        <v>124</v>
      </c>
      <c r="E185" s="23" t="str">
        <f t="shared" si="2"/>
        <v>OK</v>
      </c>
      <c r="F185" s="24">
        <f>IF(C185&gt;=0,C185/Constants!$B$5,"n/a")</f>
        <v>0.38750000000000001</v>
      </c>
      <c r="G185" s="23" t="str">
        <f>IF(AND(B185=Constants!$B$13,C185&lt;0),"Both error",IF(B185=C185,"Identical",IF(AND(B185=Constants!$B$13,C185&gt;=0),"Fixed in v1.0.0","Different")))</f>
        <v>Identical</v>
      </c>
      <c r="H185" s="7"/>
    </row>
    <row r="186" spans="1:8" x14ac:dyDescent="0.2">
      <c r="A186" s="20">
        <v>22.1</v>
      </c>
      <c r="B186" s="21">
        <v>131</v>
      </c>
      <c r="C186" s="21">
        <v>131</v>
      </c>
      <c r="D186" s="22">
        <f>IF(AND(A186&gt;=Constants!$B$8,A186&lt;=Constants!$B$9),Constants!$B$6+Constants!$B$7*(CEILING(A186,1)-Constants!$B$8),Constants!$B$11)</f>
        <v>131</v>
      </c>
      <c r="E186" s="23" t="str">
        <f t="shared" si="2"/>
        <v>OK</v>
      </c>
      <c r="F186" s="24">
        <f>IF(C186&gt;=0,C186/Constants!$B$5,"n/a")</f>
        <v>0.40937499999999999</v>
      </c>
      <c r="G186" s="23" t="str">
        <f>IF(AND(B186=Constants!$B$13,C186&lt;0),"Both error",IF(B186=C186,"Identical",IF(AND(B186=Constants!$B$13,C186&gt;=0),"Fixed in v1.0.0","Different")))</f>
        <v>Identical</v>
      </c>
      <c r="H186" s="7"/>
    </row>
    <row r="187" spans="1:8" x14ac:dyDescent="0.2">
      <c r="A187" s="20">
        <v>22.2</v>
      </c>
      <c r="B187" s="21">
        <v>131</v>
      </c>
      <c r="C187" s="21">
        <v>131</v>
      </c>
      <c r="D187" s="22">
        <f>IF(AND(A187&gt;=Constants!$B$8,A187&lt;=Constants!$B$9),Constants!$B$6+Constants!$B$7*(CEILING(A187,1)-Constants!$B$8),Constants!$B$11)</f>
        <v>131</v>
      </c>
      <c r="E187" s="23" t="str">
        <f t="shared" si="2"/>
        <v>OK</v>
      </c>
      <c r="F187" s="24">
        <f>IF(C187&gt;=0,C187/Constants!$B$5,"n/a")</f>
        <v>0.40937499999999999</v>
      </c>
      <c r="G187" s="23" t="str">
        <f>IF(AND(B187=Constants!$B$13,C187&lt;0),"Both error",IF(B187=C187,"Identical",IF(AND(B187=Constants!$B$13,C187&gt;=0),"Fixed in v1.0.0","Different")))</f>
        <v>Identical</v>
      </c>
      <c r="H187" s="7"/>
    </row>
    <row r="188" spans="1:8" x14ac:dyDescent="0.2">
      <c r="A188" s="20">
        <v>22.3</v>
      </c>
      <c r="B188" s="21">
        <v>131</v>
      </c>
      <c r="C188" s="21">
        <v>131</v>
      </c>
      <c r="D188" s="22">
        <f>IF(AND(A188&gt;=Constants!$B$8,A188&lt;=Constants!$B$9),Constants!$B$6+Constants!$B$7*(CEILING(A188,1)-Constants!$B$8),Constants!$B$11)</f>
        <v>131</v>
      </c>
      <c r="E188" s="23" t="str">
        <f t="shared" si="2"/>
        <v>OK</v>
      </c>
      <c r="F188" s="24">
        <f>IF(C188&gt;=0,C188/Constants!$B$5,"n/a")</f>
        <v>0.40937499999999999</v>
      </c>
      <c r="G188" s="23" t="str">
        <f>IF(AND(B188=Constants!$B$13,C188&lt;0),"Both error",IF(B188=C188,"Identical",IF(AND(B188=Constants!$B$13,C188&gt;=0),"Fixed in v1.0.0","Different")))</f>
        <v>Identical</v>
      </c>
      <c r="H188" s="7"/>
    </row>
    <row r="189" spans="1:8" x14ac:dyDescent="0.2">
      <c r="A189" s="20">
        <v>22.4</v>
      </c>
      <c r="B189" s="21">
        <v>131</v>
      </c>
      <c r="C189" s="21">
        <v>131</v>
      </c>
      <c r="D189" s="22">
        <f>IF(AND(A189&gt;=Constants!$B$8,A189&lt;=Constants!$B$9),Constants!$B$6+Constants!$B$7*(CEILING(A189,1)-Constants!$B$8),Constants!$B$11)</f>
        <v>131</v>
      </c>
      <c r="E189" s="23" t="str">
        <f t="shared" si="2"/>
        <v>OK</v>
      </c>
      <c r="F189" s="24">
        <f>IF(C189&gt;=0,C189/Constants!$B$5,"n/a")</f>
        <v>0.40937499999999999</v>
      </c>
      <c r="G189" s="23" t="str">
        <f>IF(AND(B189=Constants!$B$13,C189&lt;0),"Both error",IF(B189=C189,"Identical",IF(AND(B189=Constants!$B$13,C189&gt;=0),"Fixed in v1.0.0","Different")))</f>
        <v>Identical</v>
      </c>
      <c r="H189" s="7"/>
    </row>
    <row r="190" spans="1:8" x14ac:dyDescent="0.2">
      <c r="A190" s="20">
        <v>22.5</v>
      </c>
      <c r="B190" s="21">
        <v>131</v>
      </c>
      <c r="C190" s="21">
        <v>131</v>
      </c>
      <c r="D190" s="22">
        <f>IF(AND(A190&gt;=Constants!$B$8,A190&lt;=Constants!$B$9),Constants!$B$6+Constants!$B$7*(CEILING(A190,1)-Constants!$B$8),Constants!$B$11)</f>
        <v>131</v>
      </c>
      <c r="E190" s="23" t="str">
        <f t="shared" si="2"/>
        <v>OK</v>
      </c>
      <c r="F190" s="24">
        <f>IF(C190&gt;=0,C190/Constants!$B$5,"n/a")</f>
        <v>0.40937499999999999</v>
      </c>
      <c r="G190" s="23" t="str">
        <f>IF(AND(B190=Constants!$B$13,C190&lt;0),"Both error",IF(B190=C190,"Identical",IF(AND(B190=Constants!$B$13,C190&gt;=0),"Fixed in v1.0.0","Different")))</f>
        <v>Identical</v>
      </c>
      <c r="H190" s="7"/>
    </row>
    <row r="191" spans="1:8" x14ac:dyDescent="0.2">
      <c r="A191" s="20">
        <v>22.6</v>
      </c>
      <c r="B191" s="21">
        <v>131</v>
      </c>
      <c r="C191" s="21">
        <v>131</v>
      </c>
      <c r="D191" s="22">
        <f>IF(AND(A191&gt;=Constants!$B$8,A191&lt;=Constants!$B$9),Constants!$B$6+Constants!$B$7*(CEILING(A191,1)-Constants!$B$8),Constants!$B$11)</f>
        <v>131</v>
      </c>
      <c r="E191" s="23" t="str">
        <f t="shared" si="2"/>
        <v>OK</v>
      </c>
      <c r="F191" s="24">
        <f>IF(C191&gt;=0,C191/Constants!$B$5,"n/a")</f>
        <v>0.40937499999999999</v>
      </c>
      <c r="G191" s="23" t="str">
        <f>IF(AND(B191=Constants!$B$13,C191&lt;0),"Both error",IF(B191=C191,"Identical",IF(AND(B191=Constants!$B$13,C191&gt;=0),"Fixed in v1.0.0","Different")))</f>
        <v>Identical</v>
      </c>
      <c r="H191" s="7"/>
    </row>
    <row r="192" spans="1:8" x14ac:dyDescent="0.2">
      <c r="A192" s="20">
        <v>22.7</v>
      </c>
      <c r="B192" s="21">
        <v>131</v>
      </c>
      <c r="C192" s="21">
        <v>131</v>
      </c>
      <c r="D192" s="22">
        <f>IF(AND(A192&gt;=Constants!$B$8,A192&lt;=Constants!$B$9),Constants!$B$6+Constants!$B$7*(CEILING(A192,1)-Constants!$B$8),Constants!$B$11)</f>
        <v>131</v>
      </c>
      <c r="E192" s="23" t="str">
        <f t="shared" si="2"/>
        <v>OK</v>
      </c>
      <c r="F192" s="24">
        <f>IF(C192&gt;=0,C192/Constants!$B$5,"n/a")</f>
        <v>0.40937499999999999</v>
      </c>
      <c r="G192" s="23" t="str">
        <f>IF(AND(B192=Constants!$B$13,C192&lt;0),"Both error",IF(B192=C192,"Identical",IF(AND(B192=Constants!$B$13,C192&gt;=0),"Fixed in v1.0.0","Different")))</f>
        <v>Identical</v>
      </c>
      <c r="H192" s="7"/>
    </row>
    <row r="193" spans="1:8" x14ac:dyDescent="0.2">
      <c r="A193" s="20">
        <v>22.8</v>
      </c>
      <c r="B193" s="21">
        <v>131</v>
      </c>
      <c r="C193" s="21">
        <v>131</v>
      </c>
      <c r="D193" s="22">
        <f>IF(AND(A193&gt;=Constants!$B$8,A193&lt;=Constants!$B$9),Constants!$B$6+Constants!$B$7*(CEILING(A193,1)-Constants!$B$8),Constants!$B$11)</f>
        <v>131</v>
      </c>
      <c r="E193" s="23" t="str">
        <f t="shared" si="2"/>
        <v>OK</v>
      </c>
      <c r="F193" s="24">
        <f>IF(C193&gt;=0,C193/Constants!$B$5,"n/a")</f>
        <v>0.40937499999999999</v>
      </c>
      <c r="G193" s="23" t="str">
        <f>IF(AND(B193=Constants!$B$13,C193&lt;0),"Both error",IF(B193=C193,"Identical",IF(AND(B193=Constants!$B$13,C193&gt;=0),"Fixed in v1.0.0","Different")))</f>
        <v>Identical</v>
      </c>
      <c r="H193" s="7"/>
    </row>
    <row r="194" spans="1:8" x14ac:dyDescent="0.2">
      <c r="A194" s="20">
        <v>22.9</v>
      </c>
      <c r="B194" s="21">
        <v>131</v>
      </c>
      <c r="C194" s="21">
        <v>131</v>
      </c>
      <c r="D194" s="22">
        <f>IF(AND(A194&gt;=Constants!$B$8,A194&lt;=Constants!$B$9),Constants!$B$6+Constants!$B$7*(CEILING(A194,1)-Constants!$B$8),Constants!$B$11)</f>
        <v>131</v>
      </c>
      <c r="E194" s="23" t="str">
        <f t="shared" si="2"/>
        <v>OK</v>
      </c>
      <c r="F194" s="24">
        <f>IF(C194&gt;=0,C194/Constants!$B$5,"n/a")</f>
        <v>0.40937499999999999</v>
      </c>
      <c r="G194" s="23" t="str">
        <f>IF(AND(B194=Constants!$B$13,C194&lt;0),"Both error",IF(B194=C194,"Identical",IF(AND(B194=Constants!$B$13,C194&gt;=0),"Fixed in v1.0.0","Different")))</f>
        <v>Identical</v>
      </c>
      <c r="H194" s="7"/>
    </row>
    <row r="195" spans="1:8" x14ac:dyDescent="0.2">
      <c r="A195" s="20">
        <v>23</v>
      </c>
      <c r="B195" s="21">
        <v>131</v>
      </c>
      <c r="C195" s="21">
        <v>131</v>
      </c>
      <c r="D195" s="22">
        <f>IF(AND(A195&gt;=Constants!$B$8,A195&lt;=Constants!$B$9),Constants!$B$6+Constants!$B$7*(CEILING(A195,1)-Constants!$B$8),Constants!$B$11)</f>
        <v>131</v>
      </c>
      <c r="E195" s="23" t="str">
        <f t="shared" si="2"/>
        <v>OK</v>
      </c>
      <c r="F195" s="24">
        <f>IF(C195&gt;=0,C195/Constants!$B$5,"n/a")</f>
        <v>0.40937499999999999</v>
      </c>
      <c r="G195" s="23" t="str">
        <f>IF(AND(B195=Constants!$B$13,C195&lt;0),"Both error",IF(B195=C195,"Identical",IF(AND(B195=Constants!$B$13,C195&gt;=0),"Fixed in v1.0.0","Different")))</f>
        <v>Identical</v>
      </c>
      <c r="H195" s="7"/>
    </row>
    <row r="196" spans="1:8" x14ac:dyDescent="0.2">
      <c r="A196" s="20">
        <v>23.1</v>
      </c>
      <c r="B196" s="21">
        <v>138</v>
      </c>
      <c r="C196" s="21">
        <v>138</v>
      </c>
      <c r="D196" s="22">
        <f>IF(AND(A196&gt;=Constants!$B$8,A196&lt;=Constants!$B$9),Constants!$B$6+Constants!$B$7*(CEILING(A196,1)-Constants!$B$8),Constants!$B$11)</f>
        <v>138</v>
      </c>
      <c r="E196" s="23" t="str">
        <f t="shared" si="2"/>
        <v>OK</v>
      </c>
      <c r="F196" s="24">
        <f>IF(C196&gt;=0,C196/Constants!$B$5,"n/a")</f>
        <v>0.43125000000000002</v>
      </c>
      <c r="G196" s="23" t="str">
        <f>IF(AND(B196=Constants!$B$13,C196&lt;0),"Both error",IF(B196=C196,"Identical",IF(AND(B196=Constants!$B$13,C196&gt;=0),"Fixed in v1.0.0","Different")))</f>
        <v>Identical</v>
      </c>
      <c r="H196" s="7"/>
    </row>
    <row r="197" spans="1:8" x14ac:dyDescent="0.2">
      <c r="A197" s="20">
        <v>23.2</v>
      </c>
      <c r="B197" s="21">
        <v>138</v>
      </c>
      <c r="C197" s="21">
        <v>138</v>
      </c>
      <c r="D197" s="22">
        <f>IF(AND(A197&gt;=Constants!$B$8,A197&lt;=Constants!$B$9),Constants!$B$6+Constants!$B$7*(CEILING(A197,1)-Constants!$B$8),Constants!$B$11)</f>
        <v>138</v>
      </c>
      <c r="E197" s="23" t="str">
        <f t="shared" ref="E197:E260" si="3">IF(C197=D197,"OK","CHECK")</f>
        <v>OK</v>
      </c>
      <c r="F197" s="24">
        <f>IF(C197&gt;=0,C197/Constants!$B$5,"n/a")</f>
        <v>0.43125000000000002</v>
      </c>
      <c r="G197" s="23" t="str">
        <f>IF(AND(B197=Constants!$B$13,C197&lt;0),"Both error",IF(B197=C197,"Identical",IF(AND(B197=Constants!$B$13,C197&gt;=0),"Fixed in v1.0.0","Different")))</f>
        <v>Identical</v>
      </c>
      <c r="H197" s="7"/>
    </row>
    <row r="198" spans="1:8" x14ac:dyDescent="0.2">
      <c r="A198" s="20">
        <v>23.3</v>
      </c>
      <c r="B198" s="21">
        <v>138</v>
      </c>
      <c r="C198" s="21">
        <v>138</v>
      </c>
      <c r="D198" s="22">
        <f>IF(AND(A198&gt;=Constants!$B$8,A198&lt;=Constants!$B$9),Constants!$B$6+Constants!$B$7*(CEILING(A198,1)-Constants!$B$8),Constants!$B$11)</f>
        <v>138</v>
      </c>
      <c r="E198" s="23" t="str">
        <f t="shared" si="3"/>
        <v>OK</v>
      </c>
      <c r="F198" s="24">
        <f>IF(C198&gt;=0,C198/Constants!$B$5,"n/a")</f>
        <v>0.43125000000000002</v>
      </c>
      <c r="G198" s="23" t="str">
        <f>IF(AND(B198=Constants!$B$13,C198&lt;0),"Both error",IF(B198=C198,"Identical",IF(AND(B198=Constants!$B$13,C198&gt;=0),"Fixed in v1.0.0","Different")))</f>
        <v>Identical</v>
      </c>
      <c r="H198" s="7"/>
    </row>
    <row r="199" spans="1:8" x14ac:dyDescent="0.2">
      <c r="A199" s="20">
        <v>23.4</v>
      </c>
      <c r="B199" s="21">
        <v>138</v>
      </c>
      <c r="C199" s="21">
        <v>138</v>
      </c>
      <c r="D199" s="22">
        <f>IF(AND(A199&gt;=Constants!$B$8,A199&lt;=Constants!$B$9),Constants!$B$6+Constants!$B$7*(CEILING(A199,1)-Constants!$B$8),Constants!$B$11)</f>
        <v>138</v>
      </c>
      <c r="E199" s="23" t="str">
        <f t="shared" si="3"/>
        <v>OK</v>
      </c>
      <c r="F199" s="24">
        <f>IF(C199&gt;=0,C199/Constants!$B$5,"n/a")</f>
        <v>0.43125000000000002</v>
      </c>
      <c r="G199" s="23" t="str">
        <f>IF(AND(B199=Constants!$B$13,C199&lt;0),"Both error",IF(B199=C199,"Identical",IF(AND(B199=Constants!$B$13,C199&gt;=0),"Fixed in v1.0.0","Different")))</f>
        <v>Identical</v>
      </c>
      <c r="H199" s="7"/>
    </row>
    <row r="200" spans="1:8" x14ac:dyDescent="0.2">
      <c r="A200" s="20">
        <v>23.5</v>
      </c>
      <c r="B200" s="21">
        <v>138</v>
      </c>
      <c r="C200" s="21">
        <v>138</v>
      </c>
      <c r="D200" s="22">
        <f>IF(AND(A200&gt;=Constants!$B$8,A200&lt;=Constants!$B$9),Constants!$B$6+Constants!$B$7*(CEILING(A200,1)-Constants!$B$8),Constants!$B$11)</f>
        <v>138</v>
      </c>
      <c r="E200" s="23" t="str">
        <f t="shared" si="3"/>
        <v>OK</v>
      </c>
      <c r="F200" s="24">
        <f>IF(C200&gt;=0,C200/Constants!$B$5,"n/a")</f>
        <v>0.43125000000000002</v>
      </c>
      <c r="G200" s="23" t="str">
        <f>IF(AND(B200=Constants!$B$13,C200&lt;0),"Both error",IF(B200=C200,"Identical",IF(AND(B200=Constants!$B$13,C200&gt;=0),"Fixed in v1.0.0","Different")))</f>
        <v>Identical</v>
      </c>
      <c r="H200" s="7"/>
    </row>
    <row r="201" spans="1:8" x14ac:dyDescent="0.2">
      <c r="A201" s="20">
        <v>23.6</v>
      </c>
      <c r="B201" s="21">
        <v>138</v>
      </c>
      <c r="C201" s="21">
        <v>138</v>
      </c>
      <c r="D201" s="22">
        <f>IF(AND(A201&gt;=Constants!$B$8,A201&lt;=Constants!$B$9),Constants!$B$6+Constants!$B$7*(CEILING(A201,1)-Constants!$B$8),Constants!$B$11)</f>
        <v>138</v>
      </c>
      <c r="E201" s="23" t="str">
        <f t="shared" si="3"/>
        <v>OK</v>
      </c>
      <c r="F201" s="24">
        <f>IF(C201&gt;=0,C201/Constants!$B$5,"n/a")</f>
        <v>0.43125000000000002</v>
      </c>
      <c r="G201" s="23" t="str">
        <f>IF(AND(B201=Constants!$B$13,C201&lt;0),"Both error",IF(B201=C201,"Identical",IF(AND(B201=Constants!$B$13,C201&gt;=0),"Fixed in v1.0.0","Different")))</f>
        <v>Identical</v>
      </c>
      <c r="H201" s="7"/>
    </row>
    <row r="202" spans="1:8" x14ac:dyDescent="0.2">
      <c r="A202" s="20">
        <v>23.7</v>
      </c>
      <c r="B202" s="21">
        <v>138</v>
      </c>
      <c r="C202" s="21">
        <v>138</v>
      </c>
      <c r="D202" s="22">
        <f>IF(AND(A202&gt;=Constants!$B$8,A202&lt;=Constants!$B$9),Constants!$B$6+Constants!$B$7*(CEILING(A202,1)-Constants!$B$8),Constants!$B$11)</f>
        <v>138</v>
      </c>
      <c r="E202" s="23" t="str">
        <f t="shared" si="3"/>
        <v>OK</v>
      </c>
      <c r="F202" s="24">
        <f>IF(C202&gt;=0,C202/Constants!$B$5,"n/a")</f>
        <v>0.43125000000000002</v>
      </c>
      <c r="G202" s="23" t="str">
        <f>IF(AND(B202=Constants!$B$13,C202&lt;0),"Both error",IF(B202=C202,"Identical",IF(AND(B202=Constants!$B$13,C202&gt;=0),"Fixed in v1.0.0","Different")))</f>
        <v>Identical</v>
      </c>
      <c r="H202" s="7"/>
    </row>
    <row r="203" spans="1:8" x14ac:dyDescent="0.2">
      <c r="A203" s="20">
        <v>23.8</v>
      </c>
      <c r="B203" s="21">
        <v>138</v>
      </c>
      <c r="C203" s="21">
        <v>138</v>
      </c>
      <c r="D203" s="22">
        <f>IF(AND(A203&gt;=Constants!$B$8,A203&lt;=Constants!$B$9),Constants!$B$6+Constants!$B$7*(CEILING(A203,1)-Constants!$B$8),Constants!$B$11)</f>
        <v>138</v>
      </c>
      <c r="E203" s="23" t="str">
        <f t="shared" si="3"/>
        <v>OK</v>
      </c>
      <c r="F203" s="24">
        <f>IF(C203&gt;=0,C203/Constants!$B$5,"n/a")</f>
        <v>0.43125000000000002</v>
      </c>
      <c r="G203" s="23" t="str">
        <f>IF(AND(B203=Constants!$B$13,C203&lt;0),"Both error",IF(B203=C203,"Identical",IF(AND(B203=Constants!$B$13,C203&gt;=0),"Fixed in v1.0.0","Different")))</f>
        <v>Identical</v>
      </c>
      <c r="H203" s="7"/>
    </row>
    <row r="204" spans="1:8" x14ac:dyDescent="0.2">
      <c r="A204" s="20">
        <v>23.9</v>
      </c>
      <c r="B204" s="21">
        <v>138</v>
      </c>
      <c r="C204" s="21">
        <v>138</v>
      </c>
      <c r="D204" s="22">
        <f>IF(AND(A204&gt;=Constants!$B$8,A204&lt;=Constants!$B$9),Constants!$B$6+Constants!$B$7*(CEILING(A204,1)-Constants!$B$8),Constants!$B$11)</f>
        <v>138</v>
      </c>
      <c r="E204" s="23" t="str">
        <f t="shared" si="3"/>
        <v>OK</v>
      </c>
      <c r="F204" s="24">
        <f>IF(C204&gt;=0,C204/Constants!$B$5,"n/a")</f>
        <v>0.43125000000000002</v>
      </c>
      <c r="G204" s="23" t="str">
        <f>IF(AND(B204=Constants!$B$13,C204&lt;0),"Both error",IF(B204=C204,"Identical",IF(AND(B204=Constants!$B$13,C204&gt;=0),"Fixed in v1.0.0","Different")))</f>
        <v>Identical</v>
      </c>
      <c r="H204" s="7"/>
    </row>
    <row r="205" spans="1:8" x14ac:dyDescent="0.2">
      <c r="A205" s="20">
        <v>24</v>
      </c>
      <c r="B205" s="21">
        <v>138</v>
      </c>
      <c r="C205" s="21">
        <v>138</v>
      </c>
      <c r="D205" s="22">
        <f>IF(AND(A205&gt;=Constants!$B$8,A205&lt;=Constants!$B$9),Constants!$B$6+Constants!$B$7*(CEILING(A205,1)-Constants!$B$8),Constants!$B$11)</f>
        <v>138</v>
      </c>
      <c r="E205" s="23" t="str">
        <f t="shared" si="3"/>
        <v>OK</v>
      </c>
      <c r="F205" s="24">
        <f>IF(C205&gt;=0,C205/Constants!$B$5,"n/a")</f>
        <v>0.43125000000000002</v>
      </c>
      <c r="G205" s="23" t="str">
        <f>IF(AND(B205=Constants!$B$13,C205&lt;0),"Both error",IF(B205=C205,"Identical",IF(AND(B205=Constants!$B$13,C205&gt;=0),"Fixed in v1.0.0","Different")))</f>
        <v>Identical</v>
      </c>
      <c r="H205" s="7"/>
    </row>
    <row r="206" spans="1:8" x14ac:dyDescent="0.2">
      <c r="A206" s="20">
        <v>24.1</v>
      </c>
      <c r="B206" s="21">
        <v>145</v>
      </c>
      <c r="C206" s="21">
        <v>145</v>
      </c>
      <c r="D206" s="22">
        <f>IF(AND(A206&gt;=Constants!$B$8,A206&lt;=Constants!$B$9),Constants!$B$6+Constants!$B$7*(CEILING(A206,1)-Constants!$B$8),Constants!$B$11)</f>
        <v>145</v>
      </c>
      <c r="E206" s="23" t="str">
        <f t="shared" si="3"/>
        <v>OK</v>
      </c>
      <c r="F206" s="24">
        <f>IF(C206&gt;=0,C206/Constants!$B$5,"n/a")</f>
        <v>0.453125</v>
      </c>
      <c r="G206" s="23" t="str">
        <f>IF(AND(B206=Constants!$B$13,C206&lt;0),"Both error",IF(B206=C206,"Identical",IF(AND(B206=Constants!$B$13,C206&gt;=0),"Fixed in v1.0.0","Different")))</f>
        <v>Identical</v>
      </c>
      <c r="H206" s="7"/>
    </row>
    <row r="207" spans="1:8" x14ac:dyDescent="0.2">
      <c r="A207" s="20">
        <v>24.2</v>
      </c>
      <c r="B207" s="21">
        <v>145</v>
      </c>
      <c r="C207" s="21">
        <v>145</v>
      </c>
      <c r="D207" s="22">
        <f>IF(AND(A207&gt;=Constants!$B$8,A207&lt;=Constants!$B$9),Constants!$B$6+Constants!$B$7*(CEILING(A207,1)-Constants!$B$8),Constants!$B$11)</f>
        <v>145</v>
      </c>
      <c r="E207" s="23" t="str">
        <f t="shared" si="3"/>
        <v>OK</v>
      </c>
      <c r="F207" s="24">
        <f>IF(C207&gt;=0,C207/Constants!$B$5,"n/a")</f>
        <v>0.453125</v>
      </c>
      <c r="G207" s="23" t="str">
        <f>IF(AND(B207=Constants!$B$13,C207&lt;0),"Both error",IF(B207=C207,"Identical",IF(AND(B207=Constants!$B$13,C207&gt;=0),"Fixed in v1.0.0","Different")))</f>
        <v>Identical</v>
      </c>
      <c r="H207" s="7"/>
    </row>
    <row r="208" spans="1:8" x14ac:dyDescent="0.2">
      <c r="A208" s="20">
        <v>24.3</v>
      </c>
      <c r="B208" s="21">
        <v>145</v>
      </c>
      <c r="C208" s="21">
        <v>145</v>
      </c>
      <c r="D208" s="22">
        <f>IF(AND(A208&gt;=Constants!$B$8,A208&lt;=Constants!$B$9),Constants!$B$6+Constants!$B$7*(CEILING(A208,1)-Constants!$B$8),Constants!$B$11)</f>
        <v>145</v>
      </c>
      <c r="E208" s="23" t="str">
        <f t="shared" si="3"/>
        <v>OK</v>
      </c>
      <c r="F208" s="24">
        <f>IF(C208&gt;=0,C208/Constants!$B$5,"n/a")</f>
        <v>0.453125</v>
      </c>
      <c r="G208" s="23" t="str">
        <f>IF(AND(B208=Constants!$B$13,C208&lt;0),"Both error",IF(B208=C208,"Identical",IF(AND(B208=Constants!$B$13,C208&gt;=0),"Fixed in v1.0.0","Different")))</f>
        <v>Identical</v>
      </c>
      <c r="H208" s="7"/>
    </row>
    <row r="209" spans="1:8" x14ac:dyDescent="0.2">
      <c r="A209" s="20">
        <v>24.4</v>
      </c>
      <c r="B209" s="21">
        <v>145</v>
      </c>
      <c r="C209" s="21">
        <v>145</v>
      </c>
      <c r="D209" s="22">
        <f>IF(AND(A209&gt;=Constants!$B$8,A209&lt;=Constants!$B$9),Constants!$B$6+Constants!$B$7*(CEILING(A209,1)-Constants!$B$8),Constants!$B$11)</f>
        <v>145</v>
      </c>
      <c r="E209" s="23" t="str">
        <f t="shared" si="3"/>
        <v>OK</v>
      </c>
      <c r="F209" s="24">
        <f>IF(C209&gt;=0,C209/Constants!$B$5,"n/a")</f>
        <v>0.453125</v>
      </c>
      <c r="G209" s="23" t="str">
        <f>IF(AND(B209=Constants!$B$13,C209&lt;0),"Both error",IF(B209=C209,"Identical",IF(AND(B209=Constants!$B$13,C209&gt;=0),"Fixed in v1.0.0","Different")))</f>
        <v>Identical</v>
      </c>
      <c r="H209" s="7"/>
    </row>
    <row r="210" spans="1:8" x14ac:dyDescent="0.2">
      <c r="A210" s="20">
        <v>24.5</v>
      </c>
      <c r="B210" s="21">
        <v>145</v>
      </c>
      <c r="C210" s="21">
        <v>145</v>
      </c>
      <c r="D210" s="22">
        <f>IF(AND(A210&gt;=Constants!$B$8,A210&lt;=Constants!$B$9),Constants!$B$6+Constants!$B$7*(CEILING(A210,1)-Constants!$B$8),Constants!$B$11)</f>
        <v>145</v>
      </c>
      <c r="E210" s="23" t="str">
        <f t="shared" si="3"/>
        <v>OK</v>
      </c>
      <c r="F210" s="24">
        <f>IF(C210&gt;=0,C210/Constants!$B$5,"n/a")</f>
        <v>0.453125</v>
      </c>
      <c r="G210" s="23" t="str">
        <f>IF(AND(B210=Constants!$B$13,C210&lt;0),"Both error",IF(B210=C210,"Identical",IF(AND(B210=Constants!$B$13,C210&gt;=0),"Fixed in v1.0.0","Different")))</f>
        <v>Identical</v>
      </c>
      <c r="H210" s="7"/>
    </row>
    <row r="211" spans="1:8" x14ac:dyDescent="0.2">
      <c r="A211" s="20">
        <v>24.6</v>
      </c>
      <c r="B211" s="21">
        <v>145</v>
      </c>
      <c r="C211" s="21">
        <v>145</v>
      </c>
      <c r="D211" s="22">
        <f>IF(AND(A211&gt;=Constants!$B$8,A211&lt;=Constants!$B$9),Constants!$B$6+Constants!$B$7*(CEILING(A211,1)-Constants!$B$8),Constants!$B$11)</f>
        <v>145</v>
      </c>
      <c r="E211" s="23" t="str">
        <f t="shared" si="3"/>
        <v>OK</v>
      </c>
      <c r="F211" s="24">
        <f>IF(C211&gt;=0,C211/Constants!$B$5,"n/a")</f>
        <v>0.453125</v>
      </c>
      <c r="G211" s="23" t="str">
        <f>IF(AND(B211=Constants!$B$13,C211&lt;0),"Both error",IF(B211=C211,"Identical",IF(AND(B211=Constants!$B$13,C211&gt;=0),"Fixed in v1.0.0","Different")))</f>
        <v>Identical</v>
      </c>
      <c r="H211" s="7"/>
    </row>
    <row r="212" spans="1:8" x14ac:dyDescent="0.2">
      <c r="A212" s="20">
        <v>24.7</v>
      </c>
      <c r="B212" s="21">
        <v>145</v>
      </c>
      <c r="C212" s="21">
        <v>145</v>
      </c>
      <c r="D212" s="22">
        <f>IF(AND(A212&gt;=Constants!$B$8,A212&lt;=Constants!$B$9),Constants!$B$6+Constants!$B$7*(CEILING(A212,1)-Constants!$B$8),Constants!$B$11)</f>
        <v>145</v>
      </c>
      <c r="E212" s="23" t="str">
        <f t="shared" si="3"/>
        <v>OK</v>
      </c>
      <c r="F212" s="24">
        <f>IF(C212&gt;=0,C212/Constants!$B$5,"n/a")</f>
        <v>0.453125</v>
      </c>
      <c r="G212" s="23" t="str">
        <f>IF(AND(B212=Constants!$B$13,C212&lt;0),"Both error",IF(B212=C212,"Identical",IF(AND(B212=Constants!$B$13,C212&gt;=0),"Fixed in v1.0.0","Different")))</f>
        <v>Identical</v>
      </c>
      <c r="H212" s="7"/>
    </row>
    <row r="213" spans="1:8" x14ac:dyDescent="0.2">
      <c r="A213" s="20">
        <v>24.8</v>
      </c>
      <c r="B213" s="21">
        <v>145</v>
      </c>
      <c r="C213" s="21">
        <v>145</v>
      </c>
      <c r="D213" s="22">
        <f>IF(AND(A213&gt;=Constants!$B$8,A213&lt;=Constants!$B$9),Constants!$B$6+Constants!$B$7*(CEILING(A213,1)-Constants!$B$8),Constants!$B$11)</f>
        <v>145</v>
      </c>
      <c r="E213" s="23" t="str">
        <f t="shared" si="3"/>
        <v>OK</v>
      </c>
      <c r="F213" s="24">
        <f>IF(C213&gt;=0,C213/Constants!$B$5,"n/a")</f>
        <v>0.453125</v>
      </c>
      <c r="G213" s="23" t="str">
        <f>IF(AND(B213=Constants!$B$13,C213&lt;0),"Both error",IF(B213=C213,"Identical",IF(AND(B213=Constants!$B$13,C213&gt;=0),"Fixed in v1.0.0","Different")))</f>
        <v>Identical</v>
      </c>
      <c r="H213" s="7"/>
    </row>
    <row r="214" spans="1:8" x14ac:dyDescent="0.2">
      <c r="A214" s="20">
        <v>24.9</v>
      </c>
      <c r="B214" s="21">
        <v>145</v>
      </c>
      <c r="C214" s="21">
        <v>145</v>
      </c>
      <c r="D214" s="22">
        <f>IF(AND(A214&gt;=Constants!$B$8,A214&lt;=Constants!$B$9),Constants!$B$6+Constants!$B$7*(CEILING(A214,1)-Constants!$B$8),Constants!$B$11)</f>
        <v>145</v>
      </c>
      <c r="E214" s="23" t="str">
        <f t="shared" si="3"/>
        <v>OK</v>
      </c>
      <c r="F214" s="24">
        <f>IF(C214&gt;=0,C214/Constants!$B$5,"n/a")</f>
        <v>0.453125</v>
      </c>
      <c r="G214" s="23" t="str">
        <f>IF(AND(B214=Constants!$B$13,C214&lt;0),"Both error",IF(B214=C214,"Identical",IF(AND(B214=Constants!$B$13,C214&gt;=0),"Fixed in v1.0.0","Different")))</f>
        <v>Identical</v>
      </c>
      <c r="H214" s="7"/>
    </row>
    <row r="215" spans="1:8" x14ac:dyDescent="0.2">
      <c r="A215" s="20">
        <v>25</v>
      </c>
      <c r="B215" s="21">
        <v>145</v>
      </c>
      <c r="C215" s="21">
        <v>145</v>
      </c>
      <c r="D215" s="22">
        <f>IF(AND(A215&gt;=Constants!$B$8,A215&lt;=Constants!$B$9),Constants!$B$6+Constants!$B$7*(CEILING(A215,1)-Constants!$B$8),Constants!$B$11)</f>
        <v>145</v>
      </c>
      <c r="E215" s="23" t="str">
        <f t="shared" si="3"/>
        <v>OK</v>
      </c>
      <c r="F215" s="24">
        <f>IF(C215&gt;=0,C215/Constants!$B$5,"n/a")</f>
        <v>0.453125</v>
      </c>
      <c r="G215" s="23" t="str">
        <f>IF(AND(B215=Constants!$B$13,C215&lt;0),"Both error",IF(B215=C215,"Identical",IF(AND(B215=Constants!$B$13,C215&gt;=0),"Fixed in v1.0.0","Different")))</f>
        <v>Identical</v>
      </c>
      <c r="H215" s="7"/>
    </row>
    <row r="216" spans="1:8" x14ac:dyDescent="0.2">
      <c r="A216" s="20">
        <v>25.1</v>
      </c>
      <c r="B216" s="21">
        <v>152</v>
      </c>
      <c r="C216" s="21">
        <v>152</v>
      </c>
      <c r="D216" s="22">
        <f>IF(AND(A216&gt;=Constants!$B$8,A216&lt;=Constants!$B$9),Constants!$B$6+Constants!$B$7*(CEILING(A216,1)-Constants!$B$8),Constants!$B$11)</f>
        <v>152</v>
      </c>
      <c r="E216" s="23" t="str">
        <f t="shared" si="3"/>
        <v>OK</v>
      </c>
      <c r="F216" s="24">
        <f>IF(C216&gt;=0,C216/Constants!$B$5,"n/a")</f>
        <v>0.47499999999999998</v>
      </c>
      <c r="G216" s="23" t="str">
        <f>IF(AND(B216=Constants!$B$13,C216&lt;0),"Both error",IF(B216=C216,"Identical",IF(AND(B216=Constants!$B$13,C216&gt;=0),"Fixed in v1.0.0","Different")))</f>
        <v>Identical</v>
      </c>
      <c r="H216" s="7"/>
    </row>
    <row r="217" spans="1:8" x14ac:dyDescent="0.2">
      <c r="A217" s="20">
        <v>25.2</v>
      </c>
      <c r="B217" s="21">
        <v>152</v>
      </c>
      <c r="C217" s="21">
        <v>152</v>
      </c>
      <c r="D217" s="22">
        <f>IF(AND(A217&gt;=Constants!$B$8,A217&lt;=Constants!$B$9),Constants!$B$6+Constants!$B$7*(CEILING(A217,1)-Constants!$B$8),Constants!$B$11)</f>
        <v>152</v>
      </c>
      <c r="E217" s="23" t="str">
        <f t="shared" si="3"/>
        <v>OK</v>
      </c>
      <c r="F217" s="24">
        <f>IF(C217&gt;=0,C217/Constants!$B$5,"n/a")</f>
        <v>0.47499999999999998</v>
      </c>
      <c r="G217" s="23" t="str">
        <f>IF(AND(B217=Constants!$B$13,C217&lt;0),"Both error",IF(B217=C217,"Identical",IF(AND(B217=Constants!$B$13,C217&gt;=0),"Fixed in v1.0.0","Different")))</f>
        <v>Identical</v>
      </c>
      <c r="H217" s="7"/>
    </row>
    <row r="218" spans="1:8" x14ac:dyDescent="0.2">
      <c r="A218" s="20">
        <v>25.3</v>
      </c>
      <c r="B218" s="21">
        <v>152</v>
      </c>
      <c r="C218" s="21">
        <v>152</v>
      </c>
      <c r="D218" s="22">
        <f>IF(AND(A218&gt;=Constants!$B$8,A218&lt;=Constants!$B$9),Constants!$B$6+Constants!$B$7*(CEILING(A218,1)-Constants!$B$8),Constants!$B$11)</f>
        <v>152</v>
      </c>
      <c r="E218" s="23" t="str">
        <f t="shared" si="3"/>
        <v>OK</v>
      </c>
      <c r="F218" s="24">
        <f>IF(C218&gt;=0,C218/Constants!$B$5,"n/a")</f>
        <v>0.47499999999999998</v>
      </c>
      <c r="G218" s="23" t="str">
        <f>IF(AND(B218=Constants!$B$13,C218&lt;0),"Both error",IF(B218=C218,"Identical",IF(AND(B218=Constants!$B$13,C218&gt;=0),"Fixed in v1.0.0","Different")))</f>
        <v>Identical</v>
      </c>
      <c r="H218" s="7"/>
    </row>
    <row r="219" spans="1:8" x14ac:dyDescent="0.2">
      <c r="A219" s="20">
        <v>25.4</v>
      </c>
      <c r="B219" s="21">
        <v>152</v>
      </c>
      <c r="C219" s="21">
        <v>152</v>
      </c>
      <c r="D219" s="22">
        <f>IF(AND(A219&gt;=Constants!$B$8,A219&lt;=Constants!$B$9),Constants!$B$6+Constants!$B$7*(CEILING(A219,1)-Constants!$B$8),Constants!$B$11)</f>
        <v>152</v>
      </c>
      <c r="E219" s="23" t="str">
        <f t="shared" si="3"/>
        <v>OK</v>
      </c>
      <c r="F219" s="24">
        <f>IF(C219&gt;=0,C219/Constants!$B$5,"n/a")</f>
        <v>0.47499999999999998</v>
      </c>
      <c r="G219" s="23" t="str">
        <f>IF(AND(B219=Constants!$B$13,C219&lt;0),"Both error",IF(B219=C219,"Identical",IF(AND(B219=Constants!$B$13,C219&gt;=0),"Fixed in v1.0.0","Different")))</f>
        <v>Identical</v>
      </c>
      <c r="H219" s="7"/>
    </row>
    <row r="220" spans="1:8" x14ac:dyDescent="0.2">
      <c r="A220" s="20">
        <v>25.5</v>
      </c>
      <c r="B220" s="21">
        <v>152</v>
      </c>
      <c r="C220" s="21">
        <v>152</v>
      </c>
      <c r="D220" s="22">
        <f>IF(AND(A220&gt;=Constants!$B$8,A220&lt;=Constants!$B$9),Constants!$B$6+Constants!$B$7*(CEILING(A220,1)-Constants!$B$8),Constants!$B$11)</f>
        <v>152</v>
      </c>
      <c r="E220" s="23" t="str">
        <f t="shared" si="3"/>
        <v>OK</v>
      </c>
      <c r="F220" s="24">
        <f>IF(C220&gt;=0,C220/Constants!$B$5,"n/a")</f>
        <v>0.47499999999999998</v>
      </c>
      <c r="G220" s="23" t="str">
        <f>IF(AND(B220=Constants!$B$13,C220&lt;0),"Both error",IF(B220=C220,"Identical",IF(AND(B220=Constants!$B$13,C220&gt;=0),"Fixed in v1.0.0","Different")))</f>
        <v>Identical</v>
      </c>
      <c r="H220" s="7"/>
    </row>
    <row r="221" spans="1:8" x14ac:dyDescent="0.2">
      <c r="A221" s="20">
        <v>25.6</v>
      </c>
      <c r="B221" s="21">
        <v>152</v>
      </c>
      <c r="C221" s="21">
        <v>152</v>
      </c>
      <c r="D221" s="22">
        <f>IF(AND(A221&gt;=Constants!$B$8,A221&lt;=Constants!$B$9),Constants!$B$6+Constants!$B$7*(CEILING(A221,1)-Constants!$B$8),Constants!$B$11)</f>
        <v>152</v>
      </c>
      <c r="E221" s="23" t="str">
        <f t="shared" si="3"/>
        <v>OK</v>
      </c>
      <c r="F221" s="24">
        <f>IF(C221&gt;=0,C221/Constants!$B$5,"n/a")</f>
        <v>0.47499999999999998</v>
      </c>
      <c r="G221" s="23" t="str">
        <f>IF(AND(B221=Constants!$B$13,C221&lt;0),"Both error",IF(B221=C221,"Identical",IF(AND(B221=Constants!$B$13,C221&gt;=0),"Fixed in v1.0.0","Different")))</f>
        <v>Identical</v>
      </c>
      <c r="H221" s="7"/>
    </row>
    <row r="222" spans="1:8" x14ac:dyDescent="0.2">
      <c r="A222" s="20">
        <v>25.7</v>
      </c>
      <c r="B222" s="21">
        <v>152</v>
      </c>
      <c r="C222" s="21">
        <v>152</v>
      </c>
      <c r="D222" s="22">
        <f>IF(AND(A222&gt;=Constants!$B$8,A222&lt;=Constants!$B$9),Constants!$B$6+Constants!$B$7*(CEILING(A222,1)-Constants!$B$8),Constants!$B$11)</f>
        <v>152</v>
      </c>
      <c r="E222" s="23" t="str">
        <f t="shared" si="3"/>
        <v>OK</v>
      </c>
      <c r="F222" s="24">
        <f>IF(C222&gt;=0,C222/Constants!$B$5,"n/a")</f>
        <v>0.47499999999999998</v>
      </c>
      <c r="G222" s="23" t="str">
        <f>IF(AND(B222=Constants!$B$13,C222&lt;0),"Both error",IF(B222=C222,"Identical",IF(AND(B222=Constants!$B$13,C222&gt;=0),"Fixed in v1.0.0","Different")))</f>
        <v>Identical</v>
      </c>
      <c r="H222" s="7"/>
    </row>
    <row r="223" spans="1:8" x14ac:dyDescent="0.2">
      <c r="A223" s="20">
        <v>25.8</v>
      </c>
      <c r="B223" s="21">
        <v>152</v>
      </c>
      <c r="C223" s="21">
        <v>152</v>
      </c>
      <c r="D223" s="22">
        <f>IF(AND(A223&gt;=Constants!$B$8,A223&lt;=Constants!$B$9),Constants!$B$6+Constants!$B$7*(CEILING(A223,1)-Constants!$B$8),Constants!$B$11)</f>
        <v>152</v>
      </c>
      <c r="E223" s="23" t="str">
        <f t="shared" si="3"/>
        <v>OK</v>
      </c>
      <c r="F223" s="24">
        <f>IF(C223&gt;=0,C223/Constants!$B$5,"n/a")</f>
        <v>0.47499999999999998</v>
      </c>
      <c r="G223" s="23" t="str">
        <f>IF(AND(B223=Constants!$B$13,C223&lt;0),"Both error",IF(B223=C223,"Identical",IF(AND(B223=Constants!$B$13,C223&gt;=0),"Fixed in v1.0.0","Different")))</f>
        <v>Identical</v>
      </c>
      <c r="H223" s="7"/>
    </row>
    <row r="224" spans="1:8" x14ac:dyDescent="0.2">
      <c r="A224" s="20">
        <v>25.9</v>
      </c>
      <c r="B224" s="21">
        <v>152</v>
      </c>
      <c r="C224" s="21">
        <v>152</v>
      </c>
      <c r="D224" s="22">
        <f>IF(AND(A224&gt;=Constants!$B$8,A224&lt;=Constants!$B$9),Constants!$B$6+Constants!$B$7*(CEILING(A224,1)-Constants!$B$8),Constants!$B$11)</f>
        <v>152</v>
      </c>
      <c r="E224" s="23" t="str">
        <f t="shared" si="3"/>
        <v>OK</v>
      </c>
      <c r="F224" s="24">
        <f>IF(C224&gt;=0,C224/Constants!$B$5,"n/a")</f>
        <v>0.47499999999999998</v>
      </c>
      <c r="G224" s="23" t="str">
        <f>IF(AND(B224=Constants!$B$13,C224&lt;0),"Both error",IF(B224=C224,"Identical",IF(AND(B224=Constants!$B$13,C224&gt;=0),"Fixed in v1.0.0","Different")))</f>
        <v>Identical</v>
      </c>
      <c r="H224" s="7"/>
    </row>
    <row r="225" spans="1:8" x14ac:dyDescent="0.2">
      <c r="A225" s="20">
        <v>26</v>
      </c>
      <c r="B225" s="21">
        <v>152</v>
      </c>
      <c r="C225" s="21">
        <v>152</v>
      </c>
      <c r="D225" s="22">
        <f>IF(AND(A225&gt;=Constants!$B$8,A225&lt;=Constants!$B$9),Constants!$B$6+Constants!$B$7*(CEILING(A225,1)-Constants!$B$8),Constants!$B$11)</f>
        <v>152</v>
      </c>
      <c r="E225" s="23" t="str">
        <f t="shared" si="3"/>
        <v>OK</v>
      </c>
      <c r="F225" s="24">
        <f>IF(C225&gt;=0,C225/Constants!$B$5,"n/a")</f>
        <v>0.47499999999999998</v>
      </c>
      <c r="G225" s="23" t="str">
        <f>IF(AND(B225=Constants!$B$13,C225&lt;0),"Both error",IF(B225=C225,"Identical",IF(AND(B225=Constants!$B$13,C225&gt;=0),"Fixed in v1.0.0","Different")))</f>
        <v>Identical</v>
      </c>
      <c r="H225" s="7"/>
    </row>
    <row r="226" spans="1:8" x14ac:dyDescent="0.2">
      <c r="A226" s="20">
        <v>26.1</v>
      </c>
      <c r="B226" s="21">
        <v>15797</v>
      </c>
      <c r="C226" s="21">
        <v>159</v>
      </c>
      <c r="D226" s="22">
        <f>IF(AND(A226&gt;=Constants!$B$8,A226&lt;=Constants!$B$9),Constants!$B$6+Constants!$B$7*(CEILING(A226,1)-Constants!$B$8),Constants!$B$11)</f>
        <v>159</v>
      </c>
      <c r="E226" s="23" t="str">
        <f t="shared" si="3"/>
        <v>OK</v>
      </c>
      <c r="F226" s="24">
        <f>IF(C226&gt;=0,C226/Constants!$B$5,"n/a")</f>
        <v>0.49687500000000001</v>
      </c>
      <c r="G226" s="23" t="str">
        <f>IF(AND(B226=Constants!$B$13,C226&lt;0),"Both error",IF(B226=C226,"Identical",IF(AND(B226=Constants!$B$13,C226&gt;=0),"Fixed in v1.0.0","Different")))</f>
        <v>Fixed in v1.0.0</v>
      </c>
      <c r="H226" s="7" t="s">
        <v>157</v>
      </c>
    </row>
    <row r="227" spans="1:8" x14ac:dyDescent="0.2">
      <c r="A227" s="20">
        <v>26.2</v>
      </c>
      <c r="B227" s="21">
        <v>15797</v>
      </c>
      <c r="C227" s="21">
        <v>159</v>
      </c>
      <c r="D227" s="22">
        <f>IF(AND(A227&gt;=Constants!$B$8,A227&lt;=Constants!$B$9),Constants!$B$6+Constants!$B$7*(CEILING(A227,1)-Constants!$B$8),Constants!$B$11)</f>
        <v>159</v>
      </c>
      <c r="E227" s="23" t="str">
        <f t="shared" si="3"/>
        <v>OK</v>
      </c>
      <c r="F227" s="24">
        <f>IF(C227&gt;=0,C227/Constants!$B$5,"n/a")</f>
        <v>0.49687500000000001</v>
      </c>
      <c r="G227" s="23" t="str">
        <f>IF(AND(B227=Constants!$B$13,C227&lt;0),"Both error",IF(B227=C227,"Identical",IF(AND(B227=Constants!$B$13,C227&gt;=0),"Fixed in v1.0.0","Different")))</f>
        <v>Fixed in v1.0.0</v>
      </c>
      <c r="H227" s="7" t="s">
        <v>157</v>
      </c>
    </row>
    <row r="228" spans="1:8" x14ac:dyDescent="0.2">
      <c r="A228" s="20">
        <v>26.3</v>
      </c>
      <c r="B228" s="21">
        <v>15797</v>
      </c>
      <c r="C228" s="21">
        <v>159</v>
      </c>
      <c r="D228" s="22">
        <f>IF(AND(A228&gt;=Constants!$B$8,A228&lt;=Constants!$B$9),Constants!$B$6+Constants!$B$7*(CEILING(A228,1)-Constants!$B$8),Constants!$B$11)</f>
        <v>159</v>
      </c>
      <c r="E228" s="23" t="str">
        <f t="shared" si="3"/>
        <v>OK</v>
      </c>
      <c r="F228" s="24">
        <f>IF(C228&gt;=0,C228/Constants!$B$5,"n/a")</f>
        <v>0.49687500000000001</v>
      </c>
      <c r="G228" s="23" t="str">
        <f>IF(AND(B228=Constants!$B$13,C228&lt;0),"Both error",IF(B228=C228,"Identical",IF(AND(B228=Constants!$B$13,C228&gt;=0),"Fixed in v1.0.0","Different")))</f>
        <v>Fixed in v1.0.0</v>
      </c>
      <c r="H228" s="7" t="s">
        <v>157</v>
      </c>
    </row>
    <row r="229" spans="1:8" x14ac:dyDescent="0.2">
      <c r="A229" s="20">
        <v>26.4</v>
      </c>
      <c r="B229" s="21">
        <v>15797</v>
      </c>
      <c r="C229" s="21">
        <v>159</v>
      </c>
      <c r="D229" s="22">
        <f>IF(AND(A229&gt;=Constants!$B$8,A229&lt;=Constants!$B$9),Constants!$B$6+Constants!$B$7*(CEILING(A229,1)-Constants!$B$8),Constants!$B$11)</f>
        <v>159</v>
      </c>
      <c r="E229" s="23" t="str">
        <f t="shared" si="3"/>
        <v>OK</v>
      </c>
      <c r="F229" s="24">
        <f>IF(C229&gt;=0,C229/Constants!$B$5,"n/a")</f>
        <v>0.49687500000000001</v>
      </c>
      <c r="G229" s="23" t="str">
        <f>IF(AND(B229=Constants!$B$13,C229&lt;0),"Both error",IF(B229=C229,"Identical",IF(AND(B229=Constants!$B$13,C229&gt;=0),"Fixed in v1.0.0","Different")))</f>
        <v>Fixed in v1.0.0</v>
      </c>
      <c r="H229" s="7" t="s">
        <v>157</v>
      </c>
    </row>
    <row r="230" spans="1:8" x14ac:dyDescent="0.2">
      <c r="A230" s="20">
        <v>26.5</v>
      </c>
      <c r="B230" s="21">
        <v>15797</v>
      </c>
      <c r="C230" s="21">
        <v>159</v>
      </c>
      <c r="D230" s="22">
        <f>IF(AND(A230&gt;=Constants!$B$8,A230&lt;=Constants!$B$9),Constants!$B$6+Constants!$B$7*(CEILING(A230,1)-Constants!$B$8),Constants!$B$11)</f>
        <v>159</v>
      </c>
      <c r="E230" s="23" t="str">
        <f t="shared" si="3"/>
        <v>OK</v>
      </c>
      <c r="F230" s="24">
        <f>IF(C230&gt;=0,C230/Constants!$B$5,"n/a")</f>
        <v>0.49687500000000001</v>
      </c>
      <c r="G230" s="23" t="str">
        <f>IF(AND(B230=Constants!$B$13,C230&lt;0),"Both error",IF(B230=C230,"Identical",IF(AND(B230=Constants!$B$13,C230&gt;=0),"Fixed in v1.0.0","Different")))</f>
        <v>Fixed in v1.0.0</v>
      </c>
      <c r="H230" s="7" t="s">
        <v>157</v>
      </c>
    </row>
    <row r="231" spans="1:8" x14ac:dyDescent="0.2">
      <c r="A231" s="20">
        <v>26.6</v>
      </c>
      <c r="B231" s="21">
        <v>15797</v>
      </c>
      <c r="C231" s="21">
        <v>159</v>
      </c>
      <c r="D231" s="22">
        <f>IF(AND(A231&gt;=Constants!$B$8,A231&lt;=Constants!$B$9),Constants!$B$6+Constants!$B$7*(CEILING(A231,1)-Constants!$B$8),Constants!$B$11)</f>
        <v>159</v>
      </c>
      <c r="E231" s="23" t="str">
        <f t="shared" si="3"/>
        <v>OK</v>
      </c>
      <c r="F231" s="24">
        <f>IF(C231&gt;=0,C231/Constants!$B$5,"n/a")</f>
        <v>0.49687500000000001</v>
      </c>
      <c r="G231" s="23" t="str">
        <f>IF(AND(B231=Constants!$B$13,C231&lt;0),"Both error",IF(B231=C231,"Identical",IF(AND(B231=Constants!$B$13,C231&gt;=0),"Fixed in v1.0.0","Different")))</f>
        <v>Fixed in v1.0.0</v>
      </c>
      <c r="H231" s="7" t="s">
        <v>157</v>
      </c>
    </row>
    <row r="232" spans="1:8" x14ac:dyDescent="0.2">
      <c r="A232" s="20">
        <v>26.7</v>
      </c>
      <c r="B232" s="21">
        <v>15797</v>
      </c>
      <c r="C232" s="21">
        <v>159</v>
      </c>
      <c r="D232" s="22">
        <f>IF(AND(A232&gt;=Constants!$B$8,A232&lt;=Constants!$B$9),Constants!$B$6+Constants!$B$7*(CEILING(A232,1)-Constants!$B$8),Constants!$B$11)</f>
        <v>159</v>
      </c>
      <c r="E232" s="23" t="str">
        <f t="shared" si="3"/>
        <v>OK</v>
      </c>
      <c r="F232" s="24">
        <f>IF(C232&gt;=0,C232/Constants!$B$5,"n/a")</f>
        <v>0.49687500000000001</v>
      </c>
      <c r="G232" s="23" t="str">
        <f>IF(AND(B232=Constants!$B$13,C232&lt;0),"Both error",IF(B232=C232,"Identical",IF(AND(B232=Constants!$B$13,C232&gt;=0),"Fixed in v1.0.0","Different")))</f>
        <v>Fixed in v1.0.0</v>
      </c>
      <c r="H232" s="7" t="s">
        <v>157</v>
      </c>
    </row>
    <row r="233" spans="1:8" x14ac:dyDescent="0.2">
      <c r="A233" s="20">
        <v>26.8</v>
      </c>
      <c r="B233" s="21">
        <v>15797</v>
      </c>
      <c r="C233" s="21">
        <v>159</v>
      </c>
      <c r="D233" s="22">
        <f>IF(AND(A233&gt;=Constants!$B$8,A233&lt;=Constants!$B$9),Constants!$B$6+Constants!$B$7*(CEILING(A233,1)-Constants!$B$8),Constants!$B$11)</f>
        <v>159</v>
      </c>
      <c r="E233" s="23" t="str">
        <f t="shared" si="3"/>
        <v>OK</v>
      </c>
      <c r="F233" s="24">
        <f>IF(C233&gt;=0,C233/Constants!$B$5,"n/a")</f>
        <v>0.49687500000000001</v>
      </c>
      <c r="G233" s="23" t="str">
        <f>IF(AND(B233=Constants!$B$13,C233&lt;0),"Both error",IF(B233=C233,"Identical",IF(AND(B233=Constants!$B$13,C233&gt;=0),"Fixed in v1.0.0","Different")))</f>
        <v>Fixed in v1.0.0</v>
      </c>
      <c r="H233" s="7" t="s">
        <v>157</v>
      </c>
    </row>
    <row r="234" spans="1:8" x14ac:dyDescent="0.2">
      <c r="A234" s="20">
        <v>26.9</v>
      </c>
      <c r="B234" s="21">
        <v>15797</v>
      </c>
      <c r="C234" s="21">
        <v>159</v>
      </c>
      <c r="D234" s="22">
        <f>IF(AND(A234&gt;=Constants!$B$8,A234&lt;=Constants!$B$9),Constants!$B$6+Constants!$B$7*(CEILING(A234,1)-Constants!$B$8),Constants!$B$11)</f>
        <v>159</v>
      </c>
      <c r="E234" s="23" t="str">
        <f t="shared" si="3"/>
        <v>OK</v>
      </c>
      <c r="F234" s="24">
        <f>IF(C234&gt;=0,C234/Constants!$B$5,"n/a")</f>
        <v>0.49687500000000001</v>
      </c>
      <c r="G234" s="23" t="str">
        <f>IF(AND(B234=Constants!$B$13,C234&lt;0),"Both error",IF(B234=C234,"Identical",IF(AND(B234=Constants!$B$13,C234&gt;=0),"Fixed in v1.0.0","Different")))</f>
        <v>Fixed in v1.0.0</v>
      </c>
      <c r="H234" s="7" t="s">
        <v>157</v>
      </c>
    </row>
    <row r="235" spans="1:8" x14ac:dyDescent="0.2">
      <c r="A235" s="20">
        <v>27</v>
      </c>
      <c r="B235" s="21">
        <v>15797</v>
      </c>
      <c r="C235" s="21">
        <v>159</v>
      </c>
      <c r="D235" s="22">
        <f>IF(AND(A235&gt;=Constants!$B$8,A235&lt;=Constants!$B$9),Constants!$B$6+Constants!$B$7*(CEILING(A235,1)-Constants!$B$8),Constants!$B$11)</f>
        <v>159</v>
      </c>
      <c r="E235" s="23" t="str">
        <f t="shared" si="3"/>
        <v>OK</v>
      </c>
      <c r="F235" s="24">
        <f>IF(C235&gt;=0,C235/Constants!$B$5,"n/a")</f>
        <v>0.49687500000000001</v>
      </c>
      <c r="G235" s="23" t="str">
        <f>IF(AND(B235=Constants!$B$13,C235&lt;0),"Both error",IF(B235=C235,"Identical",IF(AND(B235=Constants!$B$13,C235&gt;=0),"Fixed in v1.0.0","Different")))</f>
        <v>Fixed in v1.0.0</v>
      </c>
      <c r="H235" s="7" t="s">
        <v>157</v>
      </c>
    </row>
    <row r="236" spans="1:8" x14ac:dyDescent="0.2">
      <c r="A236" s="20">
        <v>27.1</v>
      </c>
      <c r="B236" s="21">
        <v>166</v>
      </c>
      <c r="C236" s="21">
        <v>166</v>
      </c>
      <c r="D236" s="22">
        <f>IF(AND(A236&gt;=Constants!$B$8,A236&lt;=Constants!$B$9),Constants!$B$6+Constants!$B$7*(CEILING(A236,1)-Constants!$B$8),Constants!$B$11)</f>
        <v>166</v>
      </c>
      <c r="E236" s="23" t="str">
        <f t="shared" si="3"/>
        <v>OK</v>
      </c>
      <c r="F236" s="24">
        <f>IF(C236&gt;=0,C236/Constants!$B$5,"n/a")</f>
        <v>0.51875000000000004</v>
      </c>
      <c r="G236" s="23" t="str">
        <f>IF(AND(B236=Constants!$B$13,C236&lt;0),"Both error",IF(B236=C236,"Identical",IF(AND(B236=Constants!$B$13,C236&gt;=0),"Fixed in v1.0.0","Different")))</f>
        <v>Identical</v>
      </c>
      <c r="H236" s="7"/>
    </row>
    <row r="237" spans="1:8" x14ac:dyDescent="0.2">
      <c r="A237" s="20">
        <v>27.2</v>
      </c>
      <c r="B237" s="21">
        <v>166</v>
      </c>
      <c r="C237" s="21">
        <v>166</v>
      </c>
      <c r="D237" s="22">
        <f>IF(AND(A237&gt;=Constants!$B$8,A237&lt;=Constants!$B$9),Constants!$B$6+Constants!$B$7*(CEILING(A237,1)-Constants!$B$8),Constants!$B$11)</f>
        <v>166</v>
      </c>
      <c r="E237" s="23" t="str">
        <f t="shared" si="3"/>
        <v>OK</v>
      </c>
      <c r="F237" s="24">
        <f>IF(C237&gt;=0,C237/Constants!$B$5,"n/a")</f>
        <v>0.51875000000000004</v>
      </c>
      <c r="G237" s="23" t="str">
        <f>IF(AND(B237=Constants!$B$13,C237&lt;0),"Both error",IF(B237=C237,"Identical",IF(AND(B237=Constants!$B$13,C237&gt;=0),"Fixed in v1.0.0","Different")))</f>
        <v>Identical</v>
      </c>
      <c r="H237" s="7"/>
    </row>
    <row r="238" spans="1:8" x14ac:dyDescent="0.2">
      <c r="A238" s="20">
        <v>27.3</v>
      </c>
      <c r="B238" s="21">
        <v>166</v>
      </c>
      <c r="C238" s="21">
        <v>166</v>
      </c>
      <c r="D238" s="22">
        <f>IF(AND(A238&gt;=Constants!$B$8,A238&lt;=Constants!$B$9),Constants!$B$6+Constants!$B$7*(CEILING(A238,1)-Constants!$B$8),Constants!$B$11)</f>
        <v>166</v>
      </c>
      <c r="E238" s="23" t="str">
        <f t="shared" si="3"/>
        <v>OK</v>
      </c>
      <c r="F238" s="24">
        <f>IF(C238&gt;=0,C238/Constants!$B$5,"n/a")</f>
        <v>0.51875000000000004</v>
      </c>
      <c r="G238" s="23" t="str">
        <f>IF(AND(B238=Constants!$B$13,C238&lt;0),"Both error",IF(B238=C238,"Identical",IF(AND(B238=Constants!$B$13,C238&gt;=0),"Fixed in v1.0.0","Different")))</f>
        <v>Identical</v>
      </c>
      <c r="H238" s="7"/>
    </row>
    <row r="239" spans="1:8" x14ac:dyDescent="0.2">
      <c r="A239" s="20">
        <v>27.4</v>
      </c>
      <c r="B239" s="21">
        <v>166</v>
      </c>
      <c r="C239" s="21">
        <v>166</v>
      </c>
      <c r="D239" s="22">
        <f>IF(AND(A239&gt;=Constants!$B$8,A239&lt;=Constants!$B$9),Constants!$B$6+Constants!$B$7*(CEILING(A239,1)-Constants!$B$8),Constants!$B$11)</f>
        <v>166</v>
      </c>
      <c r="E239" s="23" t="str">
        <f t="shared" si="3"/>
        <v>OK</v>
      </c>
      <c r="F239" s="24">
        <f>IF(C239&gt;=0,C239/Constants!$B$5,"n/a")</f>
        <v>0.51875000000000004</v>
      </c>
      <c r="G239" s="23" t="str">
        <f>IF(AND(B239=Constants!$B$13,C239&lt;0),"Both error",IF(B239=C239,"Identical",IF(AND(B239=Constants!$B$13,C239&gt;=0),"Fixed in v1.0.0","Different")))</f>
        <v>Identical</v>
      </c>
      <c r="H239" s="7"/>
    </row>
    <row r="240" spans="1:8" x14ac:dyDescent="0.2">
      <c r="A240" s="20">
        <v>27.5</v>
      </c>
      <c r="B240" s="21">
        <v>166</v>
      </c>
      <c r="C240" s="21">
        <v>166</v>
      </c>
      <c r="D240" s="22">
        <f>IF(AND(A240&gt;=Constants!$B$8,A240&lt;=Constants!$B$9),Constants!$B$6+Constants!$B$7*(CEILING(A240,1)-Constants!$B$8),Constants!$B$11)</f>
        <v>166</v>
      </c>
      <c r="E240" s="23" t="str">
        <f t="shared" si="3"/>
        <v>OK</v>
      </c>
      <c r="F240" s="24">
        <f>IF(C240&gt;=0,C240/Constants!$B$5,"n/a")</f>
        <v>0.51875000000000004</v>
      </c>
      <c r="G240" s="23" t="str">
        <f>IF(AND(B240=Constants!$B$13,C240&lt;0),"Both error",IF(B240=C240,"Identical",IF(AND(B240=Constants!$B$13,C240&gt;=0),"Fixed in v1.0.0","Different")))</f>
        <v>Identical</v>
      </c>
      <c r="H240" s="7"/>
    </row>
    <row r="241" spans="1:8" x14ac:dyDescent="0.2">
      <c r="A241" s="20">
        <v>27.6</v>
      </c>
      <c r="B241" s="21">
        <v>166</v>
      </c>
      <c r="C241" s="21">
        <v>166</v>
      </c>
      <c r="D241" s="22">
        <f>IF(AND(A241&gt;=Constants!$B$8,A241&lt;=Constants!$B$9),Constants!$B$6+Constants!$B$7*(CEILING(A241,1)-Constants!$B$8),Constants!$B$11)</f>
        <v>166</v>
      </c>
      <c r="E241" s="23" t="str">
        <f t="shared" si="3"/>
        <v>OK</v>
      </c>
      <c r="F241" s="24">
        <f>IF(C241&gt;=0,C241/Constants!$B$5,"n/a")</f>
        <v>0.51875000000000004</v>
      </c>
      <c r="G241" s="23" t="str">
        <f>IF(AND(B241=Constants!$B$13,C241&lt;0),"Both error",IF(B241=C241,"Identical",IF(AND(B241=Constants!$B$13,C241&gt;=0),"Fixed in v1.0.0","Different")))</f>
        <v>Identical</v>
      </c>
      <c r="H241" s="7"/>
    </row>
    <row r="242" spans="1:8" x14ac:dyDescent="0.2">
      <c r="A242" s="20">
        <v>27.7</v>
      </c>
      <c r="B242" s="21">
        <v>166</v>
      </c>
      <c r="C242" s="21">
        <v>166</v>
      </c>
      <c r="D242" s="22">
        <f>IF(AND(A242&gt;=Constants!$B$8,A242&lt;=Constants!$B$9),Constants!$B$6+Constants!$B$7*(CEILING(A242,1)-Constants!$B$8),Constants!$B$11)</f>
        <v>166</v>
      </c>
      <c r="E242" s="23" t="str">
        <f t="shared" si="3"/>
        <v>OK</v>
      </c>
      <c r="F242" s="24">
        <f>IF(C242&gt;=0,C242/Constants!$B$5,"n/a")</f>
        <v>0.51875000000000004</v>
      </c>
      <c r="G242" s="23" t="str">
        <f>IF(AND(B242=Constants!$B$13,C242&lt;0),"Both error",IF(B242=C242,"Identical",IF(AND(B242=Constants!$B$13,C242&gt;=0),"Fixed in v1.0.0","Different")))</f>
        <v>Identical</v>
      </c>
      <c r="H242" s="7"/>
    </row>
    <row r="243" spans="1:8" x14ac:dyDescent="0.2">
      <c r="A243" s="20">
        <v>27.8</v>
      </c>
      <c r="B243" s="21">
        <v>166</v>
      </c>
      <c r="C243" s="21">
        <v>166</v>
      </c>
      <c r="D243" s="22">
        <f>IF(AND(A243&gt;=Constants!$B$8,A243&lt;=Constants!$B$9),Constants!$B$6+Constants!$B$7*(CEILING(A243,1)-Constants!$B$8),Constants!$B$11)</f>
        <v>166</v>
      </c>
      <c r="E243" s="23" t="str">
        <f t="shared" si="3"/>
        <v>OK</v>
      </c>
      <c r="F243" s="24">
        <f>IF(C243&gt;=0,C243/Constants!$B$5,"n/a")</f>
        <v>0.51875000000000004</v>
      </c>
      <c r="G243" s="23" t="str">
        <f>IF(AND(B243=Constants!$B$13,C243&lt;0),"Both error",IF(B243=C243,"Identical",IF(AND(B243=Constants!$B$13,C243&gt;=0),"Fixed in v1.0.0","Different")))</f>
        <v>Identical</v>
      </c>
      <c r="H243" s="7"/>
    </row>
    <row r="244" spans="1:8" x14ac:dyDescent="0.2">
      <c r="A244" s="20">
        <v>27.9</v>
      </c>
      <c r="B244" s="21">
        <v>166</v>
      </c>
      <c r="C244" s="21">
        <v>166</v>
      </c>
      <c r="D244" s="22">
        <f>IF(AND(A244&gt;=Constants!$B$8,A244&lt;=Constants!$B$9),Constants!$B$6+Constants!$B$7*(CEILING(A244,1)-Constants!$B$8),Constants!$B$11)</f>
        <v>166</v>
      </c>
      <c r="E244" s="23" t="str">
        <f t="shared" si="3"/>
        <v>OK</v>
      </c>
      <c r="F244" s="24">
        <f>IF(C244&gt;=0,C244/Constants!$B$5,"n/a")</f>
        <v>0.51875000000000004</v>
      </c>
      <c r="G244" s="23" t="str">
        <f>IF(AND(B244=Constants!$B$13,C244&lt;0),"Both error",IF(B244=C244,"Identical",IF(AND(B244=Constants!$B$13,C244&gt;=0),"Fixed in v1.0.0","Different")))</f>
        <v>Identical</v>
      </c>
      <c r="H244" s="7"/>
    </row>
    <row r="245" spans="1:8" x14ac:dyDescent="0.2">
      <c r="A245" s="20">
        <v>28</v>
      </c>
      <c r="B245" s="21">
        <v>166</v>
      </c>
      <c r="C245" s="21">
        <v>166</v>
      </c>
      <c r="D245" s="22">
        <f>IF(AND(A245&gt;=Constants!$B$8,A245&lt;=Constants!$B$9),Constants!$B$6+Constants!$B$7*(CEILING(A245,1)-Constants!$B$8),Constants!$B$11)</f>
        <v>166</v>
      </c>
      <c r="E245" s="23" t="str">
        <f t="shared" si="3"/>
        <v>OK</v>
      </c>
      <c r="F245" s="24">
        <f>IF(C245&gt;=0,C245/Constants!$B$5,"n/a")</f>
        <v>0.51875000000000004</v>
      </c>
      <c r="G245" s="23" t="str">
        <f>IF(AND(B245=Constants!$B$13,C245&lt;0),"Both error",IF(B245=C245,"Identical",IF(AND(B245=Constants!$B$13,C245&gt;=0),"Fixed in v1.0.0","Different")))</f>
        <v>Identical</v>
      </c>
      <c r="H245" s="7"/>
    </row>
    <row r="246" spans="1:8" x14ac:dyDescent="0.2">
      <c r="A246" s="20">
        <v>28.1</v>
      </c>
      <c r="B246" s="21">
        <v>173</v>
      </c>
      <c r="C246" s="21">
        <v>173</v>
      </c>
      <c r="D246" s="22">
        <f>IF(AND(A246&gt;=Constants!$B$8,A246&lt;=Constants!$B$9),Constants!$B$6+Constants!$B$7*(CEILING(A246,1)-Constants!$B$8),Constants!$B$11)</f>
        <v>173</v>
      </c>
      <c r="E246" s="23" t="str">
        <f t="shared" si="3"/>
        <v>OK</v>
      </c>
      <c r="F246" s="24">
        <f>IF(C246&gt;=0,C246/Constants!$B$5,"n/a")</f>
        <v>0.54062500000000002</v>
      </c>
      <c r="G246" s="23" t="str">
        <f>IF(AND(B246=Constants!$B$13,C246&lt;0),"Both error",IF(B246=C246,"Identical",IF(AND(B246=Constants!$B$13,C246&gt;=0),"Fixed in v1.0.0","Different")))</f>
        <v>Identical</v>
      </c>
      <c r="H246" s="7"/>
    </row>
    <row r="247" spans="1:8" x14ac:dyDescent="0.2">
      <c r="A247" s="20">
        <v>28.2</v>
      </c>
      <c r="B247" s="21">
        <v>173</v>
      </c>
      <c r="C247" s="21">
        <v>173</v>
      </c>
      <c r="D247" s="22">
        <f>IF(AND(A247&gt;=Constants!$B$8,A247&lt;=Constants!$B$9),Constants!$B$6+Constants!$B$7*(CEILING(A247,1)-Constants!$B$8),Constants!$B$11)</f>
        <v>173</v>
      </c>
      <c r="E247" s="23" t="str">
        <f t="shared" si="3"/>
        <v>OK</v>
      </c>
      <c r="F247" s="24">
        <f>IF(C247&gt;=0,C247/Constants!$B$5,"n/a")</f>
        <v>0.54062500000000002</v>
      </c>
      <c r="G247" s="23" t="str">
        <f>IF(AND(B247=Constants!$B$13,C247&lt;0),"Both error",IF(B247=C247,"Identical",IF(AND(B247=Constants!$B$13,C247&gt;=0),"Fixed in v1.0.0","Different")))</f>
        <v>Identical</v>
      </c>
      <c r="H247" s="7"/>
    </row>
    <row r="248" spans="1:8" x14ac:dyDescent="0.2">
      <c r="A248" s="20">
        <v>28.3</v>
      </c>
      <c r="B248" s="21">
        <v>173</v>
      </c>
      <c r="C248" s="21">
        <v>173</v>
      </c>
      <c r="D248" s="22">
        <f>IF(AND(A248&gt;=Constants!$B$8,A248&lt;=Constants!$B$9),Constants!$B$6+Constants!$B$7*(CEILING(A248,1)-Constants!$B$8),Constants!$B$11)</f>
        <v>173</v>
      </c>
      <c r="E248" s="23" t="str">
        <f t="shared" si="3"/>
        <v>OK</v>
      </c>
      <c r="F248" s="24">
        <f>IF(C248&gt;=0,C248/Constants!$B$5,"n/a")</f>
        <v>0.54062500000000002</v>
      </c>
      <c r="G248" s="23" t="str">
        <f>IF(AND(B248=Constants!$B$13,C248&lt;0),"Both error",IF(B248=C248,"Identical",IF(AND(B248=Constants!$B$13,C248&gt;=0),"Fixed in v1.0.0","Different")))</f>
        <v>Identical</v>
      </c>
      <c r="H248" s="7"/>
    </row>
    <row r="249" spans="1:8" x14ac:dyDescent="0.2">
      <c r="A249" s="20">
        <v>28.4</v>
      </c>
      <c r="B249" s="21">
        <v>173</v>
      </c>
      <c r="C249" s="21">
        <v>173</v>
      </c>
      <c r="D249" s="22">
        <f>IF(AND(A249&gt;=Constants!$B$8,A249&lt;=Constants!$B$9),Constants!$B$6+Constants!$B$7*(CEILING(A249,1)-Constants!$B$8),Constants!$B$11)</f>
        <v>173</v>
      </c>
      <c r="E249" s="23" t="str">
        <f t="shared" si="3"/>
        <v>OK</v>
      </c>
      <c r="F249" s="24">
        <f>IF(C249&gt;=0,C249/Constants!$B$5,"n/a")</f>
        <v>0.54062500000000002</v>
      </c>
      <c r="G249" s="23" t="str">
        <f>IF(AND(B249=Constants!$B$13,C249&lt;0),"Both error",IF(B249=C249,"Identical",IF(AND(B249=Constants!$B$13,C249&gt;=0),"Fixed in v1.0.0","Different")))</f>
        <v>Identical</v>
      </c>
      <c r="H249" s="7"/>
    </row>
    <row r="250" spans="1:8" x14ac:dyDescent="0.2">
      <c r="A250" s="20">
        <v>28.5</v>
      </c>
      <c r="B250" s="21">
        <v>173</v>
      </c>
      <c r="C250" s="21">
        <v>173</v>
      </c>
      <c r="D250" s="22">
        <f>IF(AND(A250&gt;=Constants!$B$8,A250&lt;=Constants!$B$9),Constants!$B$6+Constants!$B$7*(CEILING(A250,1)-Constants!$B$8),Constants!$B$11)</f>
        <v>173</v>
      </c>
      <c r="E250" s="23" t="str">
        <f t="shared" si="3"/>
        <v>OK</v>
      </c>
      <c r="F250" s="24">
        <f>IF(C250&gt;=0,C250/Constants!$B$5,"n/a")</f>
        <v>0.54062500000000002</v>
      </c>
      <c r="G250" s="23" t="str">
        <f>IF(AND(B250=Constants!$B$13,C250&lt;0),"Both error",IF(B250=C250,"Identical",IF(AND(B250=Constants!$B$13,C250&gt;=0),"Fixed in v1.0.0","Different")))</f>
        <v>Identical</v>
      </c>
      <c r="H250" s="7"/>
    </row>
    <row r="251" spans="1:8" x14ac:dyDescent="0.2">
      <c r="A251" s="20">
        <v>28.6</v>
      </c>
      <c r="B251" s="21">
        <v>173</v>
      </c>
      <c r="C251" s="21">
        <v>173</v>
      </c>
      <c r="D251" s="22">
        <f>IF(AND(A251&gt;=Constants!$B$8,A251&lt;=Constants!$B$9),Constants!$B$6+Constants!$B$7*(CEILING(A251,1)-Constants!$B$8),Constants!$B$11)</f>
        <v>173</v>
      </c>
      <c r="E251" s="23" t="str">
        <f t="shared" si="3"/>
        <v>OK</v>
      </c>
      <c r="F251" s="24">
        <f>IF(C251&gt;=0,C251/Constants!$B$5,"n/a")</f>
        <v>0.54062500000000002</v>
      </c>
      <c r="G251" s="23" t="str">
        <f>IF(AND(B251=Constants!$B$13,C251&lt;0),"Both error",IF(B251=C251,"Identical",IF(AND(B251=Constants!$B$13,C251&gt;=0),"Fixed in v1.0.0","Different")))</f>
        <v>Identical</v>
      </c>
      <c r="H251" s="7"/>
    </row>
    <row r="252" spans="1:8" x14ac:dyDescent="0.2">
      <c r="A252" s="20">
        <v>28.7</v>
      </c>
      <c r="B252" s="21">
        <v>173</v>
      </c>
      <c r="C252" s="21">
        <v>173</v>
      </c>
      <c r="D252" s="22">
        <f>IF(AND(A252&gt;=Constants!$B$8,A252&lt;=Constants!$B$9),Constants!$B$6+Constants!$B$7*(CEILING(A252,1)-Constants!$B$8),Constants!$B$11)</f>
        <v>173</v>
      </c>
      <c r="E252" s="23" t="str">
        <f t="shared" si="3"/>
        <v>OK</v>
      </c>
      <c r="F252" s="24">
        <f>IF(C252&gt;=0,C252/Constants!$B$5,"n/a")</f>
        <v>0.54062500000000002</v>
      </c>
      <c r="G252" s="23" t="str">
        <f>IF(AND(B252=Constants!$B$13,C252&lt;0),"Both error",IF(B252=C252,"Identical",IF(AND(B252=Constants!$B$13,C252&gt;=0),"Fixed in v1.0.0","Different")))</f>
        <v>Identical</v>
      </c>
      <c r="H252" s="7"/>
    </row>
    <row r="253" spans="1:8" x14ac:dyDescent="0.2">
      <c r="A253" s="20">
        <v>28.8</v>
      </c>
      <c r="B253" s="21">
        <v>173</v>
      </c>
      <c r="C253" s="21">
        <v>173</v>
      </c>
      <c r="D253" s="22">
        <f>IF(AND(A253&gt;=Constants!$B$8,A253&lt;=Constants!$B$9),Constants!$B$6+Constants!$B$7*(CEILING(A253,1)-Constants!$B$8),Constants!$B$11)</f>
        <v>173</v>
      </c>
      <c r="E253" s="23" t="str">
        <f t="shared" si="3"/>
        <v>OK</v>
      </c>
      <c r="F253" s="24">
        <f>IF(C253&gt;=0,C253/Constants!$B$5,"n/a")</f>
        <v>0.54062500000000002</v>
      </c>
      <c r="G253" s="23" t="str">
        <f>IF(AND(B253=Constants!$B$13,C253&lt;0),"Both error",IF(B253=C253,"Identical",IF(AND(B253=Constants!$B$13,C253&gt;=0),"Fixed in v1.0.0","Different")))</f>
        <v>Identical</v>
      </c>
      <c r="H253" s="7"/>
    </row>
    <row r="254" spans="1:8" x14ac:dyDescent="0.2">
      <c r="A254" s="20">
        <v>28.9</v>
      </c>
      <c r="B254" s="21">
        <v>173</v>
      </c>
      <c r="C254" s="21">
        <v>173</v>
      </c>
      <c r="D254" s="22">
        <f>IF(AND(A254&gt;=Constants!$B$8,A254&lt;=Constants!$B$9),Constants!$B$6+Constants!$B$7*(CEILING(A254,1)-Constants!$B$8),Constants!$B$11)</f>
        <v>173</v>
      </c>
      <c r="E254" s="23" t="str">
        <f t="shared" si="3"/>
        <v>OK</v>
      </c>
      <c r="F254" s="24">
        <f>IF(C254&gt;=0,C254/Constants!$B$5,"n/a")</f>
        <v>0.54062500000000002</v>
      </c>
      <c r="G254" s="23" t="str">
        <f>IF(AND(B254=Constants!$B$13,C254&lt;0),"Both error",IF(B254=C254,"Identical",IF(AND(B254=Constants!$B$13,C254&gt;=0),"Fixed in v1.0.0","Different")))</f>
        <v>Identical</v>
      </c>
      <c r="H254" s="7"/>
    </row>
    <row r="255" spans="1:8" x14ac:dyDescent="0.2">
      <c r="A255" s="20">
        <v>29</v>
      </c>
      <c r="B255" s="21">
        <v>173</v>
      </c>
      <c r="C255" s="21">
        <v>173</v>
      </c>
      <c r="D255" s="22">
        <f>IF(AND(A255&gt;=Constants!$B$8,A255&lt;=Constants!$B$9),Constants!$B$6+Constants!$B$7*(CEILING(A255,1)-Constants!$B$8),Constants!$B$11)</f>
        <v>173</v>
      </c>
      <c r="E255" s="23" t="str">
        <f t="shared" si="3"/>
        <v>OK</v>
      </c>
      <c r="F255" s="24">
        <f>IF(C255&gt;=0,C255/Constants!$B$5,"n/a")</f>
        <v>0.54062500000000002</v>
      </c>
      <c r="G255" s="23" t="str">
        <f>IF(AND(B255=Constants!$B$13,C255&lt;0),"Both error",IF(B255=C255,"Identical",IF(AND(B255=Constants!$B$13,C255&gt;=0),"Fixed in v1.0.0","Different")))</f>
        <v>Identical</v>
      </c>
      <c r="H255" s="7"/>
    </row>
    <row r="256" spans="1:8" x14ac:dyDescent="0.2">
      <c r="A256" s="20">
        <v>29.1</v>
      </c>
      <c r="B256" s="21">
        <v>180</v>
      </c>
      <c r="C256" s="21">
        <v>180</v>
      </c>
      <c r="D256" s="22">
        <f>IF(AND(A256&gt;=Constants!$B$8,A256&lt;=Constants!$B$9),Constants!$B$6+Constants!$B$7*(CEILING(A256,1)-Constants!$B$8),Constants!$B$11)</f>
        <v>180</v>
      </c>
      <c r="E256" s="23" t="str">
        <f t="shared" si="3"/>
        <v>OK</v>
      </c>
      <c r="F256" s="24">
        <f>IF(C256&gt;=0,C256/Constants!$B$5,"n/a")</f>
        <v>0.5625</v>
      </c>
      <c r="G256" s="23" t="str">
        <f>IF(AND(B256=Constants!$B$13,C256&lt;0),"Both error",IF(B256=C256,"Identical",IF(AND(B256=Constants!$B$13,C256&gt;=0),"Fixed in v1.0.0","Different")))</f>
        <v>Identical</v>
      </c>
      <c r="H256" s="7"/>
    </row>
    <row r="257" spans="1:8" x14ac:dyDescent="0.2">
      <c r="A257" s="20">
        <v>29.2</v>
      </c>
      <c r="B257" s="21">
        <v>180</v>
      </c>
      <c r="C257" s="21">
        <v>180</v>
      </c>
      <c r="D257" s="22">
        <f>IF(AND(A257&gt;=Constants!$B$8,A257&lt;=Constants!$B$9),Constants!$B$6+Constants!$B$7*(CEILING(A257,1)-Constants!$B$8),Constants!$B$11)</f>
        <v>180</v>
      </c>
      <c r="E257" s="23" t="str">
        <f t="shared" si="3"/>
        <v>OK</v>
      </c>
      <c r="F257" s="24">
        <f>IF(C257&gt;=0,C257/Constants!$B$5,"n/a")</f>
        <v>0.5625</v>
      </c>
      <c r="G257" s="23" t="str">
        <f>IF(AND(B257=Constants!$B$13,C257&lt;0),"Both error",IF(B257=C257,"Identical",IF(AND(B257=Constants!$B$13,C257&gt;=0),"Fixed in v1.0.0","Different")))</f>
        <v>Identical</v>
      </c>
      <c r="H257" s="7"/>
    </row>
    <row r="258" spans="1:8" x14ac:dyDescent="0.2">
      <c r="A258" s="20">
        <v>29.3</v>
      </c>
      <c r="B258" s="21">
        <v>180</v>
      </c>
      <c r="C258" s="21">
        <v>180</v>
      </c>
      <c r="D258" s="22">
        <f>IF(AND(A258&gt;=Constants!$B$8,A258&lt;=Constants!$B$9),Constants!$B$6+Constants!$B$7*(CEILING(A258,1)-Constants!$B$8),Constants!$B$11)</f>
        <v>180</v>
      </c>
      <c r="E258" s="23" t="str">
        <f t="shared" si="3"/>
        <v>OK</v>
      </c>
      <c r="F258" s="24">
        <f>IF(C258&gt;=0,C258/Constants!$B$5,"n/a")</f>
        <v>0.5625</v>
      </c>
      <c r="G258" s="23" t="str">
        <f>IF(AND(B258=Constants!$B$13,C258&lt;0),"Both error",IF(B258=C258,"Identical",IF(AND(B258=Constants!$B$13,C258&gt;=0),"Fixed in v1.0.0","Different")))</f>
        <v>Identical</v>
      </c>
      <c r="H258" s="7"/>
    </row>
    <row r="259" spans="1:8" x14ac:dyDescent="0.2">
      <c r="A259" s="20">
        <v>29.4</v>
      </c>
      <c r="B259" s="21">
        <v>180</v>
      </c>
      <c r="C259" s="21">
        <v>180</v>
      </c>
      <c r="D259" s="22">
        <f>IF(AND(A259&gt;=Constants!$B$8,A259&lt;=Constants!$B$9),Constants!$B$6+Constants!$B$7*(CEILING(A259,1)-Constants!$B$8),Constants!$B$11)</f>
        <v>180</v>
      </c>
      <c r="E259" s="23" t="str">
        <f t="shared" si="3"/>
        <v>OK</v>
      </c>
      <c r="F259" s="24">
        <f>IF(C259&gt;=0,C259/Constants!$B$5,"n/a")</f>
        <v>0.5625</v>
      </c>
      <c r="G259" s="23" t="str">
        <f>IF(AND(B259=Constants!$B$13,C259&lt;0),"Both error",IF(B259=C259,"Identical",IF(AND(B259=Constants!$B$13,C259&gt;=0),"Fixed in v1.0.0","Different")))</f>
        <v>Identical</v>
      </c>
      <c r="H259" s="7"/>
    </row>
    <row r="260" spans="1:8" x14ac:dyDescent="0.2">
      <c r="A260" s="20">
        <v>29.5</v>
      </c>
      <c r="B260" s="21">
        <v>180</v>
      </c>
      <c r="C260" s="21">
        <v>180</v>
      </c>
      <c r="D260" s="22">
        <f>IF(AND(A260&gt;=Constants!$B$8,A260&lt;=Constants!$B$9),Constants!$B$6+Constants!$B$7*(CEILING(A260,1)-Constants!$B$8),Constants!$B$11)</f>
        <v>180</v>
      </c>
      <c r="E260" s="23" t="str">
        <f t="shared" si="3"/>
        <v>OK</v>
      </c>
      <c r="F260" s="24">
        <f>IF(C260&gt;=0,C260/Constants!$B$5,"n/a")</f>
        <v>0.5625</v>
      </c>
      <c r="G260" s="23" t="str">
        <f>IF(AND(B260=Constants!$B$13,C260&lt;0),"Both error",IF(B260=C260,"Identical",IF(AND(B260=Constants!$B$13,C260&gt;=0),"Fixed in v1.0.0","Different")))</f>
        <v>Identical</v>
      </c>
      <c r="H260" s="7"/>
    </row>
    <row r="261" spans="1:8" x14ac:dyDescent="0.2">
      <c r="A261" s="20">
        <v>29.6</v>
      </c>
      <c r="B261" s="21">
        <v>180</v>
      </c>
      <c r="C261" s="21">
        <v>180</v>
      </c>
      <c r="D261" s="22">
        <f>IF(AND(A261&gt;=Constants!$B$8,A261&lt;=Constants!$B$9),Constants!$B$6+Constants!$B$7*(CEILING(A261,1)-Constants!$B$8),Constants!$B$11)</f>
        <v>180</v>
      </c>
      <c r="E261" s="23" t="str">
        <f t="shared" ref="E261:E324" si="4">IF(C261=D261,"OK","CHECK")</f>
        <v>OK</v>
      </c>
      <c r="F261" s="24">
        <f>IF(C261&gt;=0,C261/Constants!$B$5,"n/a")</f>
        <v>0.5625</v>
      </c>
      <c r="G261" s="23" t="str">
        <f>IF(AND(B261=Constants!$B$13,C261&lt;0),"Both error",IF(B261=C261,"Identical",IF(AND(B261=Constants!$B$13,C261&gt;=0),"Fixed in v1.0.0","Different")))</f>
        <v>Identical</v>
      </c>
      <c r="H261" s="7"/>
    </row>
    <row r="262" spans="1:8" x14ac:dyDescent="0.2">
      <c r="A262" s="20">
        <v>29.7</v>
      </c>
      <c r="B262" s="21">
        <v>180</v>
      </c>
      <c r="C262" s="21">
        <v>180</v>
      </c>
      <c r="D262" s="22">
        <f>IF(AND(A262&gt;=Constants!$B$8,A262&lt;=Constants!$B$9),Constants!$B$6+Constants!$B$7*(CEILING(A262,1)-Constants!$B$8),Constants!$B$11)</f>
        <v>180</v>
      </c>
      <c r="E262" s="23" t="str">
        <f t="shared" si="4"/>
        <v>OK</v>
      </c>
      <c r="F262" s="24">
        <f>IF(C262&gt;=0,C262/Constants!$B$5,"n/a")</f>
        <v>0.5625</v>
      </c>
      <c r="G262" s="23" t="str">
        <f>IF(AND(B262=Constants!$B$13,C262&lt;0),"Both error",IF(B262=C262,"Identical",IF(AND(B262=Constants!$B$13,C262&gt;=0),"Fixed in v1.0.0","Different")))</f>
        <v>Identical</v>
      </c>
      <c r="H262" s="7"/>
    </row>
    <row r="263" spans="1:8" x14ac:dyDescent="0.2">
      <c r="A263" s="20">
        <v>29.8</v>
      </c>
      <c r="B263" s="21">
        <v>180</v>
      </c>
      <c r="C263" s="21">
        <v>180</v>
      </c>
      <c r="D263" s="22">
        <f>IF(AND(A263&gt;=Constants!$B$8,A263&lt;=Constants!$B$9),Constants!$B$6+Constants!$B$7*(CEILING(A263,1)-Constants!$B$8),Constants!$B$11)</f>
        <v>180</v>
      </c>
      <c r="E263" s="23" t="str">
        <f t="shared" si="4"/>
        <v>OK</v>
      </c>
      <c r="F263" s="24">
        <f>IF(C263&gt;=0,C263/Constants!$B$5,"n/a")</f>
        <v>0.5625</v>
      </c>
      <c r="G263" s="23" t="str">
        <f>IF(AND(B263=Constants!$B$13,C263&lt;0),"Both error",IF(B263=C263,"Identical",IF(AND(B263=Constants!$B$13,C263&gt;=0),"Fixed in v1.0.0","Different")))</f>
        <v>Identical</v>
      </c>
      <c r="H263" s="7"/>
    </row>
    <row r="264" spans="1:8" x14ac:dyDescent="0.2">
      <c r="A264" s="20">
        <v>29.9</v>
      </c>
      <c r="B264" s="21">
        <v>180</v>
      </c>
      <c r="C264" s="21">
        <v>180</v>
      </c>
      <c r="D264" s="22">
        <f>IF(AND(A264&gt;=Constants!$B$8,A264&lt;=Constants!$B$9),Constants!$B$6+Constants!$B$7*(CEILING(A264,1)-Constants!$B$8),Constants!$B$11)</f>
        <v>180</v>
      </c>
      <c r="E264" s="23" t="str">
        <f t="shared" si="4"/>
        <v>OK</v>
      </c>
      <c r="F264" s="24">
        <f>IF(C264&gt;=0,C264/Constants!$B$5,"n/a")</f>
        <v>0.5625</v>
      </c>
      <c r="G264" s="23" t="str">
        <f>IF(AND(B264=Constants!$B$13,C264&lt;0),"Both error",IF(B264=C264,"Identical",IF(AND(B264=Constants!$B$13,C264&gt;=0),"Fixed in v1.0.0","Different")))</f>
        <v>Identical</v>
      </c>
      <c r="H264" s="7"/>
    </row>
    <row r="265" spans="1:8" x14ac:dyDescent="0.2">
      <c r="A265" s="20">
        <v>30</v>
      </c>
      <c r="B265" s="21">
        <v>180</v>
      </c>
      <c r="C265" s="21">
        <v>180</v>
      </c>
      <c r="D265" s="22">
        <f>IF(AND(A265&gt;=Constants!$B$8,A265&lt;=Constants!$B$9),Constants!$B$6+Constants!$B$7*(CEILING(A265,1)-Constants!$B$8),Constants!$B$11)</f>
        <v>180</v>
      </c>
      <c r="E265" s="23" t="str">
        <f t="shared" si="4"/>
        <v>OK</v>
      </c>
      <c r="F265" s="24">
        <f>IF(C265&gt;=0,C265/Constants!$B$5,"n/a")</f>
        <v>0.5625</v>
      </c>
      <c r="G265" s="23" t="str">
        <f>IF(AND(B265=Constants!$B$13,C265&lt;0),"Both error",IF(B265=C265,"Identical",IF(AND(B265=Constants!$B$13,C265&gt;=0),"Fixed in v1.0.0","Different")))</f>
        <v>Identical</v>
      </c>
      <c r="H265" s="7"/>
    </row>
    <row r="266" spans="1:8" x14ac:dyDescent="0.2">
      <c r="A266" s="20">
        <v>30.1</v>
      </c>
      <c r="B266" s="21">
        <v>187</v>
      </c>
      <c r="C266" s="21">
        <v>187</v>
      </c>
      <c r="D266" s="22">
        <f>IF(AND(A266&gt;=Constants!$B$8,A266&lt;=Constants!$B$9),Constants!$B$6+Constants!$B$7*(CEILING(A266,1)-Constants!$B$8),Constants!$B$11)</f>
        <v>187</v>
      </c>
      <c r="E266" s="23" t="str">
        <f t="shared" si="4"/>
        <v>OK</v>
      </c>
      <c r="F266" s="24">
        <f>IF(C266&gt;=0,C266/Constants!$B$5,"n/a")</f>
        <v>0.58437499999999998</v>
      </c>
      <c r="G266" s="23" t="str">
        <f>IF(AND(B266=Constants!$B$13,C266&lt;0),"Both error",IF(B266=C266,"Identical",IF(AND(B266=Constants!$B$13,C266&gt;=0),"Fixed in v1.0.0","Different")))</f>
        <v>Identical</v>
      </c>
      <c r="H266" s="7"/>
    </row>
    <row r="267" spans="1:8" x14ac:dyDescent="0.2">
      <c r="A267" s="20">
        <v>30.2</v>
      </c>
      <c r="B267" s="21">
        <v>187</v>
      </c>
      <c r="C267" s="21">
        <v>187</v>
      </c>
      <c r="D267" s="22">
        <f>IF(AND(A267&gt;=Constants!$B$8,A267&lt;=Constants!$B$9),Constants!$B$6+Constants!$B$7*(CEILING(A267,1)-Constants!$B$8),Constants!$B$11)</f>
        <v>187</v>
      </c>
      <c r="E267" s="23" t="str">
        <f t="shared" si="4"/>
        <v>OK</v>
      </c>
      <c r="F267" s="24">
        <f>IF(C267&gt;=0,C267/Constants!$B$5,"n/a")</f>
        <v>0.58437499999999998</v>
      </c>
      <c r="G267" s="23" t="str">
        <f>IF(AND(B267=Constants!$B$13,C267&lt;0),"Both error",IF(B267=C267,"Identical",IF(AND(B267=Constants!$B$13,C267&gt;=0),"Fixed in v1.0.0","Different")))</f>
        <v>Identical</v>
      </c>
      <c r="H267" s="7"/>
    </row>
    <row r="268" spans="1:8" x14ac:dyDescent="0.2">
      <c r="A268" s="20">
        <v>30.3</v>
      </c>
      <c r="B268" s="21">
        <v>187</v>
      </c>
      <c r="C268" s="21">
        <v>187</v>
      </c>
      <c r="D268" s="22">
        <f>IF(AND(A268&gt;=Constants!$B$8,A268&lt;=Constants!$B$9),Constants!$B$6+Constants!$B$7*(CEILING(A268,1)-Constants!$B$8),Constants!$B$11)</f>
        <v>187</v>
      </c>
      <c r="E268" s="23" t="str">
        <f t="shared" si="4"/>
        <v>OK</v>
      </c>
      <c r="F268" s="24">
        <f>IF(C268&gt;=0,C268/Constants!$B$5,"n/a")</f>
        <v>0.58437499999999998</v>
      </c>
      <c r="G268" s="23" t="str">
        <f>IF(AND(B268=Constants!$B$13,C268&lt;0),"Both error",IF(B268=C268,"Identical",IF(AND(B268=Constants!$B$13,C268&gt;=0),"Fixed in v1.0.0","Different")))</f>
        <v>Identical</v>
      </c>
      <c r="H268" s="7"/>
    </row>
    <row r="269" spans="1:8" x14ac:dyDescent="0.2">
      <c r="A269" s="20">
        <v>30.4</v>
      </c>
      <c r="B269" s="21">
        <v>187</v>
      </c>
      <c r="C269" s="21">
        <v>187</v>
      </c>
      <c r="D269" s="22">
        <f>IF(AND(A269&gt;=Constants!$B$8,A269&lt;=Constants!$B$9),Constants!$B$6+Constants!$B$7*(CEILING(A269,1)-Constants!$B$8),Constants!$B$11)</f>
        <v>187</v>
      </c>
      <c r="E269" s="23" t="str">
        <f t="shared" si="4"/>
        <v>OK</v>
      </c>
      <c r="F269" s="24">
        <f>IF(C269&gt;=0,C269/Constants!$B$5,"n/a")</f>
        <v>0.58437499999999998</v>
      </c>
      <c r="G269" s="23" t="str">
        <f>IF(AND(B269=Constants!$B$13,C269&lt;0),"Both error",IF(B269=C269,"Identical",IF(AND(B269=Constants!$B$13,C269&gt;=0),"Fixed in v1.0.0","Different")))</f>
        <v>Identical</v>
      </c>
      <c r="H269" s="7"/>
    </row>
    <row r="270" spans="1:8" x14ac:dyDescent="0.2">
      <c r="A270" s="20">
        <v>30.5</v>
      </c>
      <c r="B270" s="21">
        <v>187</v>
      </c>
      <c r="C270" s="21">
        <v>187</v>
      </c>
      <c r="D270" s="22">
        <f>IF(AND(A270&gt;=Constants!$B$8,A270&lt;=Constants!$B$9),Constants!$B$6+Constants!$B$7*(CEILING(A270,1)-Constants!$B$8),Constants!$B$11)</f>
        <v>187</v>
      </c>
      <c r="E270" s="23" t="str">
        <f t="shared" si="4"/>
        <v>OK</v>
      </c>
      <c r="F270" s="24">
        <f>IF(C270&gt;=0,C270/Constants!$B$5,"n/a")</f>
        <v>0.58437499999999998</v>
      </c>
      <c r="G270" s="23" t="str">
        <f>IF(AND(B270=Constants!$B$13,C270&lt;0),"Both error",IF(B270=C270,"Identical",IF(AND(B270=Constants!$B$13,C270&gt;=0),"Fixed in v1.0.0","Different")))</f>
        <v>Identical</v>
      </c>
      <c r="H270" s="7"/>
    </row>
    <row r="271" spans="1:8" x14ac:dyDescent="0.2">
      <c r="A271" s="20">
        <v>30.6</v>
      </c>
      <c r="B271" s="21">
        <v>187</v>
      </c>
      <c r="C271" s="21">
        <v>187</v>
      </c>
      <c r="D271" s="22">
        <f>IF(AND(A271&gt;=Constants!$B$8,A271&lt;=Constants!$B$9),Constants!$B$6+Constants!$B$7*(CEILING(A271,1)-Constants!$B$8),Constants!$B$11)</f>
        <v>187</v>
      </c>
      <c r="E271" s="23" t="str">
        <f t="shared" si="4"/>
        <v>OK</v>
      </c>
      <c r="F271" s="24">
        <f>IF(C271&gt;=0,C271/Constants!$B$5,"n/a")</f>
        <v>0.58437499999999998</v>
      </c>
      <c r="G271" s="23" t="str">
        <f>IF(AND(B271=Constants!$B$13,C271&lt;0),"Both error",IF(B271=C271,"Identical",IF(AND(B271=Constants!$B$13,C271&gt;=0),"Fixed in v1.0.0","Different")))</f>
        <v>Identical</v>
      </c>
      <c r="H271" s="7"/>
    </row>
    <row r="272" spans="1:8" x14ac:dyDescent="0.2">
      <c r="A272" s="20">
        <v>30.7</v>
      </c>
      <c r="B272" s="21">
        <v>187</v>
      </c>
      <c r="C272" s="21">
        <v>187</v>
      </c>
      <c r="D272" s="22">
        <f>IF(AND(A272&gt;=Constants!$B$8,A272&lt;=Constants!$B$9),Constants!$B$6+Constants!$B$7*(CEILING(A272,1)-Constants!$B$8),Constants!$B$11)</f>
        <v>187</v>
      </c>
      <c r="E272" s="23" t="str">
        <f t="shared" si="4"/>
        <v>OK</v>
      </c>
      <c r="F272" s="24">
        <f>IF(C272&gt;=0,C272/Constants!$B$5,"n/a")</f>
        <v>0.58437499999999998</v>
      </c>
      <c r="G272" s="23" t="str">
        <f>IF(AND(B272=Constants!$B$13,C272&lt;0),"Both error",IF(B272=C272,"Identical",IF(AND(B272=Constants!$B$13,C272&gt;=0),"Fixed in v1.0.0","Different")))</f>
        <v>Identical</v>
      </c>
      <c r="H272" s="7"/>
    </row>
    <row r="273" spans="1:8" x14ac:dyDescent="0.2">
      <c r="A273" s="20">
        <v>30.8</v>
      </c>
      <c r="B273" s="21">
        <v>187</v>
      </c>
      <c r="C273" s="21">
        <v>187</v>
      </c>
      <c r="D273" s="22">
        <f>IF(AND(A273&gt;=Constants!$B$8,A273&lt;=Constants!$B$9),Constants!$B$6+Constants!$B$7*(CEILING(A273,1)-Constants!$B$8),Constants!$B$11)</f>
        <v>187</v>
      </c>
      <c r="E273" s="23" t="str">
        <f t="shared" si="4"/>
        <v>OK</v>
      </c>
      <c r="F273" s="24">
        <f>IF(C273&gt;=0,C273/Constants!$B$5,"n/a")</f>
        <v>0.58437499999999998</v>
      </c>
      <c r="G273" s="23" t="str">
        <f>IF(AND(B273=Constants!$B$13,C273&lt;0),"Both error",IF(B273=C273,"Identical",IF(AND(B273=Constants!$B$13,C273&gt;=0),"Fixed in v1.0.0","Different")))</f>
        <v>Identical</v>
      </c>
      <c r="H273" s="7"/>
    </row>
    <row r="274" spans="1:8" x14ac:dyDescent="0.2">
      <c r="A274" s="20">
        <v>30.9</v>
      </c>
      <c r="B274" s="21">
        <v>187</v>
      </c>
      <c r="C274" s="21">
        <v>187</v>
      </c>
      <c r="D274" s="22">
        <f>IF(AND(A274&gt;=Constants!$B$8,A274&lt;=Constants!$B$9),Constants!$B$6+Constants!$B$7*(CEILING(A274,1)-Constants!$B$8),Constants!$B$11)</f>
        <v>187</v>
      </c>
      <c r="E274" s="23" t="str">
        <f t="shared" si="4"/>
        <v>OK</v>
      </c>
      <c r="F274" s="24">
        <f>IF(C274&gt;=0,C274/Constants!$B$5,"n/a")</f>
        <v>0.58437499999999998</v>
      </c>
      <c r="G274" s="23" t="str">
        <f>IF(AND(B274=Constants!$B$13,C274&lt;0),"Both error",IF(B274=C274,"Identical",IF(AND(B274=Constants!$B$13,C274&gt;=0),"Fixed in v1.0.0","Different")))</f>
        <v>Identical</v>
      </c>
      <c r="H274" s="7"/>
    </row>
    <row r="275" spans="1:8" x14ac:dyDescent="0.2">
      <c r="A275" s="20">
        <v>31</v>
      </c>
      <c r="B275" s="21">
        <v>187</v>
      </c>
      <c r="C275" s="21">
        <v>187</v>
      </c>
      <c r="D275" s="22">
        <f>IF(AND(A275&gt;=Constants!$B$8,A275&lt;=Constants!$B$9),Constants!$B$6+Constants!$B$7*(CEILING(A275,1)-Constants!$B$8),Constants!$B$11)</f>
        <v>187</v>
      </c>
      <c r="E275" s="23" t="str">
        <f t="shared" si="4"/>
        <v>OK</v>
      </c>
      <c r="F275" s="24">
        <f>IF(C275&gt;=0,C275/Constants!$B$5,"n/a")</f>
        <v>0.58437499999999998</v>
      </c>
      <c r="G275" s="23" t="str">
        <f>IF(AND(B275=Constants!$B$13,C275&lt;0),"Both error",IF(B275=C275,"Identical",IF(AND(B275=Constants!$B$13,C275&gt;=0),"Fixed in v1.0.0","Different")))</f>
        <v>Identical</v>
      </c>
      <c r="H275" s="7"/>
    </row>
    <row r="276" spans="1:8" x14ac:dyDescent="0.2">
      <c r="A276" s="20">
        <v>31.1</v>
      </c>
      <c r="B276" s="21">
        <v>194</v>
      </c>
      <c r="C276" s="21">
        <v>194</v>
      </c>
      <c r="D276" s="22">
        <f>IF(AND(A276&gt;=Constants!$B$8,A276&lt;=Constants!$B$9),Constants!$B$6+Constants!$B$7*(CEILING(A276,1)-Constants!$B$8),Constants!$B$11)</f>
        <v>194</v>
      </c>
      <c r="E276" s="23" t="str">
        <f t="shared" si="4"/>
        <v>OK</v>
      </c>
      <c r="F276" s="24">
        <f>IF(C276&gt;=0,C276/Constants!$B$5,"n/a")</f>
        <v>0.60624999999999996</v>
      </c>
      <c r="G276" s="23" t="str">
        <f>IF(AND(B276=Constants!$B$13,C276&lt;0),"Both error",IF(B276=C276,"Identical",IF(AND(B276=Constants!$B$13,C276&gt;=0),"Fixed in v1.0.0","Different")))</f>
        <v>Identical</v>
      </c>
      <c r="H276" s="7"/>
    </row>
    <row r="277" spans="1:8" x14ac:dyDescent="0.2">
      <c r="A277" s="20">
        <v>31.2</v>
      </c>
      <c r="B277" s="21">
        <v>194</v>
      </c>
      <c r="C277" s="21">
        <v>194</v>
      </c>
      <c r="D277" s="22">
        <f>IF(AND(A277&gt;=Constants!$B$8,A277&lt;=Constants!$B$9),Constants!$B$6+Constants!$B$7*(CEILING(A277,1)-Constants!$B$8),Constants!$B$11)</f>
        <v>194</v>
      </c>
      <c r="E277" s="23" t="str">
        <f t="shared" si="4"/>
        <v>OK</v>
      </c>
      <c r="F277" s="24">
        <f>IF(C277&gt;=0,C277/Constants!$B$5,"n/a")</f>
        <v>0.60624999999999996</v>
      </c>
      <c r="G277" s="23" t="str">
        <f>IF(AND(B277=Constants!$B$13,C277&lt;0),"Both error",IF(B277=C277,"Identical",IF(AND(B277=Constants!$B$13,C277&gt;=0),"Fixed in v1.0.0","Different")))</f>
        <v>Identical</v>
      </c>
      <c r="H277" s="7"/>
    </row>
    <row r="278" spans="1:8" x14ac:dyDescent="0.2">
      <c r="A278" s="20">
        <v>31.3</v>
      </c>
      <c r="B278" s="21">
        <v>194</v>
      </c>
      <c r="C278" s="21">
        <v>194</v>
      </c>
      <c r="D278" s="22">
        <f>IF(AND(A278&gt;=Constants!$B$8,A278&lt;=Constants!$B$9),Constants!$B$6+Constants!$B$7*(CEILING(A278,1)-Constants!$B$8),Constants!$B$11)</f>
        <v>194</v>
      </c>
      <c r="E278" s="23" t="str">
        <f t="shared" si="4"/>
        <v>OK</v>
      </c>
      <c r="F278" s="24">
        <f>IF(C278&gt;=0,C278/Constants!$B$5,"n/a")</f>
        <v>0.60624999999999996</v>
      </c>
      <c r="G278" s="23" t="str">
        <f>IF(AND(B278=Constants!$B$13,C278&lt;0),"Both error",IF(B278=C278,"Identical",IF(AND(B278=Constants!$B$13,C278&gt;=0),"Fixed in v1.0.0","Different")))</f>
        <v>Identical</v>
      </c>
      <c r="H278" s="7"/>
    </row>
    <row r="279" spans="1:8" x14ac:dyDescent="0.2">
      <c r="A279" s="20">
        <v>31.4</v>
      </c>
      <c r="B279" s="21">
        <v>194</v>
      </c>
      <c r="C279" s="21">
        <v>194</v>
      </c>
      <c r="D279" s="22">
        <f>IF(AND(A279&gt;=Constants!$B$8,A279&lt;=Constants!$B$9),Constants!$B$6+Constants!$B$7*(CEILING(A279,1)-Constants!$B$8),Constants!$B$11)</f>
        <v>194</v>
      </c>
      <c r="E279" s="23" t="str">
        <f t="shared" si="4"/>
        <v>OK</v>
      </c>
      <c r="F279" s="24">
        <f>IF(C279&gt;=0,C279/Constants!$B$5,"n/a")</f>
        <v>0.60624999999999996</v>
      </c>
      <c r="G279" s="23" t="str">
        <f>IF(AND(B279=Constants!$B$13,C279&lt;0),"Both error",IF(B279=C279,"Identical",IF(AND(B279=Constants!$B$13,C279&gt;=0),"Fixed in v1.0.0","Different")))</f>
        <v>Identical</v>
      </c>
      <c r="H279" s="7"/>
    </row>
    <row r="280" spans="1:8" x14ac:dyDescent="0.2">
      <c r="A280" s="20">
        <v>31.5</v>
      </c>
      <c r="B280" s="21">
        <v>194</v>
      </c>
      <c r="C280" s="21">
        <v>194</v>
      </c>
      <c r="D280" s="22">
        <f>IF(AND(A280&gt;=Constants!$B$8,A280&lt;=Constants!$B$9),Constants!$B$6+Constants!$B$7*(CEILING(A280,1)-Constants!$B$8),Constants!$B$11)</f>
        <v>194</v>
      </c>
      <c r="E280" s="23" t="str">
        <f t="shared" si="4"/>
        <v>OK</v>
      </c>
      <c r="F280" s="24">
        <f>IF(C280&gt;=0,C280/Constants!$B$5,"n/a")</f>
        <v>0.60624999999999996</v>
      </c>
      <c r="G280" s="23" t="str">
        <f>IF(AND(B280=Constants!$B$13,C280&lt;0),"Both error",IF(B280=C280,"Identical",IF(AND(B280=Constants!$B$13,C280&gt;=0),"Fixed in v1.0.0","Different")))</f>
        <v>Identical</v>
      </c>
      <c r="H280" s="7"/>
    </row>
    <row r="281" spans="1:8" x14ac:dyDescent="0.2">
      <c r="A281" s="20">
        <v>31.6</v>
      </c>
      <c r="B281" s="21">
        <v>194</v>
      </c>
      <c r="C281" s="21">
        <v>194</v>
      </c>
      <c r="D281" s="22">
        <f>IF(AND(A281&gt;=Constants!$B$8,A281&lt;=Constants!$B$9),Constants!$B$6+Constants!$B$7*(CEILING(A281,1)-Constants!$B$8),Constants!$B$11)</f>
        <v>194</v>
      </c>
      <c r="E281" s="23" t="str">
        <f t="shared" si="4"/>
        <v>OK</v>
      </c>
      <c r="F281" s="24">
        <f>IF(C281&gt;=0,C281/Constants!$B$5,"n/a")</f>
        <v>0.60624999999999996</v>
      </c>
      <c r="G281" s="23" t="str">
        <f>IF(AND(B281=Constants!$B$13,C281&lt;0),"Both error",IF(B281=C281,"Identical",IF(AND(B281=Constants!$B$13,C281&gt;=0),"Fixed in v1.0.0","Different")))</f>
        <v>Identical</v>
      </c>
      <c r="H281" s="7"/>
    </row>
    <row r="282" spans="1:8" x14ac:dyDescent="0.2">
      <c r="A282" s="20">
        <v>31.7</v>
      </c>
      <c r="B282" s="21">
        <v>194</v>
      </c>
      <c r="C282" s="21">
        <v>194</v>
      </c>
      <c r="D282" s="22">
        <f>IF(AND(A282&gt;=Constants!$B$8,A282&lt;=Constants!$B$9),Constants!$B$6+Constants!$B$7*(CEILING(A282,1)-Constants!$B$8),Constants!$B$11)</f>
        <v>194</v>
      </c>
      <c r="E282" s="23" t="str">
        <f t="shared" si="4"/>
        <v>OK</v>
      </c>
      <c r="F282" s="24">
        <f>IF(C282&gt;=0,C282/Constants!$B$5,"n/a")</f>
        <v>0.60624999999999996</v>
      </c>
      <c r="G282" s="23" t="str">
        <f>IF(AND(B282=Constants!$B$13,C282&lt;0),"Both error",IF(B282=C282,"Identical",IF(AND(B282=Constants!$B$13,C282&gt;=0),"Fixed in v1.0.0","Different")))</f>
        <v>Identical</v>
      </c>
      <c r="H282" s="7"/>
    </row>
    <row r="283" spans="1:8" x14ac:dyDescent="0.2">
      <c r="A283" s="20">
        <v>31.8</v>
      </c>
      <c r="B283" s="21">
        <v>194</v>
      </c>
      <c r="C283" s="21">
        <v>194</v>
      </c>
      <c r="D283" s="22">
        <f>IF(AND(A283&gt;=Constants!$B$8,A283&lt;=Constants!$B$9),Constants!$B$6+Constants!$B$7*(CEILING(A283,1)-Constants!$B$8),Constants!$B$11)</f>
        <v>194</v>
      </c>
      <c r="E283" s="23" t="str">
        <f t="shared" si="4"/>
        <v>OK</v>
      </c>
      <c r="F283" s="24">
        <f>IF(C283&gt;=0,C283/Constants!$B$5,"n/a")</f>
        <v>0.60624999999999996</v>
      </c>
      <c r="G283" s="23" t="str">
        <f>IF(AND(B283=Constants!$B$13,C283&lt;0),"Both error",IF(B283=C283,"Identical",IF(AND(B283=Constants!$B$13,C283&gt;=0),"Fixed in v1.0.0","Different")))</f>
        <v>Identical</v>
      </c>
      <c r="H283" s="7"/>
    </row>
    <row r="284" spans="1:8" x14ac:dyDescent="0.2">
      <c r="A284" s="20">
        <v>31.9</v>
      </c>
      <c r="B284" s="21">
        <v>194</v>
      </c>
      <c r="C284" s="21">
        <v>194</v>
      </c>
      <c r="D284" s="22">
        <f>IF(AND(A284&gt;=Constants!$B$8,A284&lt;=Constants!$B$9),Constants!$B$6+Constants!$B$7*(CEILING(A284,1)-Constants!$B$8),Constants!$B$11)</f>
        <v>194</v>
      </c>
      <c r="E284" s="23" t="str">
        <f t="shared" si="4"/>
        <v>OK</v>
      </c>
      <c r="F284" s="24">
        <f>IF(C284&gt;=0,C284/Constants!$B$5,"n/a")</f>
        <v>0.60624999999999996</v>
      </c>
      <c r="G284" s="23" t="str">
        <f>IF(AND(B284=Constants!$B$13,C284&lt;0),"Both error",IF(B284=C284,"Identical",IF(AND(B284=Constants!$B$13,C284&gt;=0),"Fixed in v1.0.0","Different")))</f>
        <v>Identical</v>
      </c>
      <c r="H284" s="7"/>
    </row>
    <row r="285" spans="1:8" x14ac:dyDescent="0.2">
      <c r="A285" s="20">
        <v>32</v>
      </c>
      <c r="B285" s="21">
        <v>194</v>
      </c>
      <c r="C285" s="21">
        <v>194</v>
      </c>
      <c r="D285" s="22">
        <f>IF(AND(A285&gt;=Constants!$B$8,A285&lt;=Constants!$B$9),Constants!$B$6+Constants!$B$7*(CEILING(A285,1)-Constants!$B$8),Constants!$B$11)</f>
        <v>194</v>
      </c>
      <c r="E285" s="23" t="str">
        <f t="shared" si="4"/>
        <v>OK</v>
      </c>
      <c r="F285" s="24">
        <f>IF(C285&gt;=0,C285/Constants!$B$5,"n/a")</f>
        <v>0.60624999999999996</v>
      </c>
      <c r="G285" s="23" t="str">
        <f>IF(AND(B285=Constants!$B$13,C285&lt;0),"Both error",IF(B285=C285,"Identical",IF(AND(B285=Constants!$B$13,C285&gt;=0),"Fixed in v1.0.0","Different")))</f>
        <v>Identical</v>
      </c>
      <c r="H285" s="7"/>
    </row>
    <row r="286" spans="1:8" x14ac:dyDescent="0.2">
      <c r="A286" s="20">
        <v>32.1</v>
      </c>
      <c r="B286" s="21">
        <v>201</v>
      </c>
      <c r="C286" s="21">
        <v>201</v>
      </c>
      <c r="D286" s="22">
        <f>IF(AND(A286&gt;=Constants!$B$8,A286&lt;=Constants!$B$9),Constants!$B$6+Constants!$B$7*(CEILING(A286,1)-Constants!$B$8),Constants!$B$11)</f>
        <v>201</v>
      </c>
      <c r="E286" s="23" t="str">
        <f t="shared" si="4"/>
        <v>OK</v>
      </c>
      <c r="F286" s="24">
        <f>IF(C286&gt;=0,C286/Constants!$B$5,"n/a")</f>
        <v>0.62812500000000004</v>
      </c>
      <c r="G286" s="23" t="str">
        <f>IF(AND(B286=Constants!$B$13,C286&lt;0),"Both error",IF(B286=C286,"Identical",IF(AND(B286=Constants!$B$13,C286&gt;=0),"Fixed in v1.0.0","Different")))</f>
        <v>Identical</v>
      </c>
      <c r="H286" s="7"/>
    </row>
    <row r="287" spans="1:8" x14ac:dyDescent="0.2">
      <c r="A287" s="20">
        <v>32.200000000000003</v>
      </c>
      <c r="B287" s="21">
        <v>201</v>
      </c>
      <c r="C287" s="21">
        <v>201</v>
      </c>
      <c r="D287" s="22">
        <f>IF(AND(A287&gt;=Constants!$B$8,A287&lt;=Constants!$B$9),Constants!$B$6+Constants!$B$7*(CEILING(A287,1)-Constants!$B$8),Constants!$B$11)</f>
        <v>201</v>
      </c>
      <c r="E287" s="23" t="str">
        <f t="shared" si="4"/>
        <v>OK</v>
      </c>
      <c r="F287" s="24">
        <f>IF(C287&gt;=0,C287/Constants!$B$5,"n/a")</f>
        <v>0.62812500000000004</v>
      </c>
      <c r="G287" s="23" t="str">
        <f>IF(AND(B287=Constants!$B$13,C287&lt;0),"Both error",IF(B287=C287,"Identical",IF(AND(B287=Constants!$B$13,C287&gt;=0),"Fixed in v1.0.0","Different")))</f>
        <v>Identical</v>
      </c>
      <c r="H287" s="7"/>
    </row>
    <row r="288" spans="1:8" x14ac:dyDescent="0.2">
      <c r="A288" s="20">
        <v>32.299999999999997</v>
      </c>
      <c r="B288" s="21">
        <v>201</v>
      </c>
      <c r="C288" s="21">
        <v>201</v>
      </c>
      <c r="D288" s="22">
        <f>IF(AND(A288&gt;=Constants!$B$8,A288&lt;=Constants!$B$9),Constants!$B$6+Constants!$B$7*(CEILING(A288,1)-Constants!$B$8),Constants!$B$11)</f>
        <v>201</v>
      </c>
      <c r="E288" s="23" t="str">
        <f t="shared" si="4"/>
        <v>OK</v>
      </c>
      <c r="F288" s="24">
        <f>IF(C288&gt;=0,C288/Constants!$B$5,"n/a")</f>
        <v>0.62812500000000004</v>
      </c>
      <c r="G288" s="23" t="str">
        <f>IF(AND(B288=Constants!$B$13,C288&lt;0),"Both error",IF(B288=C288,"Identical",IF(AND(B288=Constants!$B$13,C288&gt;=0),"Fixed in v1.0.0","Different")))</f>
        <v>Identical</v>
      </c>
      <c r="H288" s="7"/>
    </row>
    <row r="289" spans="1:8" x14ac:dyDescent="0.2">
      <c r="A289" s="20">
        <v>32.4</v>
      </c>
      <c r="B289" s="21">
        <v>201</v>
      </c>
      <c r="C289" s="21">
        <v>201</v>
      </c>
      <c r="D289" s="22">
        <f>IF(AND(A289&gt;=Constants!$B$8,A289&lt;=Constants!$B$9),Constants!$B$6+Constants!$B$7*(CEILING(A289,1)-Constants!$B$8),Constants!$B$11)</f>
        <v>201</v>
      </c>
      <c r="E289" s="23" t="str">
        <f t="shared" si="4"/>
        <v>OK</v>
      </c>
      <c r="F289" s="24">
        <f>IF(C289&gt;=0,C289/Constants!$B$5,"n/a")</f>
        <v>0.62812500000000004</v>
      </c>
      <c r="G289" s="23" t="str">
        <f>IF(AND(B289=Constants!$B$13,C289&lt;0),"Both error",IF(B289=C289,"Identical",IF(AND(B289=Constants!$B$13,C289&gt;=0),"Fixed in v1.0.0","Different")))</f>
        <v>Identical</v>
      </c>
      <c r="H289" s="7"/>
    </row>
    <row r="290" spans="1:8" x14ac:dyDescent="0.2">
      <c r="A290" s="20">
        <v>32.5</v>
      </c>
      <c r="B290" s="21">
        <v>201</v>
      </c>
      <c r="C290" s="21">
        <v>201</v>
      </c>
      <c r="D290" s="22">
        <f>IF(AND(A290&gt;=Constants!$B$8,A290&lt;=Constants!$B$9),Constants!$B$6+Constants!$B$7*(CEILING(A290,1)-Constants!$B$8),Constants!$B$11)</f>
        <v>201</v>
      </c>
      <c r="E290" s="23" t="str">
        <f t="shared" si="4"/>
        <v>OK</v>
      </c>
      <c r="F290" s="24">
        <f>IF(C290&gt;=0,C290/Constants!$B$5,"n/a")</f>
        <v>0.62812500000000004</v>
      </c>
      <c r="G290" s="23" t="str">
        <f>IF(AND(B290=Constants!$B$13,C290&lt;0),"Both error",IF(B290=C290,"Identical",IF(AND(B290=Constants!$B$13,C290&gt;=0),"Fixed in v1.0.0","Different")))</f>
        <v>Identical</v>
      </c>
      <c r="H290" s="7"/>
    </row>
    <row r="291" spans="1:8" x14ac:dyDescent="0.2">
      <c r="A291" s="20">
        <v>32.6</v>
      </c>
      <c r="B291" s="21">
        <v>201</v>
      </c>
      <c r="C291" s="21">
        <v>201</v>
      </c>
      <c r="D291" s="22">
        <f>IF(AND(A291&gt;=Constants!$B$8,A291&lt;=Constants!$B$9),Constants!$B$6+Constants!$B$7*(CEILING(A291,1)-Constants!$B$8),Constants!$B$11)</f>
        <v>201</v>
      </c>
      <c r="E291" s="23" t="str">
        <f t="shared" si="4"/>
        <v>OK</v>
      </c>
      <c r="F291" s="24">
        <f>IF(C291&gt;=0,C291/Constants!$B$5,"n/a")</f>
        <v>0.62812500000000004</v>
      </c>
      <c r="G291" s="23" t="str">
        <f>IF(AND(B291=Constants!$B$13,C291&lt;0),"Both error",IF(B291=C291,"Identical",IF(AND(B291=Constants!$B$13,C291&gt;=0),"Fixed in v1.0.0","Different")))</f>
        <v>Identical</v>
      </c>
      <c r="H291" s="7"/>
    </row>
    <row r="292" spans="1:8" x14ac:dyDescent="0.2">
      <c r="A292" s="20">
        <v>32.700000000000003</v>
      </c>
      <c r="B292" s="21">
        <v>201</v>
      </c>
      <c r="C292" s="21">
        <v>201</v>
      </c>
      <c r="D292" s="22">
        <f>IF(AND(A292&gt;=Constants!$B$8,A292&lt;=Constants!$B$9),Constants!$B$6+Constants!$B$7*(CEILING(A292,1)-Constants!$B$8),Constants!$B$11)</f>
        <v>201</v>
      </c>
      <c r="E292" s="23" t="str">
        <f t="shared" si="4"/>
        <v>OK</v>
      </c>
      <c r="F292" s="24">
        <f>IF(C292&gt;=0,C292/Constants!$B$5,"n/a")</f>
        <v>0.62812500000000004</v>
      </c>
      <c r="G292" s="23" t="str">
        <f>IF(AND(B292=Constants!$B$13,C292&lt;0),"Both error",IF(B292=C292,"Identical",IF(AND(B292=Constants!$B$13,C292&gt;=0),"Fixed in v1.0.0","Different")))</f>
        <v>Identical</v>
      </c>
      <c r="H292" s="7"/>
    </row>
    <row r="293" spans="1:8" x14ac:dyDescent="0.2">
      <c r="A293" s="20">
        <v>32.799999999999997</v>
      </c>
      <c r="B293" s="21">
        <v>201</v>
      </c>
      <c r="C293" s="21">
        <v>201</v>
      </c>
      <c r="D293" s="22">
        <f>IF(AND(A293&gt;=Constants!$B$8,A293&lt;=Constants!$B$9),Constants!$B$6+Constants!$B$7*(CEILING(A293,1)-Constants!$B$8),Constants!$B$11)</f>
        <v>201</v>
      </c>
      <c r="E293" s="23" t="str">
        <f t="shared" si="4"/>
        <v>OK</v>
      </c>
      <c r="F293" s="24">
        <f>IF(C293&gt;=0,C293/Constants!$B$5,"n/a")</f>
        <v>0.62812500000000004</v>
      </c>
      <c r="G293" s="23" t="str">
        <f>IF(AND(B293=Constants!$B$13,C293&lt;0),"Both error",IF(B293=C293,"Identical",IF(AND(B293=Constants!$B$13,C293&gt;=0),"Fixed in v1.0.0","Different")))</f>
        <v>Identical</v>
      </c>
      <c r="H293" s="7"/>
    </row>
    <row r="294" spans="1:8" x14ac:dyDescent="0.2">
      <c r="A294" s="20">
        <v>32.9</v>
      </c>
      <c r="B294" s="21">
        <v>201</v>
      </c>
      <c r="C294" s="21">
        <v>201</v>
      </c>
      <c r="D294" s="22">
        <f>IF(AND(A294&gt;=Constants!$B$8,A294&lt;=Constants!$B$9),Constants!$B$6+Constants!$B$7*(CEILING(A294,1)-Constants!$B$8),Constants!$B$11)</f>
        <v>201</v>
      </c>
      <c r="E294" s="23" t="str">
        <f t="shared" si="4"/>
        <v>OK</v>
      </c>
      <c r="F294" s="24">
        <f>IF(C294&gt;=0,C294/Constants!$B$5,"n/a")</f>
        <v>0.62812500000000004</v>
      </c>
      <c r="G294" s="23" t="str">
        <f>IF(AND(B294=Constants!$B$13,C294&lt;0),"Both error",IF(B294=C294,"Identical",IF(AND(B294=Constants!$B$13,C294&gt;=0),"Fixed in v1.0.0","Different")))</f>
        <v>Identical</v>
      </c>
      <c r="H294" s="7"/>
    </row>
    <row r="295" spans="1:8" x14ac:dyDescent="0.2">
      <c r="A295" s="20">
        <v>33</v>
      </c>
      <c r="B295" s="21">
        <v>201</v>
      </c>
      <c r="C295" s="21">
        <v>201</v>
      </c>
      <c r="D295" s="22">
        <f>IF(AND(A295&gt;=Constants!$B$8,A295&lt;=Constants!$B$9),Constants!$B$6+Constants!$B$7*(CEILING(A295,1)-Constants!$B$8),Constants!$B$11)</f>
        <v>201</v>
      </c>
      <c r="E295" s="23" t="str">
        <f t="shared" si="4"/>
        <v>OK</v>
      </c>
      <c r="F295" s="24">
        <f>IF(C295&gt;=0,C295/Constants!$B$5,"n/a")</f>
        <v>0.62812500000000004</v>
      </c>
      <c r="G295" s="23" t="str">
        <f>IF(AND(B295=Constants!$B$13,C295&lt;0),"Both error",IF(B295=C295,"Identical",IF(AND(B295=Constants!$B$13,C295&gt;=0),"Fixed in v1.0.0","Different")))</f>
        <v>Identical</v>
      </c>
      <c r="H295" s="7"/>
    </row>
    <row r="296" spans="1:8" x14ac:dyDescent="0.2">
      <c r="A296" s="20">
        <v>33.1</v>
      </c>
      <c r="B296" s="21">
        <v>208</v>
      </c>
      <c r="C296" s="21">
        <v>208</v>
      </c>
      <c r="D296" s="22">
        <f>IF(AND(A296&gt;=Constants!$B$8,A296&lt;=Constants!$B$9),Constants!$B$6+Constants!$B$7*(CEILING(A296,1)-Constants!$B$8),Constants!$B$11)</f>
        <v>208</v>
      </c>
      <c r="E296" s="23" t="str">
        <f t="shared" si="4"/>
        <v>OK</v>
      </c>
      <c r="F296" s="24">
        <f>IF(C296&gt;=0,C296/Constants!$B$5,"n/a")</f>
        <v>0.65</v>
      </c>
      <c r="G296" s="23" t="str">
        <f>IF(AND(B296=Constants!$B$13,C296&lt;0),"Both error",IF(B296=C296,"Identical",IF(AND(B296=Constants!$B$13,C296&gt;=0),"Fixed in v1.0.0","Different")))</f>
        <v>Identical</v>
      </c>
      <c r="H296" s="7"/>
    </row>
    <row r="297" spans="1:8" x14ac:dyDescent="0.2">
      <c r="A297" s="20">
        <v>33.200000000000003</v>
      </c>
      <c r="B297" s="21">
        <v>208</v>
      </c>
      <c r="C297" s="21">
        <v>208</v>
      </c>
      <c r="D297" s="22">
        <f>IF(AND(A297&gt;=Constants!$B$8,A297&lt;=Constants!$B$9),Constants!$B$6+Constants!$B$7*(CEILING(A297,1)-Constants!$B$8),Constants!$B$11)</f>
        <v>208</v>
      </c>
      <c r="E297" s="23" t="str">
        <f t="shared" si="4"/>
        <v>OK</v>
      </c>
      <c r="F297" s="24">
        <f>IF(C297&gt;=0,C297/Constants!$B$5,"n/a")</f>
        <v>0.65</v>
      </c>
      <c r="G297" s="23" t="str">
        <f>IF(AND(B297=Constants!$B$13,C297&lt;0),"Both error",IF(B297=C297,"Identical",IF(AND(B297=Constants!$B$13,C297&gt;=0),"Fixed in v1.0.0","Different")))</f>
        <v>Identical</v>
      </c>
      <c r="H297" s="7"/>
    </row>
    <row r="298" spans="1:8" x14ac:dyDescent="0.2">
      <c r="A298" s="20">
        <v>33.299999999999997</v>
      </c>
      <c r="B298" s="21">
        <v>208</v>
      </c>
      <c r="C298" s="21">
        <v>208</v>
      </c>
      <c r="D298" s="22">
        <f>IF(AND(A298&gt;=Constants!$B$8,A298&lt;=Constants!$B$9),Constants!$B$6+Constants!$B$7*(CEILING(A298,1)-Constants!$B$8),Constants!$B$11)</f>
        <v>208</v>
      </c>
      <c r="E298" s="23" t="str">
        <f t="shared" si="4"/>
        <v>OK</v>
      </c>
      <c r="F298" s="24">
        <f>IF(C298&gt;=0,C298/Constants!$B$5,"n/a")</f>
        <v>0.65</v>
      </c>
      <c r="G298" s="23" t="str">
        <f>IF(AND(B298=Constants!$B$13,C298&lt;0),"Both error",IF(B298=C298,"Identical",IF(AND(B298=Constants!$B$13,C298&gt;=0),"Fixed in v1.0.0","Different")))</f>
        <v>Identical</v>
      </c>
      <c r="H298" s="7"/>
    </row>
    <row r="299" spans="1:8" x14ac:dyDescent="0.2">
      <c r="A299" s="20">
        <v>33.4</v>
      </c>
      <c r="B299" s="21">
        <v>208</v>
      </c>
      <c r="C299" s="21">
        <v>208</v>
      </c>
      <c r="D299" s="22">
        <f>IF(AND(A299&gt;=Constants!$B$8,A299&lt;=Constants!$B$9),Constants!$B$6+Constants!$B$7*(CEILING(A299,1)-Constants!$B$8),Constants!$B$11)</f>
        <v>208</v>
      </c>
      <c r="E299" s="23" t="str">
        <f t="shared" si="4"/>
        <v>OK</v>
      </c>
      <c r="F299" s="24">
        <f>IF(C299&gt;=0,C299/Constants!$B$5,"n/a")</f>
        <v>0.65</v>
      </c>
      <c r="G299" s="23" t="str">
        <f>IF(AND(B299=Constants!$B$13,C299&lt;0),"Both error",IF(B299=C299,"Identical",IF(AND(B299=Constants!$B$13,C299&gt;=0),"Fixed in v1.0.0","Different")))</f>
        <v>Identical</v>
      </c>
      <c r="H299" s="7"/>
    </row>
    <row r="300" spans="1:8" x14ac:dyDescent="0.2">
      <c r="A300" s="20">
        <v>33.5</v>
      </c>
      <c r="B300" s="21">
        <v>208</v>
      </c>
      <c r="C300" s="21">
        <v>208</v>
      </c>
      <c r="D300" s="22">
        <f>IF(AND(A300&gt;=Constants!$B$8,A300&lt;=Constants!$B$9),Constants!$B$6+Constants!$B$7*(CEILING(A300,1)-Constants!$B$8),Constants!$B$11)</f>
        <v>208</v>
      </c>
      <c r="E300" s="23" t="str">
        <f t="shared" si="4"/>
        <v>OK</v>
      </c>
      <c r="F300" s="24">
        <f>IF(C300&gt;=0,C300/Constants!$B$5,"n/a")</f>
        <v>0.65</v>
      </c>
      <c r="G300" s="23" t="str">
        <f>IF(AND(B300=Constants!$B$13,C300&lt;0),"Both error",IF(B300=C300,"Identical",IF(AND(B300=Constants!$B$13,C300&gt;=0),"Fixed in v1.0.0","Different")))</f>
        <v>Identical</v>
      </c>
      <c r="H300" s="7"/>
    </row>
    <row r="301" spans="1:8" x14ac:dyDescent="0.2">
      <c r="A301" s="20">
        <v>33.6</v>
      </c>
      <c r="B301" s="21">
        <v>208</v>
      </c>
      <c r="C301" s="21">
        <v>208</v>
      </c>
      <c r="D301" s="22">
        <f>IF(AND(A301&gt;=Constants!$B$8,A301&lt;=Constants!$B$9),Constants!$B$6+Constants!$B$7*(CEILING(A301,1)-Constants!$B$8),Constants!$B$11)</f>
        <v>208</v>
      </c>
      <c r="E301" s="23" t="str">
        <f t="shared" si="4"/>
        <v>OK</v>
      </c>
      <c r="F301" s="24">
        <f>IF(C301&gt;=0,C301/Constants!$B$5,"n/a")</f>
        <v>0.65</v>
      </c>
      <c r="G301" s="23" t="str">
        <f>IF(AND(B301=Constants!$B$13,C301&lt;0),"Both error",IF(B301=C301,"Identical",IF(AND(B301=Constants!$B$13,C301&gt;=0),"Fixed in v1.0.0","Different")))</f>
        <v>Identical</v>
      </c>
      <c r="H301" s="7"/>
    </row>
    <row r="302" spans="1:8" x14ac:dyDescent="0.2">
      <c r="A302" s="20">
        <v>33.700000000000003</v>
      </c>
      <c r="B302" s="21">
        <v>208</v>
      </c>
      <c r="C302" s="21">
        <v>208</v>
      </c>
      <c r="D302" s="22">
        <f>IF(AND(A302&gt;=Constants!$B$8,A302&lt;=Constants!$B$9),Constants!$B$6+Constants!$B$7*(CEILING(A302,1)-Constants!$B$8),Constants!$B$11)</f>
        <v>208</v>
      </c>
      <c r="E302" s="23" t="str">
        <f t="shared" si="4"/>
        <v>OK</v>
      </c>
      <c r="F302" s="24">
        <f>IF(C302&gt;=0,C302/Constants!$B$5,"n/a")</f>
        <v>0.65</v>
      </c>
      <c r="G302" s="23" t="str">
        <f>IF(AND(B302=Constants!$B$13,C302&lt;0),"Both error",IF(B302=C302,"Identical",IF(AND(B302=Constants!$B$13,C302&gt;=0),"Fixed in v1.0.0","Different")))</f>
        <v>Identical</v>
      </c>
      <c r="H302" s="7"/>
    </row>
    <row r="303" spans="1:8" x14ac:dyDescent="0.2">
      <c r="A303" s="20">
        <v>33.799999999999997</v>
      </c>
      <c r="B303" s="21">
        <v>208</v>
      </c>
      <c r="C303" s="21">
        <v>208</v>
      </c>
      <c r="D303" s="22">
        <f>IF(AND(A303&gt;=Constants!$B$8,A303&lt;=Constants!$B$9),Constants!$B$6+Constants!$B$7*(CEILING(A303,1)-Constants!$B$8),Constants!$B$11)</f>
        <v>208</v>
      </c>
      <c r="E303" s="23" t="str">
        <f t="shared" si="4"/>
        <v>OK</v>
      </c>
      <c r="F303" s="24">
        <f>IF(C303&gt;=0,C303/Constants!$B$5,"n/a")</f>
        <v>0.65</v>
      </c>
      <c r="G303" s="23" t="str">
        <f>IF(AND(B303=Constants!$B$13,C303&lt;0),"Both error",IF(B303=C303,"Identical",IF(AND(B303=Constants!$B$13,C303&gt;=0),"Fixed in v1.0.0","Different")))</f>
        <v>Identical</v>
      </c>
      <c r="H303" s="7"/>
    </row>
    <row r="304" spans="1:8" x14ac:dyDescent="0.2">
      <c r="A304" s="20">
        <v>33.9</v>
      </c>
      <c r="B304" s="21">
        <v>208</v>
      </c>
      <c r="C304" s="21">
        <v>208</v>
      </c>
      <c r="D304" s="22">
        <f>IF(AND(A304&gt;=Constants!$B$8,A304&lt;=Constants!$B$9),Constants!$B$6+Constants!$B$7*(CEILING(A304,1)-Constants!$B$8),Constants!$B$11)</f>
        <v>208</v>
      </c>
      <c r="E304" s="23" t="str">
        <f t="shared" si="4"/>
        <v>OK</v>
      </c>
      <c r="F304" s="24">
        <f>IF(C304&gt;=0,C304/Constants!$B$5,"n/a")</f>
        <v>0.65</v>
      </c>
      <c r="G304" s="23" t="str">
        <f>IF(AND(B304=Constants!$B$13,C304&lt;0),"Both error",IF(B304=C304,"Identical",IF(AND(B304=Constants!$B$13,C304&gt;=0),"Fixed in v1.0.0","Different")))</f>
        <v>Identical</v>
      </c>
      <c r="H304" s="7"/>
    </row>
    <row r="305" spans="1:8" x14ac:dyDescent="0.2">
      <c r="A305" s="20">
        <v>34</v>
      </c>
      <c r="B305" s="21">
        <v>208</v>
      </c>
      <c r="C305" s="21">
        <v>208</v>
      </c>
      <c r="D305" s="22">
        <f>IF(AND(A305&gt;=Constants!$B$8,A305&lt;=Constants!$B$9),Constants!$B$6+Constants!$B$7*(CEILING(A305,1)-Constants!$B$8),Constants!$B$11)</f>
        <v>208</v>
      </c>
      <c r="E305" s="23" t="str">
        <f t="shared" si="4"/>
        <v>OK</v>
      </c>
      <c r="F305" s="24">
        <f>IF(C305&gt;=0,C305/Constants!$B$5,"n/a")</f>
        <v>0.65</v>
      </c>
      <c r="G305" s="23" t="str">
        <f>IF(AND(B305=Constants!$B$13,C305&lt;0),"Both error",IF(B305=C305,"Identical",IF(AND(B305=Constants!$B$13,C305&gt;=0),"Fixed in v1.0.0","Different")))</f>
        <v>Identical</v>
      </c>
      <c r="H305" s="7"/>
    </row>
    <row r="306" spans="1:8" x14ac:dyDescent="0.2">
      <c r="A306" s="20">
        <v>34.1</v>
      </c>
      <c r="B306" s="21">
        <v>215</v>
      </c>
      <c r="C306" s="21">
        <v>215</v>
      </c>
      <c r="D306" s="22">
        <f>IF(AND(A306&gt;=Constants!$B$8,A306&lt;=Constants!$B$9),Constants!$B$6+Constants!$B$7*(CEILING(A306,1)-Constants!$B$8),Constants!$B$11)</f>
        <v>215</v>
      </c>
      <c r="E306" s="23" t="str">
        <f t="shared" si="4"/>
        <v>OK</v>
      </c>
      <c r="F306" s="24">
        <f>IF(C306&gt;=0,C306/Constants!$B$5,"n/a")</f>
        <v>0.671875</v>
      </c>
      <c r="G306" s="23" t="str">
        <f>IF(AND(B306=Constants!$B$13,C306&lt;0),"Both error",IF(B306=C306,"Identical",IF(AND(B306=Constants!$B$13,C306&gt;=0),"Fixed in v1.0.0","Different")))</f>
        <v>Identical</v>
      </c>
      <c r="H306" s="7"/>
    </row>
    <row r="307" spans="1:8" x14ac:dyDescent="0.2">
      <c r="A307" s="20">
        <v>34.200000000000003</v>
      </c>
      <c r="B307" s="21">
        <v>215</v>
      </c>
      <c r="C307" s="21">
        <v>215</v>
      </c>
      <c r="D307" s="22">
        <f>IF(AND(A307&gt;=Constants!$B$8,A307&lt;=Constants!$B$9),Constants!$B$6+Constants!$B$7*(CEILING(A307,1)-Constants!$B$8),Constants!$B$11)</f>
        <v>215</v>
      </c>
      <c r="E307" s="23" t="str">
        <f t="shared" si="4"/>
        <v>OK</v>
      </c>
      <c r="F307" s="24">
        <f>IF(C307&gt;=0,C307/Constants!$B$5,"n/a")</f>
        <v>0.671875</v>
      </c>
      <c r="G307" s="23" t="str">
        <f>IF(AND(B307=Constants!$B$13,C307&lt;0),"Both error",IF(B307=C307,"Identical",IF(AND(B307=Constants!$B$13,C307&gt;=0),"Fixed in v1.0.0","Different")))</f>
        <v>Identical</v>
      </c>
      <c r="H307" s="7"/>
    </row>
    <row r="308" spans="1:8" x14ac:dyDescent="0.2">
      <c r="A308" s="20">
        <v>34.299999999999997</v>
      </c>
      <c r="B308" s="21">
        <v>215</v>
      </c>
      <c r="C308" s="21">
        <v>215</v>
      </c>
      <c r="D308" s="22">
        <f>IF(AND(A308&gt;=Constants!$B$8,A308&lt;=Constants!$B$9),Constants!$B$6+Constants!$B$7*(CEILING(A308,1)-Constants!$B$8),Constants!$B$11)</f>
        <v>215</v>
      </c>
      <c r="E308" s="23" t="str">
        <f t="shared" si="4"/>
        <v>OK</v>
      </c>
      <c r="F308" s="24">
        <f>IF(C308&gt;=0,C308/Constants!$B$5,"n/a")</f>
        <v>0.671875</v>
      </c>
      <c r="G308" s="23" t="str">
        <f>IF(AND(B308=Constants!$B$13,C308&lt;0),"Both error",IF(B308=C308,"Identical",IF(AND(B308=Constants!$B$13,C308&gt;=0),"Fixed in v1.0.0","Different")))</f>
        <v>Identical</v>
      </c>
      <c r="H308" s="7"/>
    </row>
    <row r="309" spans="1:8" x14ac:dyDescent="0.2">
      <c r="A309" s="20">
        <v>34.4</v>
      </c>
      <c r="B309" s="21">
        <v>215</v>
      </c>
      <c r="C309" s="21">
        <v>215</v>
      </c>
      <c r="D309" s="22">
        <f>IF(AND(A309&gt;=Constants!$B$8,A309&lt;=Constants!$B$9),Constants!$B$6+Constants!$B$7*(CEILING(A309,1)-Constants!$B$8),Constants!$B$11)</f>
        <v>215</v>
      </c>
      <c r="E309" s="23" t="str">
        <f t="shared" si="4"/>
        <v>OK</v>
      </c>
      <c r="F309" s="24">
        <f>IF(C309&gt;=0,C309/Constants!$B$5,"n/a")</f>
        <v>0.671875</v>
      </c>
      <c r="G309" s="23" t="str">
        <f>IF(AND(B309=Constants!$B$13,C309&lt;0),"Both error",IF(B309=C309,"Identical",IF(AND(B309=Constants!$B$13,C309&gt;=0),"Fixed in v1.0.0","Different")))</f>
        <v>Identical</v>
      </c>
      <c r="H309" s="7"/>
    </row>
    <row r="310" spans="1:8" x14ac:dyDescent="0.2">
      <c r="A310" s="20">
        <v>34.5</v>
      </c>
      <c r="B310" s="21">
        <v>215</v>
      </c>
      <c r="C310" s="21">
        <v>215</v>
      </c>
      <c r="D310" s="22">
        <f>IF(AND(A310&gt;=Constants!$B$8,A310&lt;=Constants!$B$9),Constants!$B$6+Constants!$B$7*(CEILING(A310,1)-Constants!$B$8),Constants!$B$11)</f>
        <v>215</v>
      </c>
      <c r="E310" s="23" t="str">
        <f t="shared" si="4"/>
        <v>OK</v>
      </c>
      <c r="F310" s="24">
        <f>IF(C310&gt;=0,C310/Constants!$B$5,"n/a")</f>
        <v>0.671875</v>
      </c>
      <c r="G310" s="23" t="str">
        <f>IF(AND(B310=Constants!$B$13,C310&lt;0),"Both error",IF(B310=C310,"Identical",IF(AND(B310=Constants!$B$13,C310&gt;=0),"Fixed in v1.0.0","Different")))</f>
        <v>Identical</v>
      </c>
      <c r="H310" s="7"/>
    </row>
    <row r="311" spans="1:8" x14ac:dyDescent="0.2">
      <c r="A311" s="20">
        <v>34.6</v>
      </c>
      <c r="B311" s="21">
        <v>215</v>
      </c>
      <c r="C311" s="21">
        <v>215</v>
      </c>
      <c r="D311" s="22">
        <f>IF(AND(A311&gt;=Constants!$B$8,A311&lt;=Constants!$B$9),Constants!$B$6+Constants!$B$7*(CEILING(A311,1)-Constants!$B$8),Constants!$B$11)</f>
        <v>215</v>
      </c>
      <c r="E311" s="23" t="str">
        <f t="shared" si="4"/>
        <v>OK</v>
      </c>
      <c r="F311" s="24">
        <f>IF(C311&gt;=0,C311/Constants!$B$5,"n/a")</f>
        <v>0.671875</v>
      </c>
      <c r="G311" s="23" t="str">
        <f>IF(AND(B311=Constants!$B$13,C311&lt;0),"Both error",IF(B311=C311,"Identical",IF(AND(B311=Constants!$B$13,C311&gt;=0),"Fixed in v1.0.0","Different")))</f>
        <v>Identical</v>
      </c>
      <c r="H311" s="7"/>
    </row>
    <row r="312" spans="1:8" x14ac:dyDescent="0.2">
      <c r="A312" s="20">
        <v>34.700000000000003</v>
      </c>
      <c r="B312" s="21">
        <v>215</v>
      </c>
      <c r="C312" s="21">
        <v>215</v>
      </c>
      <c r="D312" s="22">
        <f>IF(AND(A312&gt;=Constants!$B$8,A312&lt;=Constants!$B$9),Constants!$B$6+Constants!$B$7*(CEILING(A312,1)-Constants!$B$8),Constants!$B$11)</f>
        <v>215</v>
      </c>
      <c r="E312" s="23" t="str">
        <f t="shared" si="4"/>
        <v>OK</v>
      </c>
      <c r="F312" s="24">
        <f>IF(C312&gt;=0,C312/Constants!$B$5,"n/a")</f>
        <v>0.671875</v>
      </c>
      <c r="G312" s="23" t="str">
        <f>IF(AND(B312=Constants!$B$13,C312&lt;0),"Both error",IF(B312=C312,"Identical",IF(AND(B312=Constants!$B$13,C312&gt;=0),"Fixed in v1.0.0","Different")))</f>
        <v>Identical</v>
      </c>
      <c r="H312" s="7"/>
    </row>
    <row r="313" spans="1:8" x14ac:dyDescent="0.2">
      <c r="A313" s="20">
        <v>34.799999999999997</v>
      </c>
      <c r="B313" s="21">
        <v>215</v>
      </c>
      <c r="C313" s="21">
        <v>215</v>
      </c>
      <c r="D313" s="22">
        <f>IF(AND(A313&gt;=Constants!$B$8,A313&lt;=Constants!$B$9),Constants!$B$6+Constants!$B$7*(CEILING(A313,1)-Constants!$B$8),Constants!$B$11)</f>
        <v>215</v>
      </c>
      <c r="E313" s="23" t="str">
        <f t="shared" si="4"/>
        <v>OK</v>
      </c>
      <c r="F313" s="24">
        <f>IF(C313&gt;=0,C313/Constants!$B$5,"n/a")</f>
        <v>0.671875</v>
      </c>
      <c r="G313" s="23" t="str">
        <f>IF(AND(B313=Constants!$B$13,C313&lt;0),"Both error",IF(B313=C313,"Identical",IF(AND(B313=Constants!$B$13,C313&gt;=0),"Fixed in v1.0.0","Different")))</f>
        <v>Identical</v>
      </c>
      <c r="H313" s="7"/>
    </row>
    <row r="314" spans="1:8" x14ac:dyDescent="0.2">
      <c r="A314" s="20">
        <v>34.9</v>
      </c>
      <c r="B314" s="21">
        <v>215</v>
      </c>
      <c r="C314" s="21">
        <v>215</v>
      </c>
      <c r="D314" s="22">
        <f>IF(AND(A314&gt;=Constants!$B$8,A314&lt;=Constants!$B$9),Constants!$B$6+Constants!$B$7*(CEILING(A314,1)-Constants!$B$8),Constants!$B$11)</f>
        <v>215</v>
      </c>
      <c r="E314" s="23" t="str">
        <f t="shared" si="4"/>
        <v>OK</v>
      </c>
      <c r="F314" s="24">
        <f>IF(C314&gt;=0,C314/Constants!$B$5,"n/a")</f>
        <v>0.671875</v>
      </c>
      <c r="G314" s="23" t="str">
        <f>IF(AND(B314=Constants!$B$13,C314&lt;0),"Both error",IF(B314=C314,"Identical",IF(AND(B314=Constants!$B$13,C314&gt;=0),"Fixed in v1.0.0","Different")))</f>
        <v>Identical</v>
      </c>
      <c r="H314" s="7"/>
    </row>
    <row r="315" spans="1:8" x14ac:dyDescent="0.2">
      <c r="A315" s="20">
        <v>35</v>
      </c>
      <c r="B315" s="21">
        <v>215</v>
      </c>
      <c r="C315" s="21">
        <v>215</v>
      </c>
      <c r="D315" s="22">
        <f>IF(AND(A315&gt;=Constants!$B$8,A315&lt;=Constants!$B$9),Constants!$B$6+Constants!$B$7*(CEILING(A315,1)-Constants!$B$8),Constants!$B$11)</f>
        <v>215</v>
      </c>
      <c r="E315" s="23" t="str">
        <f t="shared" si="4"/>
        <v>OK</v>
      </c>
      <c r="F315" s="24">
        <f>IF(C315&gt;=0,C315/Constants!$B$5,"n/a")</f>
        <v>0.671875</v>
      </c>
      <c r="G315" s="23" t="str">
        <f>IF(AND(B315=Constants!$B$13,C315&lt;0),"Both error",IF(B315=C315,"Identical",IF(AND(B315=Constants!$B$13,C315&gt;=0),"Fixed in v1.0.0","Different")))</f>
        <v>Identical</v>
      </c>
      <c r="H315" s="7"/>
    </row>
    <row r="316" spans="1:8" x14ac:dyDescent="0.2">
      <c r="A316" s="20">
        <v>35.1</v>
      </c>
      <c r="B316" s="21">
        <v>222</v>
      </c>
      <c r="C316" s="21">
        <v>222</v>
      </c>
      <c r="D316" s="22">
        <f>IF(AND(A316&gt;=Constants!$B$8,A316&lt;=Constants!$B$9),Constants!$B$6+Constants!$B$7*(CEILING(A316,1)-Constants!$B$8),Constants!$B$11)</f>
        <v>222</v>
      </c>
      <c r="E316" s="23" t="str">
        <f t="shared" si="4"/>
        <v>OK</v>
      </c>
      <c r="F316" s="24">
        <f>IF(C316&gt;=0,C316/Constants!$B$5,"n/a")</f>
        <v>0.69374999999999998</v>
      </c>
      <c r="G316" s="23" t="str">
        <f>IF(AND(B316=Constants!$B$13,C316&lt;0),"Both error",IF(B316=C316,"Identical",IF(AND(B316=Constants!$B$13,C316&gt;=0),"Fixed in v1.0.0","Different")))</f>
        <v>Identical</v>
      </c>
      <c r="H316" s="7"/>
    </row>
    <row r="317" spans="1:8" x14ac:dyDescent="0.2">
      <c r="A317" s="20">
        <v>35.200000000000003</v>
      </c>
      <c r="B317" s="21">
        <v>222</v>
      </c>
      <c r="C317" s="21">
        <v>222</v>
      </c>
      <c r="D317" s="22">
        <f>IF(AND(A317&gt;=Constants!$B$8,A317&lt;=Constants!$B$9),Constants!$B$6+Constants!$B$7*(CEILING(A317,1)-Constants!$B$8),Constants!$B$11)</f>
        <v>222</v>
      </c>
      <c r="E317" s="23" t="str">
        <f t="shared" si="4"/>
        <v>OK</v>
      </c>
      <c r="F317" s="24">
        <f>IF(C317&gt;=0,C317/Constants!$B$5,"n/a")</f>
        <v>0.69374999999999998</v>
      </c>
      <c r="G317" s="23" t="str">
        <f>IF(AND(B317=Constants!$B$13,C317&lt;0),"Both error",IF(B317=C317,"Identical",IF(AND(B317=Constants!$B$13,C317&gt;=0),"Fixed in v1.0.0","Different")))</f>
        <v>Identical</v>
      </c>
      <c r="H317" s="7"/>
    </row>
    <row r="318" spans="1:8" x14ac:dyDescent="0.2">
      <c r="A318" s="20">
        <v>35.299999999999997</v>
      </c>
      <c r="B318" s="21">
        <v>222</v>
      </c>
      <c r="C318" s="21">
        <v>222</v>
      </c>
      <c r="D318" s="22">
        <f>IF(AND(A318&gt;=Constants!$B$8,A318&lt;=Constants!$B$9),Constants!$B$6+Constants!$B$7*(CEILING(A318,1)-Constants!$B$8),Constants!$B$11)</f>
        <v>222</v>
      </c>
      <c r="E318" s="23" t="str">
        <f t="shared" si="4"/>
        <v>OK</v>
      </c>
      <c r="F318" s="24">
        <f>IF(C318&gt;=0,C318/Constants!$B$5,"n/a")</f>
        <v>0.69374999999999998</v>
      </c>
      <c r="G318" s="23" t="str">
        <f>IF(AND(B318=Constants!$B$13,C318&lt;0),"Both error",IF(B318=C318,"Identical",IF(AND(B318=Constants!$B$13,C318&gt;=0),"Fixed in v1.0.0","Different")))</f>
        <v>Identical</v>
      </c>
      <c r="H318" s="7"/>
    </row>
    <row r="319" spans="1:8" x14ac:dyDescent="0.2">
      <c r="A319" s="20">
        <v>35.4</v>
      </c>
      <c r="B319" s="21">
        <v>222</v>
      </c>
      <c r="C319" s="21">
        <v>222</v>
      </c>
      <c r="D319" s="22">
        <f>IF(AND(A319&gt;=Constants!$B$8,A319&lt;=Constants!$B$9),Constants!$B$6+Constants!$B$7*(CEILING(A319,1)-Constants!$B$8),Constants!$B$11)</f>
        <v>222</v>
      </c>
      <c r="E319" s="23" t="str">
        <f t="shared" si="4"/>
        <v>OK</v>
      </c>
      <c r="F319" s="24">
        <f>IF(C319&gt;=0,C319/Constants!$B$5,"n/a")</f>
        <v>0.69374999999999998</v>
      </c>
      <c r="G319" s="23" t="str">
        <f>IF(AND(B319=Constants!$B$13,C319&lt;0),"Both error",IF(B319=C319,"Identical",IF(AND(B319=Constants!$B$13,C319&gt;=0),"Fixed in v1.0.0","Different")))</f>
        <v>Identical</v>
      </c>
      <c r="H319" s="7"/>
    </row>
    <row r="320" spans="1:8" x14ac:dyDescent="0.2">
      <c r="A320" s="20">
        <v>35.5</v>
      </c>
      <c r="B320" s="21">
        <v>222</v>
      </c>
      <c r="C320" s="21">
        <v>222</v>
      </c>
      <c r="D320" s="22">
        <f>IF(AND(A320&gt;=Constants!$B$8,A320&lt;=Constants!$B$9),Constants!$B$6+Constants!$B$7*(CEILING(A320,1)-Constants!$B$8),Constants!$B$11)</f>
        <v>222</v>
      </c>
      <c r="E320" s="23" t="str">
        <f t="shared" si="4"/>
        <v>OK</v>
      </c>
      <c r="F320" s="24">
        <f>IF(C320&gt;=0,C320/Constants!$B$5,"n/a")</f>
        <v>0.69374999999999998</v>
      </c>
      <c r="G320" s="23" t="str">
        <f>IF(AND(B320=Constants!$B$13,C320&lt;0),"Both error",IF(B320=C320,"Identical",IF(AND(B320=Constants!$B$13,C320&gt;=0),"Fixed in v1.0.0","Different")))</f>
        <v>Identical</v>
      </c>
      <c r="H320" s="7"/>
    </row>
    <row r="321" spans="1:8" x14ac:dyDescent="0.2">
      <c r="A321" s="20">
        <v>35.6</v>
      </c>
      <c r="B321" s="21">
        <v>222</v>
      </c>
      <c r="C321" s="21">
        <v>222</v>
      </c>
      <c r="D321" s="22">
        <f>IF(AND(A321&gt;=Constants!$B$8,A321&lt;=Constants!$B$9),Constants!$B$6+Constants!$B$7*(CEILING(A321,1)-Constants!$B$8),Constants!$B$11)</f>
        <v>222</v>
      </c>
      <c r="E321" s="23" t="str">
        <f t="shared" si="4"/>
        <v>OK</v>
      </c>
      <c r="F321" s="24">
        <f>IF(C321&gt;=0,C321/Constants!$B$5,"n/a")</f>
        <v>0.69374999999999998</v>
      </c>
      <c r="G321" s="23" t="str">
        <f>IF(AND(B321=Constants!$B$13,C321&lt;0),"Both error",IF(B321=C321,"Identical",IF(AND(B321=Constants!$B$13,C321&gt;=0),"Fixed in v1.0.0","Different")))</f>
        <v>Identical</v>
      </c>
      <c r="H321" s="7"/>
    </row>
    <row r="322" spans="1:8" x14ac:dyDescent="0.2">
      <c r="A322" s="20">
        <v>35.700000000000003</v>
      </c>
      <c r="B322" s="21">
        <v>222</v>
      </c>
      <c r="C322" s="21">
        <v>222</v>
      </c>
      <c r="D322" s="22">
        <f>IF(AND(A322&gt;=Constants!$B$8,A322&lt;=Constants!$B$9),Constants!$B$6+Constants!$B$7*(CEILING(A322,1)-Constants!$B$8),Constants!$B$11)</f>
        <v>222</v>
      </c>
      <c r="E322" s="23" t="str">
        <f t="shared" si="4"/>
        <v>OK</v>
      </c>
      <c r="F322" s="24">
        <f>IF(C322&gt;=0,C322/Constants!$B$5,"n/a")</f>
        <v>0.69374999999999998</v>
      </c>
      <c r="G322" s="23" t="str">
        <f>IF(AND(B322=Constants!$B$13,C322&lt;0),"Both error",IF(B322=C322,"Identical",IF(AND(B322=Constants!$B$13,C322&gt;=0),"Fixed in v1.0.0","Different")))</f>
        <v>Identical</v>
      </c>
      <c r="H322" s="7"/>
    </row>
    <row r="323" spans="1:8" x14ac:dyDescent="0.2">
      <c r="A323" s="20">
        <v>35.799999999999997</v>
      </c>
      <c r="B323" s="21">
        <v>222</v>
      </c>
      <c r="C323" s="21">
        <v>222</v>
      </c>
      <c r="D323" s="22">
        <f>IF(AND(A323&gt;=Constants!$B$8,A323&lt;=Constants!$B$9),Constants!$B$6+Constants!$B$7*(CEILING(A323,1)-Constants!$B$8),Constants!$B$11)</f>
        <v>222</v>
      </c>
      <c r="E323" s="23" t="str">
        <f t="shared" si="4"/>
        <v>OK</v>
      </c>
      <c r="F323" s="24">
        <f>IF(C323&gt;=0,C323/Constants!$B$5,"n/a")</f>
        <v>0.69374999999999998</v>
      </c>
      <c r="G323" s="23" t="str">
        <f>IF(AND(B323=Constants!$B$13,C323&lt;0),"Both error",IF(B323=C323,"Identical",IF(AND(B323=Constants!$B$13,C323&gt;=0),"Fixed in v1.0.0","Different")))</f>
        <v>Identical</v>
      </c>
      <c r="H323" s="7"/>
    </row>
    <row r="324" spans="1:8" x14ac:dyDescent="0.2">
      <c r="A324" s="20">
        <v>35.9</v>
      </c>
      <c r="B324" s="21">
        <v>222</v>
      </c>
      <c r="C324" s="21">
        <v>222</v>
      </c>
      <c r="D324" s="22">
        <f>IF(AND(A324&gt;=Constants!$B$8,A324&lt;=Constants!$B$9),Constants!$B$6+Constants!$B$7*(CEILING(A324,1)-Constants!$B$8),Constants!$B$11)</f>
        <v>222</v>
      </c>
      <c r="E324" s="23" t="str">
        <f t="shared" si="4"/>
        <v>OK</v>
      </c>
      <c r="F324" s="24">
        <f>IF(C324&gt;=0,C324/Constants!$B$5,"n/a")</f>
        <v>0.69374999999999998</v>
      </c>
      <c r="G324" s="23" t="str">
        <f>IF(AND(B324=Constants!$B$13,C324&lt;0),"Both error",IF(B324=C324,"Identical",IF(AND(B324=Constants!$B$13,C324&gt;=0),"Fixed in v1.0.0","Different")))</f>
        <v>Identical</v>
      </c>
      <c r="H324" s="7"/>
    </row>
    <row r="325" spans="1:8" x14ac:dyDescent="0.2">
      <c r="A325" s="20">
        <v>36</v>
      </c>
      <c r="B325" s="21">
        <v>222</v>
      </c>
      <c r="C325" s="21">
        <v>222</v>
      </c>
      <c r="D325" s="22">
        <f>IF(AND(A325&gt;=Constants!$B$8,A325&lt;=Constants!$B$9),Constants!$B$6+Constants!$B$7*(CEILING(A325,1)-Constants!$B$8),Constants!$B$11)</f>
        <v>222</v>
      </c>
      <c r="E325" s="23" t="str">
        <f t="shared" ref="E325:E388" si="5">IF(C325=D325,"OK","CHECK")</f>
        <v>OK</v>
      </c>
      <c r="F325" s="24">
        <f>IF(C325&gt;=0,C325/Constants!$B$5,"n/a")</f>
        <v>0.69374999999999998</v>
      </c>
      <c r="G325" s="23" t="str">
        <f>IF(AND(B325=Constants!$B$13,C325&lt;0),"Both error",IF(B325=C325,"Identical",IF(AND(B325=Constants!$B$13,C325&gt;=0),"Fixed in v1.0.0","Different")))</f>
        <v>Identical</v>
      </c>
      <c r="H325" s="7"/>
    </row>
    <row r="326" spans="1:8" x14ac:dyDescent="0.2">
      <c r="A326" s="20">
        <v>36.1</v>
      </c>
      <c r="B326" s="21">
        <v>229</v>
      </c>
      <c r="C326" s="21">
        <v>229</v>
      </c>
      <c r="D326" s="22">
        <f>IF(AND(A326&gt;=Constants!$B$8,A326&lt;=Constants!$B$9),Constants!$B$6+Constants!$B$7*(CEILING(A326,1)-Constants!$B$8),Constants!$B$11)</f>
        <v>229</v>
      </c>
      <c r="E326" s="23" t="str">
        <f t="shared" si="5"/>
        <v>OK</v>
      </c>
      <c r="F326" s="24">
        <f>IF(C326&gt;=0,C326/Constants!$B$5,"n/a")</f>
        <v>0.71562499999999996</v>
      </c>
      <c r="G326" s="23" t="str">
        <f>IF(AND(B326=Constants!$B$13,C326&lt;0),"Both error",IF(B326=C326,"Identical",IF(AND(B326=Constants!$B$13,C326&gt;=0),"Fixed in v1.0.0","Different")))</f>
        <v>Identical</v>
      </c>
      <c r="H326" s="7"/>
    </row>
    <row r="327" spans="1:8" x14ac:dyDescent="0.2">
      <c r="A327" s="20">
        <v>36.200000000000003</v>
      </c>
      <c r="B327" s="21">
        <v>229</v>
      </c>
      <c r="C327" s="21">
        <v>229</v>
      </c>
      <c r="D327" s="22">
        <f>IF(AND(A327&gt;=Constants!$B$8,A327&lt;=Constants!$B$9),Constants!$B$6+Constants!$B$7*(CEILING(A327,1)-Constants!$B$8),Constants!$B$11)</f>
        <v>229</v>
      </c>
      <c r="E327" s="23" t="str">
        <f t="shared" si="5"/>
        <v>OK</v>
      </c>
      <c r="F327" s="24">
        <f>IF(C327&gt;=0,C327/Constants!$B$5,"n/a")</f>
        <v>0.71562499999999996</v>
      </c>
      <c r="G327" s="23" t="str">
        <f>IF(AND(B327=Constants!$B$13,C327&lt;0),"Both error",IF(B327=C327,"Identical",IF(AND(B327=Constants!$B$13,C327&gt;=0),"Fixed in v1.0.0","Different")))</f>
        <v>Identical</v>
      </c>
      <c r="H327" s="7"/>
    </row>
    <row r="328" spans="1:8" x14ac:dyDescent="0.2">
      <c r="A328" s="20">
        <v>36.299999999999997</v>
      </c>
      <c r="B328" s="21">
        <v>229</v>
      </c>
      <c r="C328" s="21">
        <v>229</v>
      </c>
      <c r="D328" s="22">
        <f>IF(AND(A328&gt;=Constants!$B$8,A328&lt;=Constants!$B$9),Constants!$B$6+Constants!$B$7*(CEILING(A328,1)-Constants!$B$8),Constants!$B$11)</f>
        <v>229</v>
      </c>
      <c r="E328" s="23" t="str">
        <f t="shared" si="5"/>
        <v>OK</v>
      </c>
      <c r="F328" s="24">
        <f>IF(C328&gt;=0,C328/Constants!$B$5,"n/a")</f>
        <v>0.71562499999999996</v>
      </c>
      <c r="G328" s="23" t="str">
        <f>IF(AND(B328=Constants!$B$13,C328&lt;0),"Both error",IF(B328=C328,"Identical",IF(AND(B328=Constants!$B$13,C328&gt;=0),"Fixed in v1.0.0","Different")))</f>
        <v>Identical</v>
      </c>
      <c r="H328" s="7"/>
    </row>
    <row r="329" spans="1:8" x14ac:dyDescent="0.2">
      <c r="A329" s="20">
        <v>36.4</v>
      </c>
      <c r="B329" s="21">
        <v>229</v>
      </c>
      <c r="C329" s="21">
        <v>229</v>
      </c>
      <c r="D329" s="22">
        <f>IF(AND(A329&gt;=Constants!$B$8,A329&lt;=Constants!$B$9),Constants!$B$6+Constants!$B$7*(CEILING(A329,1)-Constants!$B$8),Constants!$B$11)</f>
        <v>229</v>
      </c>
      <c r="E329" s="23" t="str">
        <f t="shared" si="5"/>
        <v>OK</v>
      </c>
      <c r="F329" s="24">
        <f>IF(C329&gt;=0,C329/Constants!$B$5,"n/a")</f>
        <v>0.71562499999999996</v>
      </c>
      <c r="G329" s="23" t="str">
        <f>IF(AND(B329=Constants!$B$13,C329&lt;0),"Both error",IF(B329=C329,"Identical",IF(AND(B329=Constants!$B$13,C329&gt;=0),"Fixed in v1.0.0","Different")))</f>
        <v>Identical</v>
      </c>
      <c r="H329" s="7"/>
    </row>
    <row r="330" spans="1:8" x14ac:dyDescent="0.2">
      <c r="A330" s="20">
        <v>36.5</v>
      </c>
      <c r="B330" s="21">
        <v>229</v>
      </c>
      <c r="C330" s="21">
        <v>229</v>
      </c>
      <c r="D330" s="22">
        <f>IF(AND(A330&gt;=Constants!$B$8,A330&lt;=Constants!$B$9),Constants!$B$6+Constants!$B$7*(CEILING(A330,1)-Constants!$B$8),Constants!$B$11)</f>
        <v>229</v>
      </c>
      <c r="E330" s="23" t="str">
        <f t="shared" si="5"/>
        <v>OK</v>
      </c>
      <c r="F330" s="24">
        <f>IF(C330&gt;=0,C330/Constants!$B$5,"n/a")</f>
        <v>0.71562499999999996</v>
      </c>
      <c r="G330" s="23" t="str">
        <f>IF(AND(B330=Constants!$B$13,C330&lt;0),"Both error",IF(B330=C330,"Identical",IF(AND(B330=Constants!$B$13,C330&gt;=0),"Fixed in v1.0.0","Different")))</f>
        <v>Identical</v>
      </c>
      <c r="H330" s="7"/>
    </row>
    <row r="331" spans="1:8" x14ac:dyDescent="0.2">
      <c r="A331" s="20">
        <v>36.6</v>
      </c>
      <c r="B331" s="21">
        <v>229</v>
      </c>
      <c r="C331" s="21">
        <v>229</v>
      </c>
      <c r="D331" s="22">
        <f>IF(AND(A331&gt;=Constants!$B$8,A331&lt;=Constants!$B$9),Constants!$B$6+Constants!$B$7*(CEILING(A331,1)-Constants!$B$8),Constants!$B$11)</f>
        <v>229</v>
      </c>
      <c r="E331" s="23" t="str">
        <f t="shared" si="5"/>
        <v>OK</v>
      </c>
      <c r="F331" s="24">
        <f>IF(C331&gt;=0,C331/Constants!$B$5,"n/a")</f>
        <v>0.71562499999999996</v>
      </c>
      <c r="G331" s="23" t="str">
        <f>IF(AND(B331=Constants!$B$13,C331&lt;0),"Both error",IF(B331=C331,"Identical",IF(AND(B331=Constants!$B$13,C331&gt;=0),"Fixed in v1.0.0","Different")))</f>
        <v>Identical</v>
      </c>
      <c r="H331" s="7"/>
    </row>
    <row r="332" spans="1:8" x14ac:dyDescent="0.2">
      <c r="A332" s="20">
        <v>36.700000000000003</v>
      </c>
      <c r="B332" s="21">
        <v>229</v>
      </c>
      <c r="C332" s="21">
        <v>229</v>
      </c>
      <c r="D332" s="22">
        <f>IF(AND(A332&gt;=Constants!$B$8,A332&lt;=Constants!$B$9),Constants!$B$6+Constants!$B$7*(CEILING(A332,1)-Constants!$B$8),Constants!$B$11)</f>
        <v>229</v>
      </c>
      <c r="E332" s="23" t="str">
        <f t="shared" si="5"/>
        <v>OK</v>
      </c>
      <c r="F332" s="24">
        <f>IF(C332&gt;=0,C332/Constants!$B$5,"n/a")</f>
        <v>0.71562499999999996</v>
      </c>
      <c r="G332" s="23" t="str">
        <f>IF(AND(B332=Constants!$B$13,C332&lt;0),"Both error",IF(B332=C332,"Identical",IF(AND(B332=Constants!$B$13,C332&gt;=0),"Fixed in v1.0.0","Different")))</f>
        <v>Identical</v>
      </c>
      <c r="H332" s="7"/>
    </row>
    <row r="333" spans="1:8" x14ac:dyDescent="0.2">
      <c r="A333" s="20">
        <v>36.799999999999997</v>
      </c>
      <c r="B333" s="21">
        <v>229</v>
      </c>
      <c r="C333" s="21">
        <v>229</v>
      </c>
      <c r="D333" s="22">
        <f>IF(AND(A333&gt;=Constants!$B$8,A333&lt;=Constants!$B$9),Constants!$B$6+Constants!$B$7*(CEILING(A333,1)-Constants!$B$8),Constants!$B$11)</f>
        <v>229</v>
      </c>
      <c r="E333" s="23" t="str">
        <f t="shared" si="5"/>
        <v>OK</v>
      </c>
      <c r="F333" s="24">
        <f>IF(C333&gt;=0,C333/Constants!$B$5,"n/a")</f>
        <v>0.71562499999999996</v>
      </c>
      <c r="G333" s="23" t="str">
        <f>IF(AND(B333=Constants!$B$13,C333&lt;0),"Both error",IF(B333=C333,"Identical",IF(AND(B333=Constants!$B$13,C333&gt;=0),"Fixed in v1.0.0","Different")))</f>
        <v>Identical</v>
      </c>
      <c r="H333" s="7"/>
    </row>
    <row r="334" spans="1:8" x14ac:dyDescent="0.2">
      <c r="A334" s="20">
        <v>36.9</v>
      </c>
      <c r="B334" s="21">
        <v>229</v>
      </c>
      <c r="C334" s="21">
        <v>229</v>
      </c>
      <c r="D334" s="22">
        <f>IF(AND(A334&gt;=Constants!$B$8,A334&lt;=Constants!$B$9),Constants!$B$6+Constants!$B$7*(CEILING(A334,1)-Constants!$B$8),Constants!$B$11)</f>
        <v>229</v>
      </c>
      <c r="E334" s="23" t="str">
        <f t="shared" si="5"/>
        <v>OK</v>
      </c>
      <c r="F334" s="24">
        <f>IF(C334&gt;=0,C334/Constants!$B$5,"n/a")</f>
        <v>0.71562499999999996</v>
      </c>
      <c r="G334" s="23" t="str">
        <f>IF(AND(B334=Constants!$B$13,C334&lt;0),"Both error",IF(B334=C334,"Identical",IF(AND(B334=Constants!$B$13,C334&gt;=0),"Fixed in v1.0.0","Different")))</f>
        <v>Identical</v>
      </c>
      <c r="H334" s="7"/>
    </row>
    <row r="335" spans="1:8" x14ac:dyDescent="0.2">
      <c r="A335" s="20">
        <v>37</v>
      </c>
      <c r="B335" s="21">
        <v>229</v>
      </c>
      <c r="C335" s="21">
        <v>229</v>
      </c>
      <c r="D335" s="22">
        <f>IF(AND(A335&gt;=Constants!$B$8,A335&lt;=Constants!$B$9),Constants!$B$6+Constants!$B$7*(CEILING(A335,1)-Constants!$B$8),Constants!$B$11)</f>
        <v>229</v>
      </c>
      <c r="E335" s="23" t="str">
        <f t="shared" si="5"/>
        <v>OK</v>
      </c>
      <c r="F335" s="24">
        <f>IF(C335&gt;=0,C335/Constants!$B$5,"n/a")</f>
        <v>0.71562499999999996</v>
      </c>
      <c r="G335" s="23" t="str">
        <f>IF(AND(B335=Constants!$B$13,C335&lt;0),"Both error",IF(B335=C335,"Identical",IF(AND(B335=Constants!$B$13,C335&gt;=0),"Fixed in v1.0.0","Different")))</f>
        <v>Identical</v>
      </c>
      <c r="H335" s="7"/>
    </row>
    <row r="336" spans="1:8" x14ac:dyDescent="0.2">
      <c r="A336" s="20">
        <v>37.1</v>
      </c>
      <c r="B336" s="21">
        <v>236</v>
      </c>
      <c r="C336" s="21">
        <v>236</v>
      </c>
      <c r="D336" s="22">
        <f>IF(AND(A336&gt;=Constants!$B$8,A336&lt;=Constants!$B$9),Constants!$B$6+Constants!$B$7*(CEILING(A336,1)-Constants!$B$8),Constants!$B$11)</f>
        <v>236</v>
      </c>
      <c r="E336" s="23" t="str">
        <f t="shared" si="5"/>
        <v>OK</v>
      </c>
      <c r="F336" s="24">
        <f>IF(C336&gt;=0,C336/Constants!$B$5,"n/a")</f>
        <v>0.73750000000000004</v>
      </c>
      <c r="G336" s="23" t="str">
        <f>IF(AND(B336=Constants!$B$13,C336&lt;0),"Both error",IF(B336=C336,"Identical",IF(AND(B336=Constants!$B$13,C336&gt;=0),"Fixed in v1.0.0","Different")))</f>
        <v>Identical</v>
      </c>
      <c r="H336" s="7"/>
    </row>
    <row r="337" spans="1:8" x14ac:dyDescent="0.2">
      <c r="A337" s="20">
        <v>37.200000000000003</v>
      </c>
      <c r="B337" s="21">
        <v>236</v>
      </c>
      <c r="C337" s="21">
        <v>236</v>
      </c>
      <c r="D337" s="22">
        <f>IF(AND(A337&gt;=Constants!$B$8,A337&lt;=Constants!$B$9),Constants!$B$6+Constants!$B$7*(CEILING(A337,1)-Constants!$B$8),Constants!$B$11)</f>
        <v>236</v>
      </c>
      <c r="E337" s="23" t="str">
        <f t="shared" si="5"/>
        <v>OK</v>
      </c>
      <c r="F337" s="24">
        <f>IF(C337&gt;=0,C337/Constants!$B$5,"n/a")</f>
        <v>0.73750000000000004</v>
      </c>
      <c r="G337" s="23" t="str">
        <f>IF(AND(B337=Constants!$B$13,C337&lt;0),"Both error",IF(B337=C337,"Identical",IF(AND(B337=Constants!$B$13,C337&gt;=0),"Fixed in v1.0.0","Different")))</f>
        <v>Identical</v>
      </c>
      <c r="H337" s="7"/>
    </row>
    <row r="338" spans="1:8" x14ac:dyDescent="0.2">
      <c r="A338" s="20">
        <v>37.299999999999997</v>
      </c>
      <c r="B338" s="21">
        <v>236</v>
      </c>
      <c r="C338" s="21">
        <v>236</v>
      </c>
      <c r="D338" s="22">
        <f>IF(AND(A338&gt;=Constants!$B$8,A338&lt;=Constants!$B$9),Constants!$B$6+Constants!$B$7*(CEILING(A338,1)-Constants!$B$8),Constants!$B$11)</f>
        <v>236</v>
      </c>
      <c r="E338" s="23" t="str">
        <f t="shared" si="5"/>
        <v>OK</v>
      </c>
      <c r="F338" s="24">
        <f>IF(C338&gt;=0,C338/Constants!$B$5,"n/a")</f>
        <v>0.73750000000000004</v>
      </c>
      <c r="G338" s="23" t="str">
        <f>IF(AND(B338=Constants!$B$13,C338&lt;0),"Both error",IF(B338=C338,"Identical",IF(AND(B338=Constants!$B$13,C338&gt;=0),"Fixed in v1.0.0","Different")))</f>
        <v>Identical</v>
      </c>
      <c r="H338" s="7"/>
    </row>
    <row r="339" spans="1:8" x14ac:dyDescent="0.2">
      <c r="A339" s="20">
        <v>37.4</v>
      </c>
      <c r="B339" s="21">
        <v>236</v>
      </c>
      <c r="C339" s="21">
        <v>236</v>
      </c>
      <c r="D339" s="22">
        <f>IF(AND(A339&gt;=Constants!$B$8,A339&lt;=Constants!$B$9),Constants!$B$6+Constants!$B$7*(CEILING(A339,1)-Constants!$B$8),Constants!$B$11)</f>
        <v>236</v>
      </c>
      <c r="E339" s="23" t="str">
        <f t="shared" si="5"/>
        <v>OK</v>
      </c>
      <c r="F339" s="24">
        <f>IF(C339&gt;=0,C339/Constants!$B$5,"n/a")</f>
        <v>0.73750000000000004</v>
      </c>
      <c r="G339" s="23" t="str">
        <f>IF(AND(B339=Constants!$B$13,C339&lt;0),"Both error",IF(B339=C339,"Identical",IF(AND(B339=Constants!$B$13,C339&gt;=0),"Fixed in v1.0.0","Different")))</f>
        <v>Identical</v>
      </c>
      <c r="H339" s="7"/>
    </row>
    <row r="340" spans="1:8" x14ac:dyDescent="0.2">
      <c r="A340" s="20">
        <v>37.5</v>
      </c>
      <c r="B340" s="21">
        <v>236</v>
      </c>
      <c r="C340" s="21">
        <v>236</v>
      </c>
      <c r="D340" s="22">
        <f>IF(AND(A340&gt;=Constants!$B$8,A340&lt;=Constants!$B$9),Constants!$B$6+Constants!$B$7*(CEILING(A340,1)-Constants!$B$8),Constants!$B$11)</f>
        <v>236</v>
      </c>
      <c r="E340" s="23" t="str">
        <f t="shared" si="5"/>
        <v>OK</v>
      </c>
      <c r="F340" s="24">
        <f>IF(C340&gt;=0,C340/Constants!$B$5,"n/a")</f>
        <v>0.73750000000000004</v>
      </c>
      <c r="G340" s="23" t="str">
        <f>IF(AND(B340=Constants!$B$13,C340&lt;0),"Both error",IF(B340=C340,"Identical",IF(AND(B340=Constants!$B$13,C340&gt;=0),"Fixed in v1.0.0","Different")))</f>
        <v>Identical</v>
      </c>
      <c r="H340" s="7"/>
    </row>
    <row r="341" spans="1:8" x14ac:dyDescent="0.2">
      <c r="A341" s="20">
        <v>37.6</v>
      </c>
      <c r="B341" s="21">
        <v>236</v>
      </c>
      <c r="C341" s="21">
        <v>236</v>
      </c>
      <c r="D341" s="22">
        <f>IF(AND(A341&gt;=Constants!$B$8,A341&lt;=Constants!$B$9),Constants!$B$6+Constants!$B$7*(CEILING(A341,1)-Constants!$B$8),Constants!$B$11)</f>
        <v>236</v>
      </c>
      <c r="E341" s="23" t="str">
        <f t="shared" si="5"/>
        <v>OK</v>
      </c>
      <c r="F341" s="24">
        <f>IF(C341&gt;=0,C341/Constants!$B$5,"n/a")</f>
        <v>0.73750000000000004</v>
      </c>
      <c r="G341" s="23" t="str">
        <f>IF(AND(B341=Constants!$B$13,C341&lt;0),"Both error",IF(B341=C341,"Identical",IF(AND(B341=Constants!$B$13,C341&gt;=0),"Fixed in v1.0.0","Different")))</f>
        <v>Identical</v>
      </c>
      <c r="H341" s="7"/>
    </row>
    <row r="342" spans="1:8" x14ac:dyDescent="0.2">
      <c r="A342" s="20">
        <v>37.700000000000003</v>
      </c>
      <c r="B342" s="21">
        <v>236</v>
      </c>
      <c r="C342" s="21">
        <v>236</v>
      </c>
      <c r="D342" s="22">
        <f>IF(AND(A342&gt;=Constants!$B$8,A342&lt;=Constants!$B$9),Constants!$B$6+Constants!$B$7*(CEILING(A342,1)-Constants!$B$8),Constants!$B$11)</f>
        <v>236</v>
      </c>
      <c r="E342" s="23" t="str">
        <f t="shared" si="5"/>
        <v>OK</v>
      </c>
      <c r="F342" s="24">
        <f>IF(C342&gt;=0,C342/Constants!$B$5,"n/a")</f>
        <v>0.73750000000000004</v>
      </c>
      <c r="G342" s="23" t="str">
        <f>IF(AND(B342=Constants!$B$13,C342&lt;0),"Both error",IF(B342=C342,"Identical",IF(AND(B342=Constants!$B$13,C342&gt;=0),"Fixed in v1.0.0","Different")))</f>
        <v>Identical</v>
      </c>
      <c r="H342" s="7"/>
    </row>
    <row r="343" spans="1:8" x14ac:dyDescent="0.2">
      <c r="A343" s="20">
        <v>37.799999999999997</v>
      </c>
      <c r="B343" s="21">
        <v>236</v>
      </c>
      <c r="C343" s="21">
        <v>236</v>
      </c>
      <c r="D343" s="22">
        <f>IF(AND(A343&gt;=Constants!$B$8,A343&lt;=Constants!$B$9),Constants!$B$6+Constants!$B$7*(CEILING(A343,1)-Constants!$B$8),Constants!$B$11)</f>
        <v>236</v>
      </c>
      <c r="E343" s="23" t="str">
        <f t="shared" si="5"/>
        <v>OK</v>
      </c>
      <c r="F343" s="24">
        <f>IF(C343&gt;=0,C343/Constants!$B$5,"n/a")</f>
        <v>0.73750000000000004</v>
      </c>
      <c r="G343" s="23" t="str">
        <f>IF(AND(B343=Constants!$B$13,C343&lt;0),"Both error",IF(B343=C343,"Identical",IF(AND(B343=Constants!$B$13,C343&gt;=0),"Fixed in v1.0.0","Different")))</f>
        <v>Identical</v>
      </c>
      <c r="H343" s="7"/>
    </row>
    <row r="344" spans="1:8" x14ac:dyDescent="0.2">
      <c r="A344" s="20">
        <v>37.9</v>
      </c>
      <c r="B344" s="21">
        <v>236</v>
      </c>
      <c r="C344" s="21">
        <v>236</v>
      </c>
      <c r="D344" s="22">
        <f>IF(AND(A344&gt;=Constants!$B$8,A344&lt;=Constants!$B$9),Constants!$B$6+Constants!$B$7*(CEILING(A344,1)-Constants!$B$8),Constants!$B$11)</f>
        <v>236</v>
      </c>
      <c r="E344" s="23" t="str">
        <f t="shared" si="5"/>
        <v>OK</v>
      </c>
      <c r="F344" s="24">
        <f>IF(C344&gt;=0,C344/Constants!$B$5,"n/a")</f>
        <v>0.73750000000000004</v>
      </c>
      <c r="G344" s="23" t="str">
        <f>IF(AND(B344=Constants!$B$13,C344&lt;0),"Both error",IF(B344=C344,"Identical",IF(AND(B344=Constants!$B$13,C344&gt;=0),"Fixed in v1.0.0","Different")))</f>
        <v>Identical</v>
      </c>
      <c r="H344" s="7"/>
    </row>
    <row r="345" spans="1:8" x14ac:dyDescent="0.2">
      <c r="A345" s="20">
        <v>38</v>
      </c>
      <c r="B345" s="21">
        <v>236</v>
      </c>
      <c r="C345" s="21">
        <v>236</v>
      </c>
      <c r="D345" s="22">
        <f>IF(AND(A345&gt;=Constants!$B$8,A345&lt;=Constants!$B$9),Constants!$B$6+Constants!$B$7*(CEILING(A345,1)-Constants!$B$8),Constants!$B$11)</f>
        <v>236</v>
      </c>
      <c r="E345" s="23" t="str">
        <f t="shared" si="5"/>
        <v>OK</v>
      </c>
      <c r="F345" s="24">
        <f>IF(C345&gt;=0,C345/Constants!$B$5,"n/a")</f>
        <v>0.73750000000000004</v>
      </c>
      <c r="G345" s="23" t="str">
        <f>IF(AND(B345=Constants!$B$13,C345&lt;0),"Both error",IF(B345=C345,"Identical",IF(AND(B345=Constants!$B$13,C345&gt;=0),"Fixed in v1.0.0","Different")))</f>
        <v>Identical</v>
      </c>
      <c r="H345" s="7"/>
    </row>
    <row r="346" spans="1:8" x14ac:dyDescent="0.2">
      <c r="A346" s="20">
        <v>38.1</v>
      </c>
      <c r="B346" s="21">
        <v>243</v>
      </c>
      <c r="C346" s="21">
        <v>243</v>
      </c>
      <c r="D346" s="22">
        <f>IF(AND(A346&gt;=Constants!$B$8,A346&lt;=Constants!$B$9),Constants!$B$6+Constants!$B$7*(CEILING(A346,1)-Constants!$B$8),Constants!$B$11)</f>
        <v>243</v>
      </c>
      <c r="E346" s="23" t="str">
        <f t="shared" si="5"/>
        <v>OK</v>
      </c>
      <c r="F346" s="24">
        <f>IF(C346&gt;=0,C346/Constants!$B$5,"n/a")</f>
        <v>0.75937500000000002</v>
      </c>
      <c r="G346" s="23" t="str">
        <f>IF(AND(B346=Constants!$B$13,C346&lt;0),"Both error",IF(B346=C346,"Identical",IF(AND(B346=Constants!$B$13,C346&gt;=0),"Fixed in v1.0.0","Different")))</f>
        <v>Identical</v>
      </c>
      <c r="H346" s="7"/>
    </row>
    <row r="347" spans="1:8" x14ac:dyDescent="0.2">
      <c r="A347" s="20">
        <v>38.200000000000003</v>
      </c>
      <c r="B347" s="21">
        <v>243</v>
      </c>
      <c r="C347" s="21">
        <v>243</v>
      </c>
      <c r="D347" s="22">
        <f>IF(AND(A347&gt;=Constants!$B$8,A347&lt;=Constants!$B$9),Constants!$B$6+Constants!$B$7*(CEILING(A347,1)-Constants!$B$8),Constants!$B$11)</f>
        <v>243</v>
      </c>
      <c r="E347" s="23" t="str">
        <f t="shared" si="5"/>
        <v>OK</v>
      </c>
      <c r="F347" s="24">
        <f>IF(C347&gt;=0,C347/Constants!$B$5,"n/a")</f>
        <v>0.75937500000000002</v>
      </c>
      <c r="G347" s="23" t="str">
        <f>IF(AND(B347=Constants!$B$13,C347&lt;0),"Both error",IF(B347=C347,"Identical",IF(AND(B347=Constants!$B$13,C347&gt;=0),"Fixed in v1.0.0","Different")))</f>
        <v>Identical</v>
      </c>
      <c r="H347" s="7"/>
    </row>
    <row r="348" spans="1:8" x14ac:dyDescent="0.2">
      <c r="A348" s="20">
        <v>38.299999999999997</v>
      </c>
      <c r="B348" s="21">
        <v>243</v>
      </c>
      <c r="C348" s="21">
        <v>243</v>
      </c>
      <c r="D348" s="22">
        <f>IF(AND(A348&gt;=Constants!$B$8,A348&lt;=Constants!$B$9),Constants!$B$6+Constants!$B$7*(CEILING(A348,1)-Constants!$B$8),Constants!$B$11)</f>
        <v>243</v>
      </c>
      <c r="E348" s="23" t="str">
        <f t="shared" si="5"/>
        <v>OK</v>
      </c>
      <c r="F348" s="24">
        <f>IF(C348&gt;=0,C348/Constants!$B$5,"n/a")</f>
        <v>0.75937500000000002</v>
      </c>
      <c r="G348" s="23" t="str">
        <f>IF(AND(B348=Constants!$B$13,C348&lt;0),"Both error",IF(B348=C348,"Identical",IF(AND(B348=Constants!$B$13,C348&gt;=0),"Fixed in v1.0.0","Different")))</f>
        <v>Identical</v>
      </c>
      <c r="H348" s="7"/>
    </row>
    <row r="349" spans="1:8" x14ac:dyDescent="0.2">
      <c r="A349" s="20">
        <v>38.4</v>
      </c>
      <c r="B349" s="21">
        <v>243</v>
      </c>
      <c r="C349" s="21">
        <v>243</v>
      </c>
      <c r="D349" s="22">
        <f>IF(AND(A349&gt;=Constants!$B$8,A349&lt;=Constants!$B$9),Constants!$B$6+Constants!$B$7*(CEILING(A349,1)-Constants!$B$8),Constants!$B$11)</f>
        <v>243</v>
      </c>
      <c r="E349" s="23" t="str">
        <f t="shared" si="5"/>
        <v>OK</v>
      </c>
      <c r="F349" s="24">
        <f>IF(C349&gt;=0,C349/Constants!$B$5,"n/a")</f>
        <v>0.75937500000000002</v>
      </c>
      <c r="G349" s="23" t="str">
        <f>IF(AND(B349=Constants!$B$13,C349&lt;0),"Both error",IF(B349=C349,"Identical",IF(AND(B349=Constants!$B$13,C349&gt;=0),"Fixed in v1.0.0","Different")))</f>
        <v>Identical</v>
      </c>
      <c r="H349" s="7"/>
    </row>
    <row r="350" spans="1:8" x14ac:dyDescent="0.2">
      <c r="A350" s="20">
        <v>38.5</v>
      </c>
      <c r="B350" s="21">
        <v>243</v>
      </c>
      <c r="C350" s="21">
        <v>243</v>
      </c>
      <c r="D350" s="22">
        <f>IF(AND(A350&gt;=Constants!$B$8,A350&lt;=Constants!$B$9),Constants!$B$6+Constants!$B$7*(CEILING(A350,1)-Constants!$B$8),Constants!$B$11)</f>
        <v>243</v>
      </c>
      <c r="E350" s="23" t="str">
        <f t="shared" si="5"/>
        <v>OK</v>
      </c>
      <c r="F350" s="24">
        <f>IF(C350&gt;=0,C350/Constants!$B$5,"n/a")</f>
        <v>0.75937500000000002</v>
      </c>
      <c r="G350" s="23" t="str">
        <f>IF(AND(B350=Constants!$B$13,C350&lt;0),"Both error",IF(B350=C350,"Identical",IF(AND(B350=Constants!$B$13,C350&gt;=0),"Fixed in v1.0.0","Different")))</f>
        <v>Identical</v>
      </c>
      <c r="H350" s="7"/>
    </row>
    <row r="351" spans="1:8" x14ac:dyDescent="0.2">
      <c r="A351" s="20">
        <v>38.6</v>
      </c>
      <c r="B351" s="21">
        <v>243</v>
      </c>
      <c r="C351" s="21">
        <v>243</v>
      </c>
      <c r="D351" s="22">
        <f>IF(AND(A351&gt;=Constants!$B$8,A351&lt;=Constants!$B$9),Constants!$B$6+Constants!$B$7*(CEILING(A351,1)-Constants!$B$8),Constants!$B$11)</f>
        <v>243</v>
      </c>
      <c r="E351" s="23" t="str">
        <f t="shared" si="5"/>
        <v>OK</v>
      </c>
      <c r="F351" s="24">
        <f>IF(C351&gt;=0,C351/Constants!$B$5,"n/a")</f>
        <v>0.75937500000000002</v>
      </c>
      <c r="G351" s="23" t="str">
        <f>IF(AND(B351=Constants!$B$13,C351&lt;0),"Both error",IF(B351=C351,"Identical",IF(AND(B351=Constants!$B$13,C351&gt;=0),"Fixed in v1.0.0","Different")))</f>
        <v>Identical</v>
      </c>
      <c r="H351" s="7"/>
    </row>
    <row r="352" spans="1:8" x14ac:dyDescent="0.2">
      <c r="A352" s="20">
        <v>38.700000000000003</v>
      </c>
      <c r="B352" s="21">
        <v>243</v>
      </c>
      <c r="C352" s="21">
        <v>243</v>
      </c>
      <c r="D352" s="22">
        <f>IF(AND(A352&gt;=Constants!$B$8,A352&lt;=Constants!$B$9),Constants!$B$6+Constants!$B$7*(CEILING(A352,1)-Constants!$B$8),Constants!$B$11)</f>
        <v>243</v>
      </c>
      <c r="E352" s="23" t="str">
        <f t="shared" si="5"/>
        <v>OK</v>
      </c>
      <c r="F352" s="24">
        <f>IF(C352&gt;=0,C352/Constants!$B$5,"n/a")</f>
        <v>0.75937500000000002</v>
      </c>
      <c r="G352" s="23" t="str">
        <f>IF(AND(B352=Constants!$B$13,C352&lt;0),"Both error",IF(B352=C352,"Identical",IF(AND(B352=Constants!$B$13,C352&gt;=0),"Fixed in v1.0.0","Different")))</f>
        <v>Identical</v>
      </c>
      <c r="H352" s="7"/>
    </row>
    <row r="353" spans="1:8" x14ac:dyDescent="0.2">
      <c r="A353" s="20">
        <v>38.799999999999997</v>
      </c>
      <c r="B353" s="21">
        <v>243</v>
      </c>
      <c r="C353" s="21">
        <v>243</v>
      </c>
      <c r="D353" s="22">
        <f>IF(AND(A353&gt;=Constants!$B$8,A353&lt;=Constants!$B$9),Constants!$B$6+Constants!$B$7*(CEILING(A353,1)-Constants!$B$8),Constants!$B$11)</f>
        <v>243</v>
      </c>
      <c r="E353" s="23" t="str">
        <f t="shared" si="5"/>
        <v>OK</v>
      </c>
      <c r="F353" s="24">
        <f>IF(C353&gt;=0,C353/Constants!$B$5,"n/a")</f>
        <v>0.75937500000000002</v>
      </c>
      <c r="G353" s="23" t="str">
        <f>IF(AND(B353=Constants!$B$13,C353&lt;0),"Both error",IF(B353=C353,"Identical",IF(AND(B353=Constants!$B$13,C353&gt;=0),"Fixed in v1.0.0","Different")))</f>
        <v>Identical</v>
      </c>
      <c r="H353" s="7"/>
    </row>
    <row r="354" spans="1:8" x14ac:dyDescent="0.2">
      <c r="A354" s="20">
        <v>38.9</v>
      </c>
      <c r="B354" s="21">
        <v>243</v>
      </c>
      <c r="C354" s="21">
        <v>243</v>
      </c>
      <c r="D354" s="22">
        <f>IF(AND(A354&gt;=Constants!$B$8,A354&lt;=Constants!$B$9),Constants!$B$6+Constants!$B$7*(CEILING(A354,1)-Constants!$B$8),Constants!$B$11)</f>
        <v>243</v>
      </c>
      <c r="E354" s="23" t="str">
        <f t="shared" si="5"/>
        <v>OK</v>
      </c>
      <c r="F354" s="24">
        <f>IF(C354&gt;=0,C354/Constants!$B$5,"n/a")</f>
        <v>0.75937500000000002</v>
      </c>
      <c r="G354" s="23" t="str">
        <f>IF(AND(B354=Constants!$B$13,C354&lt;0),"Both error",IF(B354=C354,"Identical",IF(AND(B354=Constants!$B$13,C354&gt;=0),"Fixed in v1.0.0","Different")))</f>
        <v>Identical</v>
      </c>
      <c r="H354" s="7"/>
    </row>
    <row r="355" spans="1:8" x14ac:dyDescent="0.2">
      <c r="A355" s="20">
        <v>39</v>
      </c>
      <c r="B355" s="21">
        <v>243</v>
      </c>
      <c r="C355" s="21">
        <v>243</v>
      </c>
      <c r="D355" s="22">
        <f>IF(AND(A355&gt;=Constants!$B$8,A355&lt;=Constants!$B$9),Constants!$B$6+Constants!$B$7*(CEILING(A355,1)-Constants!$B$8),Constants!$B$11)</f>
        <v>243</v>
      </c>
      <c r="E355" s="23" t="str">
        <f t="shared" si="5"/>
        <v>OK</v>
      </c>
      <c r="F355" s="24">
        <f>IF(C355&gt;=0,C355/Constants!$B$5,"n/a")</f>
        <v>0.75937500000000002</v>
      </c>
      <c r="G355" s="23" t="str">
        <f>IF(AND(B355=Constants!$B$13,C355&lt;0),"Both error",IF(B355=C355,"Identical",IF(AND(B355=Constants!$B$13,C355&gt;=0),"Fixed in v1.0.0","Different")))</f>
        <v>Identical</v>
      </c>
      <c r="H355" s="7"/>
    </row>
    <row r="356" spans="1:8" x14ac:dyDescent="0.2">
      <c r="A356" s="20">
        <v>39.1</v>
      </c>
      <c r="B356" s="21">
        <v>250</v>
      </c>
      <c r="C356" s="21">
        <v>250</v>
      </c>
      <c r="D356" s="22">
        <f>IF(AND(A356&gt;=Constants!$B$8,A356&lt;=Constants!$B$9),Constants!$B$6+Constants!$B$7*(CEILING(A356,1)-Constants!$B$8),Constants!$B$11)</f>
        <v>250</v>
      </c>
      <c r="E356" s="23" t="str">
        <f t="shared" si="5"/>
        <v>OK</v>
      </c>
      <c r="F356" s="24">
        <f>IF(C356&gt;=0,C356/Constants!$B$5,"n/a")</f>
        <v>0.78125</v>
      </c>
      <c r="G356" s="23" t="str">
        <f>IF(AND(B356=Constants!$B$13,C356&lt;0),"Both error",IF(B356=C356,"Identical",IF(AND(B356=Constants!$B$13,C356&gt;=0),"Fixed in v1.0.0","Different")))</f>
        <v>Identical</v>
      </c>
      <c r="H356" s="7"/>
    </row>
    <row r="357" spans="1:8" x14ac:dyDescent="0.2">
      <c r="A357" s="20">
        <v>39.200000000000003</v>
      </c>
      <c r="B357" s="21">
        <v>250</v>
      </c>
      <c r="C357" s="21">
        <v>250</v>
      </c>
      <c r="D357" s="22">
        <f>IF(AND(A357&gt;=Constants!$B$8,A357&lt;=Constants!$B$9),Constants!$B$6+Constants!$B$7*(CEILING(A357,1)-Constants!$B$8),Constants!$B$11)</f>
        <v>250</v>
      </c>
      <c r="E357" s="23" t="str">
        <f t="shared" si="5"/>
        <v>OK</v>
      </c>
      <c r="F357" s="24">
        <f>IF(C357&gt;=0,C357/Constants!$B$5,"n/a")</f>
        <v>0.78125</v>
      </c>
      <c r="G357" s="23" t="str">
        <f>IF(AND(B357=Constants!$B$13,C357&lt;0),"Both error",IF(B357=C357,"Identical",IF(AND(B357=Constants!$B$13,C357&gt;=0),"Fixed in v1.0.0","Different")))</f>
        <v>Identical</v>
      </c>
      <c r="H357" s="7"/>
    </row>
    <row r="358" spans="1:8" x14ac:dyDescent="0.2">
      <c r="A358" s="20">
        <v>39.299999999999997</v>
      </c>
      <c r="B358" s="21">
        <v>250</v>
      </c>
      <c r="C358" s="21">
        <v>250</v>
      </c>
      <c r="D358" s="22">
        <f>IF(AND(A358&gt;=Constants!$B$8,A358&lt;=Constants!$B$9),Constants!$B$6+Constants!$B$7*(CEILING(A358,1)-Constants!$B$8),Constants!$B$11)</f>
        <v>250</v>
      </c>
      <c r="E358" s="23" t="str">
        <f t="shared" si="5"/>
        <v>OK</v>
      </c>
      <c r="F358" s="24">
        <f>IF(C358&gt;=0,C358/Constants!$B$5,"n/a")</f>
        <v>0.78125</v>
      </c>
      <c r="G358" s="23" t="str">
        <f>IF(AND(B358=Constants!$B$13,C358&lt;0),"Both error",IF(B358=C358,"Identical",IF(AND(B358=Constants!$B$13,C358&gt;=0),"Fixed in v1.0.0","Different")))</f>
        <v>Identical</v>
      </c>
      <c r="H358" s="7"/>
    </row>
    <row r="359" spans="1:8" x14ac:dyDescent="0.2">
      <c r="A359" s="20">
        <v>39.4</v>
      </c>
      <c r="B359" s="21">
        <v>250</v>
      </c>
      <c r="C359" s="21">
        <v>250</v>
      </c>
      <c r="D359" s="22">
        <f>IF(AND(A359&gt;=Constants!$B$8,A359&lt;=Constants!$B$9),Constants!$B$6+Constants!$B$7*(CEILING(A359,1)-Constants!$B$8),Constants!$B$11)</f>
        <v>250</v>
      </c>
      <c r="E359" s="23" t="str">
        <f t="shared" si="5"/>
        <v>OK</v>
      </c>
      <c r="F359" s="24">
        <f>IF(C359&gt;=0,C359/Constants!$B$5,"n/a")</f>
        <v>0.78125</v>
      </c>
      <c r="G359" s="23" t="str">
        <f>IF(AND(B359=Constants!$B$13,C359&lt;0),"Both error",IF(B359=C359,"Identical",IF(AND(B359=Constants!$B$13,C359&gt;=0),"Fixed in v1.0.0","Different")))</f>
        <v>Identical</v>
      </c>
      <c r="H359" s="7"/>
    </row>
    <row r="360" spans="1:8" x14ac:dyDescent="0.2">
      <c r="A360" s="20">
        <v>39.5</v>
      </c>
      <c r="B360" s="21">
        <v>250</v>
      </c>
      <c r="C360" s="21">
        <v>250</v>
      </c>
      <c r="D360" s="22">
        <f>IF(AND(A360&gt;=Constants!$B$8,A360&lt;=Constants!$B$9),Constants!$B$6+Constants!$B$7*(CEILING(A360,1)-Constants!$B$8),Constants!$B$11)</f>
        <v>250</v>
      </c>
      <c r="E360" s="23" t="str">
        <f t="shared" si="5"/>
        <v>OK</v>
      </c>
      <c r="F360" s="24">
        <f>IF(C360&gt;=0,C360/Constants!$B$5,"n/a")</f>
        <v>0.78125</v>
      </c>
      <c r="G360" s="23" t="str">
        <f>IF(AND(B360=Constants!$B$13,C360&lt;0),"Both error",IF(B360=C360,"Identical",IF(AND(B360=Constants!$B$13,C360&gt;=0),"Fixed in v1.0.0","Different")))</f>
        <v>Identical</v>
      </c>
      <c r="H360" s="7"/>
    </row>
    <row r="361" spans="1:8" x14ac:dyDescent="0.2">
      <c r="A361" s="20">
        <v>39.6</v>
      </c>
      <c r="B361" s="21">
        <v>250</v>
      </c>
      <c r="C361" s="21">
        <v>250</v>
      </c>
      <c r="D361" s="22">
        <f>IF(AND(A361&gt;=Constants!$B$8,A361&lt;=Constants!$B$9),Constants!$B$6+Constants!$B$7*(CEILING(A361,1)-Constants!$B$8),Constants!$B$11)</f>
        <v>250</v>
      </c>
      <c r="E361" s="23" t="str">
        <f t="shared" si="5"/>
        <v>OK</v>
      </c>
      <c r="F361" s="24">
        <f>IF(C361&gt;=0,C361/Constants!$B$5,"n/a")</f>
        <v>0.78125</v>
      </c>
      <c r="G361" s="23" t="str">
        <f>IF(AND(B361=Constants!$B$13,C361&lt;0),"Both error",IF(B361=C361,"Identical",IF(AND(B361=Constants!$B$13,C361&gt;=0),"Fixed in v1.0.0","Different")))</f>
        <v>Identical</v>
      </c>
      <c r="H361" s="7"/>
    </row>
    <row r="362" spans="1:8" x14ac:dyDescent="0.2">
      <c r="A362" s="20">
        <v>39.700000000000003</v>
      </c>
      <c r="B362" s="21">
        <v>250</v>
      </c>
      <c r="C362" s="21">
        <v>250</v>
      </c>
      <c r="D362" s="22">
        <f>IF(AND(A362&gt;=Constants!$B$8,A362&lt;=Constants!$B$9),Constants!$B$6+Constants!$B$7*(CEILING(A362,1)-Constants!$B$8),Constants!$B$11)</f>
        <v>250</v>
      </c>
      <c r="E362" s="23" t="str">
        <f t="shared" si="5"/>
        <v>OK</v>
      </c>
      <c r="F362" s="24">
        <f>IF(C362&gt;=0,C362/Constants!$B$5,"n/a")</f>
        <v>0.78125</v>
      </c>
      <c r="G362" s="23" t="str">
        <f>IF(AND(B362=Constants!$B$13,C362&lt;0),"Both error",IF(B362=C362,"Identical",IF(AND(B362=Constants!$B$13,C362&gt;=0),"Fixed in v1.0.0","Different")))</f>
        <v>Identical</v>
      </c>
      <c r="H362" s="7"/>
    </row>
    <row r="363" spans="1:8" x14ac:dyDescent="0.2">
      <c r="A363" s="20">
        <v>39.799999999999997</v>
      </c>
      <c r="B363" s="21">
        <v>250</v>
      </c>
      <c r="C363" s="21">
        <v>250</v>
      </c>
      <c r="D363" s="22">
        <f>IF(AND(A363&gt;=Constants!$B$8,A363&lt;=Constants!$B$9),Constants!$B$6+Constants!$B$7*(CEILING(A363,1)-Constants!$B$8),Constants!$B$11)</f>
        <v>250</v>
      </c>
      <c r="E363" s="23" t="str">
        <f t="shared" si="5"/>
        <v>OK</v>
      </c>
      <c r="F363" s="24">
        <f>IF(C363&gt;=0,C363/Constants!$B$5,"n/a")</f>
        <v>0.78125</v>
      </c>
      <c r="G363" s="23" t="str">
        <f>IF(AND(B363=Constants!$B$13,C363&lt;0),"Both error",IF(B363=C363,"Identical",IF(AND(B363=Constants!$B$13,C363&gt;=0),"Fixed in v1.0.0","Different")))</f>
        <v>Identical</v>
      </c>
      <c r="H363" s="7"/>
    </row>
    <row r="364" spans="1:8" x14ac:dyDescent="0.2">
      <c r="A364" s="20">
        <v>39.9</v>
      </c>
      <c r="B364" s="21">
        <v>250</v>
      </c>
      <c r="C364" s="21">
        <v>250</v>
      </c>
      <c r="D364" s="22">
        <f>IF(AND(A364&gt;=Constants!$B$8,A364&lt;=Constants!$B$9),Constants!$B$6+Constants!$B$7*(CEILING(A364,1)-Constants!$B$8),Constants!$B$11)</f>
        <v>250</v>
      </c>
      <c r="E364" s="23" t="str">
        <f t="shared" si="5"/>
        <v>OK</v>
      </c>
      <c r="F364" s="24">
        <f>IF(C364&gt;=0,C364/Constants!$B$5,"n/a")</f>
        <v>0.78125</v>
      </c>
      <c r="G364" s="23" t="str">
        <f>IF(AND(B364=Constants!$B$13,C364&lt;0),"Both error",IF(B364=C364,"Identical",IF(AND(B364=Constants!$B$13,C364&gt;=0),"Fixed in v1.0.0","Different")))</f>
        <v>Identical</v>
      </c>
      <c r="H364" s="7"/>
    </row>
    <row r="365" spans="1:8" x14ac:dyDescent="0.2">
      <c r="A365" s="20">
        <v>40</v>
      </c>
      <c r="B365" s="21">
        <v>250</v>
      </c>
      <c r="C365" s="21">
        <v>250</v>
      </c>
      <c r="D365" s="22">
        <f>IF(AND(A365&gt;=Constants!$B$8,A365&lt;=Constants!$B$9),Constants!$B$6+Constants!$B$7*(CEILING(A365,1)-Constants!$B$8),Constants!$B$11)</f>
        <v>250</v>
      </c>
      <c r="E365" s="23" t="str">
        <f t="shared" si="5"/>
        <v>OK</v>
      </c>
      <c r="F365" s="24">
        <f>IF(C365&gt;=0,C365/Constants!$B$5,"n/a")</f>
        <v>0.78125</v>
      </c>
      <c r="G365" s="23" t="str">
        <f>IF(AND(B365=Constants!$B$13,C365&lt;0),"Both error",IF(B365=C365,"Identical",IF(AND(B365=Constants!$B$13,C365&gt;=0),"Fixed in v1.0.0","Different")))</f>
        <v>Identical</v>
      </c>
      <c r="H365" s="7"/>
    </row>
    <row r="366" spans="1:8" x14ac:dyDescent="0.2">
      <c r="A366" s="20">
        <v>40.1</v>
      </c>
      <c r="B366" s="21">
        <v>257</v>
      </c>
      <c r="C366" s="21">
        <v>257</v>
      </c>
      <c r="D366" s="22">
        <f>IF(AND(A366&gt;=Constants!$B$8,A366&lt;=Constants!$B$9),Constants!$B$6+Constants!$B$7*(CEILING(A366,1)-Constants!$B$8),Constants!$B$11)</f>
        <v>257</v>
      </c>
      <c r="E366" s="23" t="str">
        <f t="shared" si="5"/>
        <v>OK</v>
      </c>
      <c r="F366" s="24">
        <f>IF(C366&gt;=0,C366/Constants!$B$5,"n/a")</f>
        <v>0.80312499999999998</v>
      </c>
      <c r="G366" s="23" t="str">
        <f>IF(AND(B366=Constants!$B$13,C366&lt;0),"Both error",IF(B366=C366,"Identical",IF(AND(B366=Constants!$B$13,C366&gt;=0),"Fixed in v1.0.0","Different")))</f>
        <v>Identical</v>
      </c>
      <c r="H366" s="7"/>
    </row>
    <row r="367" spans="1:8" x14ac:dyDescent="0.2">
      <c r="A367" s="20">
        <v>40.200000000000003</v>
      </c>
      <c r="B367" s="21">
        <v>257</v>
      </c>
      <c r="C367" s="21">
        <v>257</v>
      </c>
      <c r="D367" s="22">
        <f>IF(AND(A367&gt;=Constants!$B$8,A367&lt;=Constants!$B$9),Constants!$B$6+Constants!$B$7*(CEILING(A367,1)-Constants!$B$8),Constants!$B$11)</f>
        <v>257</v>
      </c>
      <c r="E367" s="23" t="str">
        <f t="shared" si="5"/>
        <v>OK</v>
      </c>
      <c r="F367" s="24">
        <f>IF(C367&gt;=0,C367/Constants!$B$5,"n/a")</f>
        <v>0.80312499999999998</v>
      </c>
      <c r="G367" s="23" t="str">
        <f>IF(AND(B367=Constants!$B$13,C367&lt;0),"Both error",IF(B367=C367,"Identical",IF(AND(B367=Constants!$B$13,C367&gt;=0),"Fixed in v1.0.0","Different")))</f>
        <v>Identical</v>
      </c>
      <c r="H367" s="7"/>
    </row>
    <row r="368" spans="1:8" x14ac:dyDescent="0.2">
      <c r="A368" s="20">
        <v>40.299999999999997</v>
      </c>
      <c r="B368" s="21">
        <v>257</v>
      </c>
      <c r="C368" s="21">
        <v>257</v>
      </c>
      <c r="D368" s="22">
        <f>IF(AND(A368&gt;=Constants!$B$8,A368&lt;=Constants!$B$9),Constants!$B$6+Constants!$B$7*(CEILING(A368,1)-Constants!$B$8),Constants!$B$11)</f>
        <v>257</v>
      </c>
      <c r="E368" s="23" t="str">
        <f t="shared" si="5"/>
        <v>OK</v>
      </c>
      <c r="F368" s="24">
        <f>IF(C368&gt;=0,C368/Constants!$B$5,"n/a")</f>
        <v>0.80312499999999998</v>
      </c>
      <c r="G368" s="23" t="str">
        <f>IF(AND(B368=Constants!$B$13,C368&lt;0),"Both error",IF(B368=C368,"Identical",IF(AND(B368=Constants!$B$13,C368&gt;=0),"Fixed in v1.0.0","Different")))</f>
        <v>Identical</v>
      </c>
      <c r="H368" s="7"/>
    </row>
    <row r="369" spans="1:8" x14ac:dyDescent="0.2">
      <c r="A369" s="20">
        <v>40.4</v>
      </c>
      <c r="B369" s="21">
        <v>257</v>
      </c>
      <c r="C369" s="21">
        <v>257</v>
      </c>
      <c r="D369" s="22">
        <f>IF(AND(A369&gt;=Constants!$B$8,A369&lt;=Constants!$B$9),Constants!$B$6+Constants!$B$7*(CEILING(A369,1)-Constants!$B$8),Constants!$B$11)</f>
        <v>257</v>
      </c>
      <c r="E369" s="23" t="str">
        <f t="shared" si="5"/>
        <v>OK</v>
      </c>
      <c r="F369" s="24">
        <f>IF(C369&gt;=0,C369/Constants!$B$5,"n/a")</f>
        <v>0.80312499999999998</v>
      </c>
      <c r="G369" s="23" t="str">
        <f>IF(AND(B369=Constants!$B$13,C369&lt;0),"Both error",IF(B369=C369,"Identical",IF(AND(B369=Constants!$B$13,C369&gt;=0),"Fixed in v1.0.0","Different")))</f>
        <v>Identical</v>
      </c>
      <c r="H369" s="7"/>
    </row>
    <row r="370" spans="1:8" x14ac:dyDescent="0.2">
      <c r="A370" s="20">
        <v>40.5</v>
      </c>
      <c r="B370" s="21">
        <v>257</v>
      </c>
      <c r="C370" s="21">
        <v>257</v>
      </c>
      <c r="D370" s="22">
        <f>IF(AND(A370&gt;=Constants!$B$8,A370&lt;=Constants!$B$9),Constants!$B$6+Constants!$B$7*(CEILING(A370,1)-Constants!$B$8),Constants!$B$11)</f>
        <v>257</v>
      </c>
      <c r="E370" s="23" t="str">
        <f t="shared" si="5"/>
        <v>OK</v>
      </c>
      <c r="F370" s="24">
        <f>IF(C370&gt;=0,C370/Constants!$B$5,"n/a")</f>
        <v>0.80312499999999998</v>
      </c>
      <c r="G370" s="23" t="str">
        <f>IF(AND(B370=Constants!$B$13,C370&lt;0),"Both error",IF(B370=C370,"Identical",IF(AND(B370=Constants!$B$13,C370&gt;=0),"Fixed in v1.0.0","Different")))</f>
        <v>Identical</v>
      </c>
      <c r="H370" s="7"/>
    </row>
    <row r="371" spans="1:8" x14ac:dyDescent="0.2">
      <c r="A371" s="20">
        <v>40.6</v>
      </c>
      <c r="B371" s="21">
        <v>257</v>
      </c>
      <c r="C371" s="21">
        <v>257</v>
      </c>
      <c r="D371" s="22">
        <f>IF(AND(A371&gt;=Constants!$B$8,A371&lt;=Constants!$B$9),Constants!$B$6+Constants!$B$7*(CEILING(A371,1)-Constants!$B$8),Constants!$B$11)</f>
        <v>257</v>
      </c>
      <c r="E371" s="23" t="str">
        <f t="shared" si="5"/>
        <v>OK</v>
      </c>
      <c r="F371" s="24">
        <f>IF(C371&gt;=0,C371/Constants!$B$5,"n/a")</f>
        <v>0.80312499999999998</v>
      </c>
      <c r="G371" s="23" t="str">
        <f>IF(AND(B371=Constants!$B$13,C371&lt;0),"Both error",IF(B371=C371,"Identical",IF(AND(B371=Constants!$B$13,C371&gt;=0),"Fixed in v1.0.0","Different")))</f>
        <v>Identical</v>
      </c>
      <c r="H371" s="7"/>
    </row>
    <row r="372" spans="1:8" x14ac:dyDescent="0.2">
      <c r="A372" s="20">
        <v>40.700000000000003</v>
      </c>
      <c r="B372" s="21">
        <v>257</v>
      </c>
      <c r="C372" s="21">
        <v>257</v>
      </c>
      <c r="D372" s="22">
        <f>IF(AND(A372&gt;=Constants!$B$8,A372&lt;=Constants!$B$9),Constants!$B$6+Constants!$B$7*(CEILING(A372,1)-Constants!$B$8),Constants!$B$11)</f>
        <v>257</v>
      </c>
      <c r="E372" s="23" t="str">
        <f t="shared" si="5"/>
        <v>OK</v>
      </c>
      <c r="F372" s="24">
        <f>IF(C372&gt;=0,C372/Constants!$B$5,"n/a")</f>
        <v>0.80312499999999998</v>
      </c>
      <c r="G372" s="23" t="str">
        <f>IF(AND(B372=Constants!$B$13,C372&lt;0),"Both error",IF(B372=C372,"Identical",IF(AND(B372=Constants!$B$13,C372&gt;=0),"Fixed in v1.0.0","Different")))</f>
        <v>Identical</v>
      </c>
      <c r="H372" s="7"/>
    </row>
    <row r="373" spans="1:8" x14ac:dyDescent="0.2">
      <c r="A373" s="20">
        <v>40.799999999999997</v>
      </c>
      <c r="B373" s="21">
        <v>257</v>
      </c>
      <c r="C373" s="21">
        <v>257</v>
      </c>
      <c r="D373" s="22">
        <f>IF(AND(A373&gt;=Constants!$B$8,A373&lt;=Constants!$B$9),Constants!$B$6+Constants!$B$7*(CEILING(A373,1)-Constants!$B$8),Constants!$B$11)</f>
        <v>257</v>
      </c>
      <c r="E373" s="23" t="str">
        <f t="shared" si="5"/>
        <v>OK</v>
      </c>
      <c r="F373" s="24">
        <f>IF(C373&gt;=0,C373/Constants!$B$5,"n/a")</f>
        <v>0.80312499999999998</v>
      </c>
      <c r="G373" s="23" t="str">
        <f>IF(AND(B373=Constants!$B$13,C373&lt;0),"Both error",IF(B373=C373,"Identical",IF(AND(B373=Constants!$B$13,C373&gt;=0),"Fixed in v1.0.0","Different")))</f>
        <v>Identical</v>
      </c>
      <c r="H373" s="7"/>
    </row>
    <row r="374" spans="1:8" x14ac:dyDescent="0.2">
      <c r="A374" s="20">
        <v>40.9</v>
      </c>
      <c r="B374" s="21">
        <v>257</v>
      </c>
      <c r="C374" s="21">
        <v>257</v>
      </c>
      <c r="D374" s="22">
        <f>IF(AND(A374&gt;=Constants!$B$8,A374&lt;=Constants!$B$9),Constants!$B$6+Constants!$B$7*(CEILING(A374,1)-Constants!$B$8),Constants!$B$11)</f>
        <v>257</v>
      </c>
      <c r="E374" s="23" t="str">
        <f t="shared" si="5"/>
        <v>OK</v>
      </c>
      <c r="F374" s="24">
        <f>IF(C374&gt;=0,C374/Constants!$B$5,"n/a")</f>
        <v>0.80312499999999998</v>
      </c>
      <c r="G374" s="23" t="str">
        <f>IF(AND(B374=Constants!$B$13,C374&lt;0),"Both error",IF(B374=C374,"Identical",IF(AND(B374=Constants!$B$13,C374&gt;=0),"Fixed in v1.0.0","Different")))</f>
        <v>Identical</v>
      </c>
      <c r="H374" s="7"/>
    </row>
    <row r="375" spans="1:8" x14ac:dyDescent="0.2">
      <c r="A375" s="20">
        <v>41</v>
      </c>
      <c r="B375" s="21">
        <v>257</v>
      </c>
      <c r="C375" s="21">
        <v>257</v>
      </c>
      <c r="D375" s="22">
        <f>IF(AND(A375&gt;=Constants!$B$8,A375&lt;=Constants!$B$9),Constants!$B$6+Constants!$B$7*(CEILING(A375,1)-Constants!$B$8),Constants!$B$11)</f>
        <v>257</v>
      </c>
      <c r="E375" s="23" t="str">
        <f t="shared" si="5"/>
        <v>OK</v>
      </c>
      <c r="F375" s="24">
        <f>IF(C375&gt;=0,C375/Constants!$B$5,"n/a")</f>
        <v>0.80312499999999998</v>
      </c>
      <c r="G375" s="23" t="str">
        <f>IF(AND(B375=Constants!$B$13,C375&lt;0),"Both error",IF(B375=C375,"Identical",IF(AND(B375=Constants!$B$13,C375&gt;=0),"Fixed in v1.0.0","Different")))</f>
        <v>Identical</v>
      </c>
      <c r="H375" s="7"/>
    </row>
    <row r="376" spans="1:8" x14ac:dyDescent="0.2">
      <c r="A376" s="20">
        <v>41.1</v>
      </c>
      <c r="B376" s="21">
        <v>264</v>
      </c>
      <c r="C376" s="21">
        <v>264</v>
      </c>
      <c r="D376" s="22">
        <f>IF(AND(A376&gt;=Constants!$B$8,A376&lt;=Constants!$B$9),Constants!$B$6+Constants!$B$7*(CEILING(A376,1)-Constants!$B$8),Constants!$B$11)</f>
        <v>264</v>
      </c>
      <c r="E376" s="23" t="str">
        <f t="shared" si="5"/>
        <v>OK</v>
      </c>
      <c r="F376" s="24">
        <f>IF(C376&gt;=0,C376/Constants!$B$5,"n/a")</f>
        <v>0.82499999999999996</v>
      </c>
      <c r="G376" s="23" t="str">
        <f>IF(AND(B376=Constants!$B$13,C376&lt;0),"Both error",IF(B376=C376,"Identical",IF(AND(B376=Constants!$B$13,C376&gt;=0),"Fixed in v1.0.0","Different")))</f>
        <v>Identical</v>
      </c>
      <c r="H376" s="7"/>
    </row>
    <row r="377" spans="1:8" x14ac:dyDescent="0.2">
      <c r="A377" s="20">
        <v>41.2</v>
      </c>
      <c r="B377" s="21">
        <v>264</v>
      </c>
      <c r="C377" s="21">
        <v>264</v>
      </c>
      <c r="D377" s="22">
        <f>IF(AND(A377&gt;=Constants!$B$8,A377&lt;=Constants!$B$9),Constants!$B$6+Constants!$B$7*(CEILING(A377,1)-Constants!$B$8),Constants!$B$11)</f>
        <v>264</v>
      </c>
      <c r="E377" s="23" t="str">
        <f t="shared" si="5"/>
        <v>OK</v>
      </c>
      <c r="F377" s="24">
        <f>IF(C377&gt;=0,C377/Constants!$B$5,"n/a")</f>
        <v>0.82499999999999996</v>
      </c>
      <c r="G377" s="23" t="str">
        <f>IF(AND(B377=Constants!$B$13,C377&lt;0),"Both error",IF(B377=C377,"Identical",IF(AND(B377=Constants!$B$13,C377&gt;=0),"Fixed in v1.0.0","Different")))</f>
        <v>Identical</v>
      </c>
      <c r="H377" s="7"/>
    </row>
    <row r="378" spans="1:8" x14ac:dyDescent="0.2">
      <c r="A378" s="20">
        <v>41.3</v>
      </c>
      <c r="B378" s="21">
        <v>264</v>
      </c>
      <c r="C378" s="21">
        <v>264</v>
      </c>
      <c r="D378" s="22">
        <f>IF(AND(A378&gt;=Constants!$B$8,A378&lt;=Constants!$B$9),Constants!$B$6+Constants!$B$7*(CEILING(A378,1)-Constants!$B$8),Constants!$B$11)</f>
        <v>264</v>
      </c>
      <c r="E378" s="23" t="str">
        <f t="shared" si="5"/>
        <v>OK</v>
      </c>
      <c r="F378" s="24">
        <f>IF(C378&gt;=0,C378/Constants!$B$5,"n/a")</f>
        <v>0.82499999999999996</v>
      </c>
      <c r="G378" s="23" t="str">
        <f>IF(AND(B378=Constants!$B$13,C378&lt;0),"Both error",IF(B378=C378,"Identical",IF(AND(B378=Constants!$B$13,C378&gt;=0),"Fixed in v1.0.0","Different")))</f>
        <v>Identical</v>
      </c>
      <c r="H378" s="7"/>
    </row>
    <row r="379" spans="1:8" x14ac:dyDescent="0.2">
      <c r="A379" s="20">
        <v>41.4</v>
      </c>
      <c r="B379" s="21">
        <v>264</v>
      </c>
      <c r="C379" s="21">
        <v>264</v>
      </c>
      <c r="D379" s="22">
        <f>IF(AND(A379&gt;=Constants!$B$8,A379&lt;=Constants!$B$9),Constants!$B$6+Constants!$B$7*(CEILING(A379,1)-Constants!$B$8),Constants!$B$11)</f>
        <v>264</v>
      </c>
      <c r="E379" s="23" t="str">
        <f t="shared" si="5"/>
        <v>OK</v>
      </c>
      <c r="F379" s="24">
        <f>IF(C379&gt;=0,C379/Constants!$B$5,"n/a")</f>
        <v>0.82499999999999996</v>
      </c>
      <c r="G379" s="23" t="str">
        <f>IF(AND(B379=Constants!$B$13,C379&lt;0),"Both error",IF(B379=C379,"Identical",IF(AND(B379=Constants!$B$13,C379&gt;=0),"Fixed in v1.0.0","Different")))</f>
        <v>Identical</v>
      </c>
      <c r="H379" s="7"/>
    </row>
    <row r="380" spans="1:8" x14ac:dyDescent="0.2">
      <c r="A380" s="20">
        <v>41.5</v>
      </c>
      <c r="B380" s="21">
        <v>264</v>
      </c>
      <c r="C380" s="21">
        <v>264</v>
      </c>
      <c r="D380" s="22">
        <f>IF(AND(A380&gt;=Constants!$B$8,A380&lt;=Constants!$B$9),Constants!$B$6+Constants!$B$7*(CEILING(A380,1)-Constants!$B$8),Constants!$B$11)</f>
        <v>264</v>
      </c>
      <c r="E380" s="23" t="str">
        <f t="shared" si="5"/>
        <v>OK</v>
      </c>
      <c r="F380" s="24">
        <f>IF(C380&gt;=0,C380/Constants!$B$5,"n/a")</f>
        <v>0.82499999999999996</v>
      </c>
      <c r="G380" s="23" t="str">
        <f>IF(AND(B380=Constants!$B$13,C380&lt;0),"Both error",IF(B380=C380,"Identical",IF(AND(B380=Constants!$B$13,C380&gt;=0),"Fixed in v1.0.0","Different")))</f>
        <v>Identical</v>
      </c>
      <c r="H380" s="7"/>
    </row>
    <row r="381" spans="1:8" x14ac:dyDescent="0.2">
      <c r="A381" s="20">
        <v>41.6</v>
      </c>
      <c r="B381" s="21">
        <v>264</v>
      </c>
      <c r="C381" s="21">
        <v>264</v>
      </c>
      <c r="D381" s="22">
        <f>IF(AND(A381&gt;=Constants!$B$8,A381&lt;=Constants!$B$9),Constants!$B$6+Constants!$B$7*(CEILING(A381,1)-Constants!$B$8),Constants!$B$11)</f>
        <v>264</v>
      </c>
      <c r="E381" s="23" t="str">
        <f t="shared" si="5"/>
        <v>OK</v>
      </c>
      <c r="F381" s="24">
        <f>IF(C381&gt;=0,C381/Constants!$B$5,"n/a")</f>
        <v>0.82499999999999996</v>
      </c>
      <c r="G381" s="23" t="str">
        <f>IF(AND(B381=Constants!$B$13,C381&lt;0),"Both error",IF(B381=C381,"Identical",IF(AND(B381=Constants!$B$13,C381&gt;=0),"Fixed in v1.0.0","Different")))</f>
        <v>Identical</v>
      </c>
      <c r="H381" s="7"/>
    </row>
    <row r="382" spans="1:8" x14ac:dyDescent="0.2">
      <c r="A382" s="20">
        <v>41.7</v>
      </c>
      <c r="B382" s="21">
        <v>264</v>
      </c>
      <c r="C382" s="21">
        <v>264</v>
      </c>
      <c r="D382" s="22">
        <f>IF(AND(A382&gt;=Constants!$B$8,A382&lt;=Constants!$B$9),Constants!$B$6+Constants!$B$7*(CEILING(A382,1)-Constants!$B$8),Constants!$B$11)</f>
        <v>264</v>
      </c>
      <c r="E382" s="23" t="str">
        <f t="shared" si="5"/>
        <v>OK</v>
      </c>
      <c r="F382" s="24">
        <f>IF(C382&gt;=0,C382/Constants!$B$5,"n/a")</f>
        <v>0.82499999999999996</v>
      </c>
      <c r="G382" s="23" t="str">
        <f>IF(AND(B382=Constants!$B$13,C382&lt;0),"Both error",IF(B382=C382,"Identical",IF(AND(B382=Constants!$B$13,C382&gt;=0),"Fixed in v1.0.0","Different")))</f>
        <v>Identical</v>
      </c>
      <c r="H382" s="7"/>
    </row>
    <row r="383" spans="1:8" x14ac:dyDescent="0.2">
      <c r="A383" s="20">
        <v>41.8</v>
      </c>
      <c r="B383" s="21">
        <v>264</v>
      </c>
      <c r="C383" s="21">
        <v>264</v>
      </c>
      <c r="D383" s="22">
        <f>IF(AND(A383&gt;=Constants!$B$8,A383&lt;=Constants!$B$9),Constants!$B$6+Constants!$B$7*(CEILING(A383,1)-Constants!$B$8),Constants!$B$11)</f>
        <v>264</v>
      </c>
      <c r="E383" s="23" t="str">
        <f t="shared" si="5"/>
        <v>OK</v>
      </c>
      <c r="F383" s="24">
        <f>IF(C383&gt;=0,C383/Constants!$B$5,"n/a")</f>
        <v>0.82499999999999996</v>
      </c>
      <c r="G383" s="23" t="str">
        <f>IF(AND(B383=Constants!$B$13,C383&lt;0),"Both error",IF(B383=C383,"Identical",IF(AND(B383=Constants!$B$13,C383&gt;=0),"Fixed in v1.0.0","Different")))</f>
        <v>Identical</v>
      </c>
      <c r="H383" s="7"/>
    </row>
    <row r="384" spans="1:8" x14ac:dyDescent="0.2">
      <c r="A384" s="20">
        <v>41.9</v>
      </c>
      <c r="B384" s="21">
        <v>264</v>
      </c>
      <c r="C384" s="21">
        <v>264</v>
      </c>
      <c r="D384" s="22">
        <f>IF(AND(A384&gt;=Constants!$B$8,A384&lt;=Constants!$B$9),Constants!$B$6+Constants!$B$7*(CEILING(A384,1)-Constants!$B$8),Constants!$B$11)</f>
        <v>264</v>
      </c>
      <c r="E384" s="23" t="str">
        <f t="shared" si="5"/>
        <v>OK</v>
      </c>
      <c r="F384" s="24">
        <f>IF(C384&gt;=0,C384/Constants!$B$5,"n/a")</f>
        <v>0.82499999999999996</v>
      </c>
      <c r="G384" s="23" t="str">
        <f>IF(AND(B384=Constants!$B$13,C384&lt;0),"Both error",IF(B384=C384,"Identical",IF(AND(B384=Constants!$B$13,C384&gt;=0),"Fixed in v1.0.0","Different")))</f>
        <v>Identical</v>
      </c>
      <c r="H384" s="7"/>
    </row>
    <row r="385" spans="1:8" x14ac:dyDescent="0.2">
      <c r="A385" s="20">
        <v>42</v>
      </c>
      <c r="B385" s="21">
        <v>264</v>
      </c>
      <c r="C385" s="21">
        <v>264</v>
      </c>
      <c r="D385" s="22">
        <f>IF(AND(A385&gt;=Constants!$B$8,A385&lt;=Constants!$B$9),Constants!$B$6+Constants!$B$7*(CEILING(A385,1)-Constants!$B$8),Constants!$B$11)</f>
        <v>264</v>
      </c>
      <c r="E385" s="23" t="str">
        <f t="shared" si="5"/>
        <v>OK</v>
      </c>
      <c r="F385" s="24">
        <f>IF(C385&gt;=0,C385/Constants!$B$5,"n/a")</f>
        <v>0.82499999999999996</v>
      </c>
      <c r="G385" s="23" t="str">
        <f>IF(AND(B385=Constants!$B$13,C385&lt;0),"Both error",IF(B385=C385,"Identical",IF(AND(B385=Constants!$B$13,C385&gt;=0),"Fixed in v1.0.0","Different")))</f>
        <v>Identical</v>
      </c>
      <c r="H385" s="7"/>
    </row>
    <row r="386" spans="1:8" x14ac:dyDescent="0.2">
      <c r="A386" s="20">
        <v>42.1</v>
      </c>
      <c r="B386" s="21">
        <v>271</v>
      </c>
      <c r="C386" s="21">
        <v>271</v>
      </c>
      <c r="D386" s="22">
        <f>IF(AND(A386&gt;=Constants!$B$8,A386&lt;=Constants!$B$9),Constants!$B$6+Constants!$B$7*(CEILING(A386,1)-Constants!$B$8),Constants!$B$11)</f>
        <v>271</v>
      </c>
      <c r="E386" s="23" t="str">
        <f t="shared" si="5"/>
        <v>OK</v>
      </c>
      <c r="F386" s="24">
        <f>IF(C386&gt;=0,C386/Constants!$B$5,"n/a")</f>
        <v>0.84687500000000004</v>
      </c>
      <c r="G386" s="23" t="str">
        <f>IF(AND(B386=Constants!$B$13,C386&lt;0),"Both error",IF(B386=C386,"Identical",IF(AND(B386=Constants!$B$13,C386&gt;=0),"Fixed in v1.0.0","Different")))</f>
        <v>Identical</v>
      </c>
      <c r="H386" s="7"/>
    </row>
    <row r="387" spans="1:8" x14ac:dyDescent="0.2">
      <c r="A387" s="20">
        <v>42.2</v>
      </c>
      <c r="B387" s="21">
        <v>271</v>
      </c>
      <c r="C387" s="21">
        <v>271</v>
      </c>
      <c r="D387" s="22">
        <f>IF(AND(A387&gt;=Constants!$B$8,A387&lt;=Constants!$B$9),Constants!$B$6+Constants!$B$7*(CEILING(A387,1)-Constants!$B$8),Constants!$B$11)</f>
        <v>271</v>
      </c>
      <c r="E387" s="23" t="str">
        <f t="shared" si="5"/>
        <v>OK</v>
      </c>
      <c r="F387" s="24">
        <f>IF(C387&gt;=0,C387/Constants!$B$5,"n/a")</f>
        <v>0.84687500000000004</v>
      </c>
      <c r="G387" s="23" t="str">
        <f>IF(AND(B387=Constants!$B$13,C387&lt;0),"Both error",IF(B387=C387,"Identical",IF(AND(B387=Constants!$B$13,C387&gt;=0),"Fixed in v1.0.0","Different")))</f>
        <v>Identical</v>
      </c>
      <c r="H387" s="7"/>
    </row>
    <row r="388" spans="1:8" x14ac:dyDescent="0.2">
      <c r="A388" s="20">
        <v>42.3</v>
      </c>
      <c r="B388" s="21">
        <v>271</v>
      </c>
      <c r="C388" s="21">
        <v>271</v>
      </c>
      <c r="D388" s="22">
        <f>IF(AND(A388&gt;=Constants!$B$8,A388&lt;=Constants!$B$9),Constants!$B$6+Constants!$B$7*(CEILING(A388,1)-Constants!$B$8),Constants!$B$11)</f>
        <v>271</v>
      </c>
      <c r="E388" s="23" t="str">
        <f t="shared" si="5"/>
        <v>OK</v>
      </c>
      <c r="F388" s="24">
        <f>IF(C388&gt;=0,C388/Constants!$B$5,"n/a")</f>
        <v>0.84687500000000004</v>
      </c>
      <c r="G388" s="23" t="str">
        <f>IF(AND(B388=Constants!$B$13,C388&lt;0),"Both error",IF(B388=C388,"Identical",IF(AND(B388=Constants!$B$13,C388&gt;=0),"Fixed in v1.0.0","Different")))</f>
        <v>Identical</v>
      </c>
      <c r="H388" s="7"/>
    </row>
    <row r="389" spans="1:8" x14ac:dyDescent="0.2">
      <c r="A389" s="20">
        <v>42.4</v>
      </c>
      <c r="B389" s="21">
        <v>271</v>
      </c>
      <c r="C389" s="21">
        <v>271</v>
      </c>
      <c r="D389" s="22">
        <f>IF(AND(A389&gt;=Constants!$B$8,A389&lt;=Constants!$B$9),Constants!$B$6+Constants!$B$7*(CEILING(A389,1)-Constants!$B$8),Constants!$B$11)</f>
        <v>271</v>
      </c>
      <c r="E389" s="23" t="str">
        <f t="shared" ref="E389:E452" si="6">IF(C389=D389,"OK","CHECK")</f>
        <v>OK</v>
      </c>
      <c r="F389" s="24">
        <f>IF(C389&gt;=0,C389/Constants!$B$5,"n/a")</f>
        <v>0.84687500000000004</v>
      </c>
      <c r="G389" s="23" t="str">
        <f>IF(AND(B389=Constants!$B$13,C389&lt;0),"Both error",IF(B389=C389,"Identical",IF(AND(B389=Constants!$B$13,C389&gt;=0),"Fixed in v1.0.0","Different")))</f>
        <v>Identical</v>
      </c>
      <c r="H389" s="7"/>
    </row>
    <row r="390" spans="1:8" x14ac:dyDescent="0.2">
      <c r="A390" s="20">
        <v>42.5</v>
      </c>
      <c r="B390" s="21">
        <v>271</v>
      </c>
      <c r="C390" s="21">
        <v>271</v>
      </c>
      <c r="D390" s="22">
        <f>IF(AND(A390&gt;=Constants!$B$8,A390&lt;=Constants!$B$9),Constants!$B$6+Constants!$B$7*(CEILING(A390,1)-Constants!$B$8),Constants!$B$11)</f>
        <v>271</v>
      </c>
      <c r="E390" s="23" t="str">
        <f t="shared" si="6"/>
        <v>OK</v>
      </c>
      <c r="F390" s="24">
        <f>IF(C390&gt;=0,C390/Constants!$B$5,"n/a")</f>
        <v>0.84687500000000004</v>
      </c>
      <c r="G390" s="23" t="str">
        <f>IF(AND(B390=Constants!$B$13,C390&lt;0),"Both error",IF(B390=C390,"Identical",IF(AND(B390=Constants!$B$13,C390&gt;=0),"Fixed in v1.0.0","Different")))</f>
        <v>Identical</v>
      </c>
      <c r="H390" s="7"/>
    </row>
    <row r="391" spans="1:8" x14ac:dyDescent="0.2">
      <c r="A391" s="20">
        <v>42.6</v>
      </c>
      <c r="B391" s="21">
        <v>271</v>
      </c>
      <c r="C391" s="21">
        <v>271</v>
      </c>
      <c r="D391" s="22">
        <f>IF(AND(A391&gt;=Constants!$B$8,A391&lt;=Constants!$B$9),Constants!$B$6+Constants!$B$7*(CEILING(A391,1)-Constants!$B$8),Constants!$B$11)</f>
        <v>271</v>
      </c>
      <c r="E391" s="23" t="str">
        <f t="shared" si="6"/>
        <v>OK</v>
      </c>
      <c r="F391" s="24">
        <f>IF(C391&gt;=0,C391/Constants!$B$5,"n/a")</f>
        <v>0.84687500000000004</v>
      </c>
      <c r="G391" s="23" t="str">
        <f>IF(AND(B391=Constants!$B$13,C391&lt;0),"Both error",IF(B391=C391,"Identical",IF(AND(B391=Constants!$B$13,C391&gt;=0),"Fixed in v1.0.0","Different")))</f>
        <v>Identical</v>
      </c>
      <c r="H391" s="7"/>
    </row>
    <row r="392" spans="1:8" x14ac:dyDescent="0.2">
      <c r="A392" s="20">
        <v>42.7</v>
      </c>
      <c r="B392" s="21">
        <v>271</v>
      </c>
      <c r="C392" s="21">
        <v>271</v>
      </c>
      <c r="D392" s="22">
        <f>IF(AND(A392&gt;=Constants!$B$8,A392&lt;=Constants!$B$9),Constants!$B$6+Constants!$B$7*(CEILING(A392,1)-Constants!$B$8),Constants!$B$11)</f>
        <v>271</v>
      </c>
      <c r="E392" s="23" t="str">
        <f t="shared" si="6"/>
        <v>OK</v>
      </c>
      <c r="F392" s="24">
        <f>IF(C392&gt;=0,C392/Constants!$B$5,"n/a")</f>
        <v>0.84687500000000004</v>
      </c>
      <c r="G392" s="23" t="str">
        <f>IF(AND(B392=Constants!$B$13,C392&lt;0),"Both error",IF(B392=C392,"Identical",IF(AND(B392=Constants!$B$13,C392&gt;=0),"Fixed in v1.0.0","Different")))</f>
        <v>Identical</v>
      </c>
      <c r="H392" s="7"/>
    </row>
    <row r="393" spans="1:8" x14ac:dyDescent="0.2">
      <c r="A393" s="20">
        <v>42.8</v>
      </c>
      <c r="B393" s="21">
        <v>271</v>
      </c>
      <c r="C393" s="21">
        <v>271</v>
      </c>
      <c r="D393" s="22">
        <f>IF(AND(A393&gt;=Constants!$B$8,A393&lt;=Constants!$B$9),Constants!$B$6+Constants!$B$7*(CEILING(A393,1)-Constants!$B$8),Constants!$B$11)</f>
        <v>271</v>
      </c>
      <c r="E393" s="23" t="str">
        <f t="shared" si="6"/>
        <v>OK</v>
      </c>
      <c r="F393" s="24">
        <f>IF(C393&gt;=0,C393/Constants!$B$5,"n/a")</f>
        <v>0.84687500000000004</v>
      </c>
      <c r="G393" s="23" t="str">
        <f>IF(AND(B393=Constants!$B$13,C393&lt;0),"Both error",IF(B393=C393,"Identical",IF(AND(B393=Constants!$B$13,C393&gt;=0),"Fixed in v1.0.0","Different")))</f>
        <v>Identical</v>
      </c>
      <c r="H393" s="7"/>
    </row>
    <row r="394" spans="1:8" x14ac:dyDescent="0.2">
      <c r="A394" s="20">
        <v>42.9</v>
      </c>
      <c r="B394" s="21">
        <v>271</v>
      </c>
      <c r="C394" s="21">
        <v>271</v>
      </c>
      <c r="D394" s="22">
        <f>IF(AND(A394&gt;=Constants!$B$8,A394&lt;=Constants!$B$9),Constants!$B$6+Constants!$B$7*(CEILING(A394,1)-Constants!$B$8),Constants!$B$11)</f>
        <v>271</v>
      </c>
      <c r="E394" s="23" t="str">
        <f t="shared" si="6"/>
        <v>OK</v>
      </c>
      <c r="F394" s="24">
        <f>IF(C394&gt;=0,C394/Constants!$B$5,"n/a")</f>
        <v>0.84687500000000004</v>
      </c>
      <c r="G394" s="23" t="str">
        <f>IF(AND(B394=Constants!$B$13,C394&lt;0),"Both error",IF(B394=C394,"Identical",IF(AND(B394=Constants!$B$13,C394&gt;=0),"Fixed in v1.0.0","Different")))</f>
        <v>Identical</v>
      </c>
      <c r="H394" s="7"/>
    </row>
    <row r="395" spans="1:8" x14ac:dyDescent="0.2">
      <c r="A395" s="20">
        <v>43</v>
      </c>
      <c r="B395" s="21">
        <v>271</v>
      </c>
      <c r="C395" s="21">
        <v>271</v>
      </c>
      <c r="D395" s="22">
        <f>IF(AND(A395&gt;=Constants!$B$8,A395&lt;=Constants!$B$9),Constants!$B$6+Constants!$B$7*(CEILING(A395,1)-Constants!$B$8),Constants!$B$11)</f>
        <v>271</v>
      </c>
      <c r="E395" s="23" t="str">
        <f t="shared" si="6"/>
        <v>OK</v>
      </c>
      <c r="F395" s="24">
        <f>IF(C395&gt;=0,C395/Constants!$B$5,"n/a")</f>
        <v>0.84687500000000004</v>
      </c>
      <c r="G395" s="23" t="str">
        <f>IF(AND(B395=Constants!$B$13,C395&lt;0),"Both error",IF(B395=C395,"Identical",IF(AND(B395=Constants!$B$13,C395&gt;=0),"Fixed in v1.0.0","Different")))</f>
        <v>Identical</v>
      </c>
      <c r="H395" s="7"/>
    </row>
    <row r="396" spans="1:8" x14ac:dyDescent="0.2">
      <c r="A396" s="20">
        <v>43.1</v>
      </c>
      <c r="B396" s="21">
        <v>278</v>
      </c>
      <c r="C396" s="21">
        <v>278</v>
      </c>
      <c r="D396" s="22">
        <f>IF(AND(A396&gt;=Constants!$B$8,A396&lt;=Constants!$B$9),Constants!$B$6+Constants!$B$7*(CEILING(A396,1)-Constants!$B$8),Constants!$B$11)</f>
        <v>278</v>
      </c>
      <c r="E396" s="23" t="str">
        <f t="shared" si="6"/>
        <v>OK</v>
      </c>
      <c r="F396" s="24">
        <f>IF(C396&gt;=0,C396/Constants!$B$5,"n/a")</f>
        <v>0.86875000000000002</v>
      </c>
      <c r="G396" s="23" t="str">
        <f>IF(AND(B396=Constants!$B$13,C396&lt;0),"Both error",IF(B396=C396,"Identical",IF(AND(B396=Constants!$B$13,C396&gt;=0),"Fixed in v1.0.0","Different")))</f>
        <v>Identical</v>
      </c>
      <c r="H396" s="7"/>
    </row>
    <row r="397" spans="1:8" x14ac:dyDescent="0.2">
      <c r="A397" s="20">
        <v>43.2</v>
      </c>
      <c r="B397" s="21">
        <v>278</v>
      </c>
      <c r="C397" s="21">
        <v>278</v>
      </c>
      <c r="D397" s="22">
        <f>IF(AND(A397&gt;=Constants!$B$8,A397&lt;=Constants!$B$9),Constants!$B$6+Constants!$B$7*(CEILING(A397,1)-Constants!$B$8),Constants!$B$11)</f>
        <v>278</v>
      </c>
      <c r="E397" s="23" t="str">
        <f t="shared" si="6"/>
        <v>OK</v>
      </c>
      <c r="F397" s="24">
        <f>IF(C397&gt;=0,C397/Constants!$B$5,"n/a")</f>
        <v>0.86875000000000002</v>
      </c>
      <c r="G397" s="23" t="str">
        <f>IF(AND(B397=Constants!$B$13,C397&lt;0),"Both error",IF(B397=C397,"Identical",IF(AND(B397=Constants!$B$13,C397&gt;=0),"Fixed in v1.0.0","Different")))</f>
        <v>Identical</v>
      </c>
      <c r="H397" s="7"/>
    </row>
    <row r="398" spans="1:8" x14ac:dyDescent="0.2">
      <c r="A398" s="20">
        <v>43.3</v>
      </c>
      <c r="B398" s="21">
        <v>278</v>
      </c>
      <c r="C398" s="21">
        <v>278</v>
      </c>
      <c r="D398" s="22">
        <f>IF(AND(A398&gt;=Constants!$B$8,A398&lt;=Constants!$B$9),Constants!$B$6+Constants!$B$7*(CEILING(A398,1)-Constants!$B$8),Constants!$B$11)</f>
        <v>278</v>
      </c>
      <c r="E398" s="23" t="str">
        <f t="shared" si="6"/>
        <v>OK</v>
      </c>
      <c r="F398" s="24">
        <f>IF(C398&gt;=0,C398/Constants!$B$5,"n/a")</f>
        <v>0.86875000000000002</v>
      </c>
      <c r="G398" s="23" t="str">
        <f>IF(AND(B398=Constants!$B$13,C398&lt;0),"Both error",IF(B398=C398,"Identical",IF(AND(B398=Constants!$B$13,C398&gt;=0),"Fixed in v1.0.0","Different")))</f>
        <v>Identical</v>
      </c>
      <c r="H398" s="7"/>
    </row>
    <row r="399" spans="1:8" x14ac:dyDescent="0.2">
      <c r="A399" s="20">
        <v>43.4</v>
      </c>
      <c r="B399" s="21">
        <v>278</v>
      </c>
      <c r="C399" s="21">
        <v>278</v>
      </c>
      <c r="D399" s="22">
        <f>IF(AND(A399&gt;=Constants!$B$8,A399&lt;=Constants!$B$9),Constants!$B$6+Constants!$B$7*(CEILING(A399,1)-Constants!$B$8),Constants!$B$11)</f>
        <v>278</v>
      </c>
      <c r="E399" s="23" t="str">
        <f t="shared" si="6"/>
        <v>OK</v>
      </c>
      <c r="F399" s="24">
        <f>IF(C399&gt;=0,C399/Constants!$B$5,"n/a")</f>
        <v>0.86875000000000002</v>
      </c>
      <c r="G399" s="23" t="str">
        <f>IF(AND(B399=Constants!$B$13,C399&lt;0),"Both error",IF(B399=C399,"Identical",IF(AND(B399=Constants!$B$13,C399&gt;=0),"Fixed in v1.0.0","Different")))</f>
        <v>Identical</v>
      </c>
      <c r="H399" s="7"/>
    </row>
    <row r="400" spans="1:8" x14ac:dyDescent="0.2">
      <c r="A400" s="20">
        <v>43.5</v>
      </c>
      <c r="B400" s="21">
        <v>278</v>
      </c>
      <c r="C400" s="21">
        <v>278</v>
      </c>
      <c r="D400" s="22">
        <f>IF(AND(A400&gt;=Constants!$B$8,A400&lt;=Constants!$B$9),Constants!$B$6+Constants!$B$7*(CEILING(A400,1)-Constants!$B$8),Constants!$B$11)</f>
        <v>278</v>
      </c>
      <c r="E400" s="23" t="str">
        <f t="shared" si="6"/>
        <v>OK</v>
      </c>
      <c r="F400" s="24">
        <f>IF(C400&gt;=0,C400/Constants!$B$5,"n/a")</f>
        <v>0.86875000000000002</v>
      </c>
      <c r="G400" s="23" t="str">
        <f>IF(AND(B400=Constants!$B$13,C400&lt;0),"Both error",IF(B400=C400,"Identical",IF(AND(B400=Constants!$B$13,C400&gt;=0),"Fixed in v1.0.0","Different")))</f>
        <v>Identical</v>
      </c>
      <c r="H400" s="7"/>
    </row>
    <row r="401" spans="1:8" x14ac:dyDescent="0.2">
      <c r="A401" s="20">
        <v>43.6</v>
      </c>
      <c r="B401" s="21">
        <v>278</v>
      </c>
      <c r="C401" s="21">
        <v>278</v>
      </c>
      <c r="D401" s="22">
        <f>IF(AND(A401&gt;=Constants!$B$8,A401&lt;=Constants!$B$9),Constants!$B$6+Constants!$B$7*(CEILING(A401,1)-Constants!$B$8),Constants!$B$11)</f>
        <v>278</v>
      </c>
      <c r="E401" s="23" t="str">
        <f t="shared" si="6"/>
        <v>OK</v>
      </c>
      <c r="F401" s="24">
        <f>IF(C401&gt;=0,C401/Constants!$B$5,"n/a")</f>
        <v>0.86875000000000002</v>
      </c>
      <c r="G401" s="23" t="str">
        <f>IF(AND(B401=Constants!$B$13,C401&lt;0),"Both error",IF(B401=C401,"Identical",IF(AND(B401=Constants!$B$13,C401&gt;=0),"Fixed in v1.0.0","Different")))</f>
        <v>Identical</v>
      </c>
      <c r="H401" s="7"/>
    </row>
    <row r="402" spans="1:8" x14ac:dyDescent="0.2">
      <c r="A402" s="20">
        <v>43.7</v>
      </c>
      <c r="B402" s="21">
        <v>278</v>
      </c>
      <c r="C402" s="21">
        <v>278</v>
      </c>
      <c r="D402" s="22">
        <f>IF(AND(A402&gt;=Constants!$B$8,A402&lt;=Constants!$B$9),Constants!$B$6+Constants!$B$7*(CEILING(A402,1)-Constants!$B$8),Constants!$B$11)</f>
        <v>278</v>
      </c>
      <c r="E402" s="23" t="str">
        <f t="shared" si="6"/>
        <v>OK</v>
      </c>
      <c r="F402" s="24">
        <f>IF(C402&gt;=0,C402/Constants!$B$5,"n/a")</f>
        <v>0.86875000000000002</v>
      </c>
      <c r="G402" s="23" t="str">
        <f>IF(AND(B402=Constants!$B$13,C402&lt;0),"Both error",IF(B402=C402,"Identical",IF(AND(B402=Constants!$B$13,C402&gt;=0),"Fixed in v1.0.0","Different")))</f>
        <v>Identical</v>
      </c>
      <c r="H402" s="7"/>
    </row>
    <row r="403" spans="1:8" x14ac:dyDescent="0.2">
      <c r="A403" s="20">
        <v>43.8</v>
      </c>
      <c r="B403" s="21">
        <v>278</v>
      </c>
      <c r="C403" s="21">
        <v>278</v>
      </c>
      <c r="D403" s="22">
        <f>IF(AND(A403&gt;=Constants!$B$8,A403&lt;=Constants!$B$9),Constants!$B$6+Constants!$B$7*(CEILING(A403,1)-Constants!$B$8),Constants!$B$11)</f>
        <v>278</v>
      </c>
      <c r="E403" s="23" t="str">
        <f t="shared" si="6"/>
        <v>OK</v>
      </c>
      <c r="F403" s="24">
        <f>IF(C403&gt;=0,C403/Constants!$B$5,"n/a")</f>
        <v>0.86875000000000002</v>
      </c>
      <c r="G403" s="23" t="str">
        <f>IF(AND(B403=Constants!$B$13,C403&lt;0),"Both error",IF(B403=C403,"Identical",IF(AND(B403=Constants!$B$13,C403&gt;=0),"Fixed in v1.0.0","Different")))</f>
        <v>Identical</v>
      </c>
      <c r="H403" s="7"/>
    </row>
    <row r="404" spans="1:8" x14ac:dyDescent="0.2">
      <c r="A404" s="20">
        <v>43.9</v>
      </c>
      <c r="B404" s="21">
        <v>278</v>
      </c>
      <c r="C404" s="21">
        <v>278</v>
      </c>
      <c r="D404" s="22">
        <f>IF(AND(A404&gt;=Constants!$B$8,A404&lt;=Constants!$B$9),Constants!$B$6+Constants!$B$7*(CEILING(A404,1)-Constants!$B$8),Constants!$B$11)</f>
        <v>278</v>
      </c>
      <c r="E404" s="23" t="str">
        <f t="shared" si="6"/>
        <v>OK</v>
      </c>
      <c r="F404" s="24">
        <f>IF(C404&gt;=0,C404/Constants!$B$5,"n/a")</f>
        <v>0.86875000000000002</v>
      </c>
      <c r="G404" s="23" t="str">
        <f>IF(AND(B404=Constants!$B$13,C404&lt;0),"Both error",IF(B404=C404,"Identical",IF(AND(B404=Constants!$B$13,C404&gt;=0),"Fixed in v1.0.0","Different")))</f>
        <v>Identical</v>
      </c>
      <c r="H404" s="7"/>
    </row>
    <row r="405" spans="1:8" x14ac:dyDescent="0.2">
      <c r="A405" s="20">
        <v>44</v>
      </c>
      <c r="B405" s="21">
        <v>278</v>
      </c>
      <c r="C405" s="21">
        <v>278</v>
      </c>
      <c r="D405" s="22">
        <f>IF(AND(A405&gt;=Constants!$B$8,A405&lt;=Constants!$B$9),Constants!$B$6+Constants!$B$7*(CEILING(A405,1)-Constants!$B$8),Constants!$B$11)</f>
        <v>278</v>
      </c>
      <c r="E405" s="23" t="str">
        <f t="shared" si="6"/>
        <v>OK</v>
      </c>
      <c r="F405" s="24">
        <f>IF(C405&gt;=0,C405/Constants!$B$5,"n/a")</f>
        <v>0.86875000000000002</v>
      </c>
      <c r="G405" s="23" t="str">
        <f>IF(AND(B405=Constants!$B$13,C405&lt;0),"Both error",IF(B405=C405,"Identical",IF(AND(B405=Constants!$B$13,C405&gt;=0),"Fixed in v1.0.0","Different")))</f>
        <v>Identical</v>
      </c>
      <c r="H405" s="7"/>
    </row>
    <row r="406" spans="1:8" x14ac:dyDescent="0.2">
      <c r="A406" s="20">
        <v>44.1</v>
      </c>
      <c r="B406" s="21">
        <v>285</v>
      </c>
      <c r="C406" s="21">
        <v>285</v>
      </c>
      <c r="D406" s="22">
        <f>IF(AND(A406&gt;=Constants!$B$8,A406&lt;=Constants!$B$9),Constants!$B$6+Constants!$B$7*(CEILING(A406,1)-Constants!$B$8),Constants!$B$11)</f>
        <v>285</v>
      </c>
      <c r="E406" s="23" t="str">
        <f t="shared" si="6"/>
        <v>OK</v>
      </c>
      <c r="F406" s="24">
        <f>IF(C406&gt;=0,C406/Constants!$B$5,"n/a")</f>
        <v>0.890625</v>
      </c>
      <c r="G406" s="23" t="str">
        <f>IF(AND(B406=Constants!$B$13,C406&lt;0),"Both error",IF(B406=C406,"Identical",IF(AND(B406=Constants!$B$13,C406&gt;=0),"Fixed in v1.0.0","Different")))</f>
        <v>Identical</v>
      </c>
      <c r="H406" s="7"/>
    </row>
    <row r="407" spans="1:8" x14ac:dyDescent="0.2">
      <c r="A407" s="20">
        <v>44.2</v>
      </c>
      <c r="B407" s="21">
        <v>285</v>
      </c>
      <c r="C407" s="21">
        <v>285</v>
      </c>
      <c r="D407" s="22">
        <f>IF(AND(A407&gt;=Constants!$B$8,A407&lt;=Constants!$B$9),Constants!$B$6+Constants!$B$7*(CEILING(A407,1)-Constants!$B$8),Constants!$B$11)</f>
        <v>285</v>
      </c>
      <c r="E407" s="23" t="str">
        <f t="shared" si="6"/>
        <v>OK</v>
      </c>
      <c r="F407" s="24">
        <f>IF(C407&gt;=0,C407/Constants!$B$5,"n/a")</f>
        <v>0.890625</v>
      </c>
      <c r="G407" s="23" t="str">
        <f>IF(AND(B407=Constants!$B$13,C407&lt;0),"Both error",IF(B407=C407,"Identical",IF(AND(B407=Constants!$B$13,C407&gt;=0),"Fixed in v1.0.0","Different")))</f>
        <v>Identical</v>
      </c>
      <c r="H407" s="7"/>
    </row>
    <row r="408" spans="1:8" x14ac:dyDescent="0.2">
      <c r="A408" s="20">
        <v>44.3</v>
      </c>
      <c r="B408" s="21">
        <v>285</v>
      </c>
      <c r="C408" s="21">
        <v>285</v>
      </c>
      <c r="D408" s="22">
        <f>IF(AND(A408&gt;=Constants!$B$8,A408&lt;=Constants!$B$9),Constants!$B$6+Constants!$B$7*(CEILING(A408,1)-Constants!$B$8),Constants!$B$11)</f>
        <v>285</v>
      </c>
      <c r="E408" s="23" t="str">
        <f t="shared" si="6"/>
        <v>OK</v>
      </c>
      <c r="F408" s="24">
        <f>IF(C408&gt;=0,C408/Constants!$B$5,"n/a")</f>
        <v>0.890625</v>
      </c>
      <c r="G408" s="23" t="str">
        <f>IF(AND(B408=Constants!$B$13,C408&lt;0),"Both error",IF(B408=C408,"Identical",IF(AND(B408=Constants!$B$13,C408&gt;=0),"Fixed in v1.0.0","Different")))</f>
        <v>Identical</v>
      </c>
      <c r="H408" s="7"/>
    </row>
    <row r="409" spans="1:8" x14ac:dyDescent="0.2">
      <c r="A409" s="20">
        <v>44.4</v>
      </c>
      <c r="B409" s="21">
        <v>285</v>
      </c>
      <c r="C409" s="21">
        <v>285</v>
      </c>
      <c r="D409" s="22">
        <f>IF(AND(A409&gt;=Constants!$B$8,A409&lt;=Constants!$B$9),Constants!$B$6+Constants!$B$7*(CEILING(A409,1)-Constants!$B$8),Constants!$B$11)</f>
        <v>285</v>
      </c>
      <c r="E409" s="23" t="str">
        <f t="shared" si="6"/>
        <v>OK</v>
      </c>
      <c r="F409" s="24">
        <f>IF(C409&gt;=0,C409/Constants!$B$5,"n/a")</f>
        <v>0.890625</v>
      </c>
      <c r="G409" s="23" t="str">
        <f>IF(AND(B409=Constants!$B$13,C409&lt;0),"Both error",IF(B409=C409,"Identical",IF(AND(B409=Constants!$B$13,C409&gt;=0),"Fixed in v1.0.0","Different")))</f>
        <v>Identical</v>
      </c>
      <c r="H409" s="7"/>
    </row>
    <row r="410" spans="1:8" x14ac:dyDescent="0.2">
      <c r="A410" s="20">
        <v>44.5</v>
      </c>
      <c r="B410" s="21">
        <v>285</v>
      </c>
      <c r="C410" s="21">
        <v>285</v>
      </c>
      <c r="D410" s="22">
        <f>IF(AND(A410&gt;=Constants!$B$8,A410&lt;=Constants!$B$9),Constants!$B$6+Constants!$B$7*(CEILING(A410,1)-Constants!$B$8),Constants!$B$11)</f>
        <v>285</v>
      </c>
      <c r="E410" s="23" t="str">
        <f t="shared" si="6"/>
        <v>OK</v>
      </c>
      <c r="F410" s="24">
        <f>IF(C410&gt;=0,C410/Constants!$B$5,"n/a")</f>
        <v>0.890625</v>
      </c>
      <c r="G410" s="23" t="str">
        <f>IF(AND(B410=Constants!$B$13,C410&lt;0),"Both error",IF(B410=C410,"Identical",IF(AND(B410=Constants!$B$13,C410&gt;=0),"Fixed in v1.0.0","Different")))</f>
        <v>Identical</v>
      </c>
      <c r="H410" s="7"/>
    </row>
    <row r="411" spans="1:8" x14ac:dyDescent="0.2">
      <c r="A411" s="20">
        <v>44.6</v>
      </c>
      <c r="B411" s="21">
        <v>285</v>
      </c>
      <c r="C411" s="21">
        <v>285</v>
      </c>
      <c r="D411" s="22">
        <f>IF(AND(A411&gt;=Constants!$B$8,A411&lt;=Constants!$B$9),Constants!$B$6+Constants!$B$7*(CEILING(A411,1)-Constants!$B$8),Constants!$B$11)</f>
        <v>285</v>
      </c>
      <c r="E411" s="23" t="str">
        <f t="shared" si="6"/>
        <v>OK</v>
      </c>
      <c r="F411" s="24">
        <f>IF(C411&gt;=0,C411/Constants!$B$5,"n/a")</f>
        <v>0.890625</v>
      </c>
      <c r="G411" s="23" t="str">
        <f>IF(AND(B411=Constants!$B$13,C411&lt;0),"Both error",IF(B411=C411,"Identical",IF(AND(B411=Constants!$B$13,C411&gt;=0),"Fixed in v1.0.0","Different")))</f>
        <v>Identical</v>
      </c>
      <c r="H411" s="7"/>
    </row>
    <row r="412" spans="1:8" x14ac:dyDescent="0.2">
      <c r="A412" s="20">
        <v>44.7</v>
      </c>
      <c r="B412" s="21">
        <v>285</v>
      </c>
      <c r="C412" s="21">
        <v>285</v>
      </c>
      <c r="D412" s="22">
        <f>IF(AND(A412&gt;=Constants!$B$8,A412&lt;=Constants!$B$9),Constants!$B$6+Constants!$B$7*(CEILING(A412,1)-Constants!$B$8),Constants!$B$11)</f>
        <v>285</v>
      </c>
      <c r="E412" s="23" t="str">
        <f t="shared" si="6"/>
        <v>OK</v>
      </c>
      <c r="F412" s="24">
        <f>IF(C412&gt;=0,C412/Constants!$B$5,"n/a")</f>
        <v>0.890625</v>
      </c>
      <c r="G412" s="23" t="str">
        <f>IF(AND(B412=Constants!$B$13,C412&lt;0),"Both error",IF(B412=C412,"Identical",IF(AND(B412=Constants!$B$13,C412&gt;=0),"Fixed in v1.0.0","Different")))</f>
        <v>Identical</v>
      </c>
      <c r="H412" s="7"/>
    </row>
    <row r="413" spans="1:8" x14ac:dyDescent="0.2">
      <c r="A413" s="20">
        <v>44.8</v>
      </c>
      <c r="B413" s="21">
        <v>285</v>
      </c>
      <c r="C413" s="21">
        <v>285</v>
      </c>
      <c r="D413" s="22">
        <f>IF(AND(A413&gt;=Constants!$B$8,A413&lt;=Constants!$B$9),Constants!$B$6+Constants!$B$7*(CEILING(A413,1)-Constants!$B$8),Constants!$B$11)</f>
        <v>285</v>
      </c>
      <c r="E413" s="23" t="str">
        <f t="shared" si="6"/>
        <v>OK</v>
      </c>
      <c r="F413" s="24">
        <f>IF(C413&gt;=0,C413/Constants!$B$5,"n/a")</f>
        <v>0.890625</v>
      </c>
      <c r="G413" s="23" t="str">
        <f>IF(AND(B413=Constants!$B$13,C413&lt;0),"Both error",IF(B413=C413,"Identical",IF(AND(B413=Constants!$B$13,C413&gt;=0),"Fixed in v1.0.0","Different")))</f>
        <v>Identical</v>
      </c>
      <c r="H413" s="7"/>
    </row>
    <row r="414" spans="1:8" x14ac:dyDescent="0.2">
      <c r="A414" s="20">
        <v>44.9</v>
      </c>
      <c r="B414" s="21">
        <v>285</v>
      </c>
      <c r="C414" s="21">
        <v>285</v>
      </c>
      <c r="D414" s="22">
        <f>IF(AND(A414&gt;=Constants!$B$8,A414&lt;=Constants!$B$9),Constants!$B$6+Constants!$B$7*(CEILING(A414,1)-Constants!$B$8),Constants!$B$11)</f>
        <v>285</v>
      </c>
      <c r="E414" s="23" t="str">
        <f t="shared" si="6"/>
        <v>OK</v>
      </c>
      <c r="F414" s="24">
        <f>IF(C414&gt;=0,C414/Constants!$B$5,"n/a")</f>
        <v>0.890625</v>
      </c>
      <c r="G414" s="23" t="str">
        <f>IF(AND(B414=Constants!$B$13,C414&lt;0),"Both error",IF(B414=C414,"Identical",IF(AND(B414=Constants!$B$13,C414&gt;=0),"Fixed in v1.0.0","Different")))</f>
        <v>Identical</v>
      </c>
      <c r="H414" s="7"/>
    </row>
    <row r="415" spans="1:8" x14ac:dyDescent="0.2">
      <c r="A415" s="20">
        <v>45</v>
      </c>
      <c r="B415" s="21">
        <v>285</v>
      </c>
      <c r="C415" s="21">
        <v>285</v>
      </c>
      <c r="D415" s="22">
        <f>IF(AND(A415&gt;=Constants!$B$8,A415&lt;=Constants!$B$9),Constants!$B$6+Constants!$B$7*(CEILING(A415,1)-Constants!$B$8),Constants!$B$11)</f>
        <v>285</v>
      </c>
      <c r="E415" s="23" t="str">
        <f t="shared" si="6"/>
        <v>OK</v>
      </c>
      <c r="F415" s="24">
        <f>IF(C415&gt;=0,C415/Constants!$B$5,"n/a")</f>
        <v>0.890625</v>
      </c>
      <c r="G415" s="23" t="str">
        <f>IF(AND(B415=Constants!$B$13,C415&lt;0),"Both error",IF(B415=C415,"Identical",IF(AND(B415=Constants!$B$13,C415&gt;=0),"Fixed in v1.0.0","Different")))</f>
        <v>Identical</v>
      </c>
      <c r="H415" s="7"/>
    </row>
    <row r="416" spans="1:8" x14ac:dyDescent="0.2">
      <c r="A416" s="20">
        <v>45.1</v>
      </c>
      <c r="B416" s="21">
        <v>292</v>
      </c>
      <c r="C416" s="21">
        <v>292</v>
      </c>
      <c r="D416" s="22">
        <f>IF(AND(A416&gt;=Constants!$B$8,A416&lt;=Constants!$B$9),Constants!$B$6+Constants!$B$7*(CEILING(A416,1)-Constants!$B$8),Constants!$B$11)</f>
        <v>292</v>
      </c>
      <c r="E416" s="23" t="str">
        <f t="shared" si="6"/>
        <v>OK</v>
      </c>
      <c r="F416" s="24">
        <f>IF(C416&gt;=0,C416/Constants!$B$5,"n/a")</f>
        <v>0.91249999999999998</v>
      </c>
      <c r="G416" s="23" t="str">
        <f>IF(AND(B416=Constants!$B$13,C416&lt;0),"Both error",IF(B416=C416,"Identical",IF(AND(B416=Constants!$B$13,C416&gt;=0),"Fixed in v1.0.0","Different")))</f>
        <v>Identical</v>
      </c>
      <c r="H416" s="7"/>
    </row>
    <row r="417" spans="1:8" x14ac:dyDescent="0.2">
      <c r="A417" s="20">
        <v>45.2</v>
      </c>
      <c r="B417" s="21">
        <v>292</v>
      </c>
      <c r="C417" s="21">
        <v>292</v>
      </c>
      <c r="D417" s="22">
        <f>IF(AND(A417&gt;=Constants!$B$8,A417&lt;=Constants!$B$9),Constants!$B$6+Constants!$B$7*(CEILING(A417,1)-Constants!$B$8),Constants!$B$11)</f>
        <v>292</v>
      </c>
      <c r="E417" s="23" t="str">
        <f t="shared" si="6"/>
        <v>OK</v>
      </c>
      <c r="F417" s="24">
        <f>IF(C417&gt;=0,C417/Constants!$B$5,"n/a")</f>
        <v>0.91249999999999998</v>
      </c>
      <c r="G417" s="23" t="str">
        <f>IF(AND(B417=Constants!$B$13,C417&lt;0),"Both error",IF(B417=C417,"Identical",IF(AND(B417=Constants!$B$13,C417&gt;=0),"Fixed in v1.0.0","Different")))</f>
        <v>Identical</v>
      </c>
      <c r="H417" s="7"/>
    </row>
    <row r="418" spans="1:8" x14ac:dyDescent="0.2">
      <c r="A418" s="20">
        <v>45.3</v>
      </c>
      <c r="B418" s="21">
        <v>292</v>
      </c>
      <c r="C418" s="21">
        <v>292</v>
      </c>
      <c r="D418" s="22">
        <f>IF(AND(A418&gt;=Constants!$B$8,A418&lt;=Constants!$B$9),Constants!$B$6+Constants!$B$7*(CEILING(A418,1)-Constants!$B$8),Constants!$B$11)</f>
        <v>292</v>
      </c>
      <c r="E418" s="23" t="str">
        <f t="shared" si="6"/>
        <v>OK</v>
      </c>
      <c r="F418" s="24">
        <f>IF(C418&gt;=0,C418/Constants!$B$5,"n/a")</f>
        <v>0.91249999999999998</v>
      </c>
      <c r="G418" s="23" t="str">
        <f>IF(AND(B418=Constants!$B$13,C418&lt;0),"Both error",IF(B418=C418,"Identical",IF(AND(B418=Constants!$B$13,C418&gt;=0),"Fixed in v1.0.0","Different")))</f>
        <v>Identical</v>
      </c>
      <c r="H418" s="7"/>
    </row>
    <row r="419" spans="1:8" x14ac:dyDescent="0.2">
      <c r="A419" s="20">
        <v>45.4</v>
      </c>
      <c r="B419" s="21">
        <v>292</v>
      </c>
      <c r="C419" s="21">
        <v>292</v>
      </c>
      <c r="D419" s="22">
        <f>IF(AND(A419&gt;=Constants!$B$8,A419&lt;=Constants!$B$9),Constants!$B$6+Constants!$B$7*(CEILING(A419,1)-Constants!$B$8),Constants!$B$11)</f>
        <v>292</v>
      </c>
      <c r="E419" s="23" t="str">
        <f t="shared" si="6"/>
        <v>OK</v>
      </c>
      <c r="F419" s="24">
        <f>IF(C419&gt;=0,C419/Constants!$B$5,"n/a")</f>
        <v>0.91249999999999998</v>
      </c>
      <c r="G419" s="23" t="str">
        <f>IF(AND(B419=Constants!$B$13,C419&lt;0),"Both error",IF(B419=C419,"Identical",IF(AND(B419=Constants!$B$13,C419&gt;=0),"Fixed in v1.0.0","Different")))</f>
        <v>Identical</v>
      </c>
      <c r="H419" s="7"/>
    </row>
    <row r="420" spans="1:8" x14ac:dyDescent="0.2">
      <c r="A420" s="20">
        <v>45.5</v>
      </c>
      <c r="B420" s="21">
        <v>292</v>
      </c>
      <c r="C420" s="21">
        <v>292</v>
      </c>
      <c r="D420" s="22">
        <f>IF(AND(A420&gt;=Constants!$B$8,A420&lt;=Constants!$B$9),Constants!$B$6+Constants!$B$7*(CEILING(A420,1)-Constants!$B$8),Constants!$B$11)</f>
        <v>292</v>
      </c>
      <c r="E420" s="23" t="str">
        <f t="shared" si="6"/>
        <v>OK</v>
      </c>
      <c r="F420" s="24">
        <f>IF(C420&gt;=0,C420/Constants!$B$5,"n/a")</f>
        <v>0.91249999999999998</v>
      </c>
      <c r="G420" s="23" t="str">
        <f>IF(AND(B420=Constants!$B$13,C420&lt;0),"Both error",IF(B420=C420,"Identical",IF(AND(B420=Constants!$B$13,C420&gt;=0),"Fixed in v1.0.0","Different")))</f>
        <v>Identical</v>
      </c>
      <c r="H420" s="7"/>
    </row>
    <row r="421" spans="1:8" x14ac:dyDescent="0.2">
      <c r="A421" s="20">
        <v>45.6</v>
      </c>
      <c r="B421" s="21">
        <v>292</v>
      </c>
      <c r="C421" s="21">
        <v>292</v>
      </c>
      <c r="D421" s="22">
        <f>IF(AND(A421&gt;=Constants!$B$8,A421&lt;=Constants!$B$9),Constants!$B$6+Constants!$B$7*(CEILING(A421,1)-Constants!$B$8),Constants!$B$11)</f>
        <v>292</v>
      </c>
      <c r="E421" s="23" t="str">
        <f t="shared" si="6"/>
        <v>OK</v>
      </c>
      <c r="F421" s="24">
        <f>IF(C421&gt;=0,C421/Constants!$B$5,"n/a")</f>
        <v>0.91249999999999998</v>
      </c>
      <c r="G421" s="23" t="str">
        <f>IF(AND(B421=Constants!$B$13,C421&lt;0),"Both error",IF(B421=C421,"Identical",IF(AND(B421=Constants!$B$13,C421&gt;=0),"Fixed in v1.0.0","Different")))</f>
        <v>Identical</v>
      </c>
      <c r="H421" s="7"/>
    </row>
    <row r="422" spans="1:8" x14ac:dyDescent="0.2">
      <c r="A422" s="20">
        <v>45.7</v>
      </c>
      <c r="B422" s="21">
        <v>292</v>
      </c>
      <c r="C422" s="21">
        <v>292</v>
      </c>
      <c r="D422" s="22">
        <f>IF(AND(A422&gt;=Constants!$B$8,A422&lt;=Constants!$B$9),Constants!$B$6+Constants!$B$7*(CEILING(A422,1)-Constants!$B$8),Constants!$B$11)</f>
        <v>292</v>
      </c>
      <c r="E422" s="23" t="str">
        <f t="shared" si="6"/>
        <v>OK</v>
      </c>
      <c r="F422" s="24">
        <f>IF(C422&gt;=0,C422/Constants!$B$5,"n/a")</f>
        <v>0.91249999999999998</v>
      </c>
      <c r="G422" s="23" t="str">
        <f>IF(AND(B422=Constants!$B$13,C422&lt;0),"Both error",IF(B422=C422,"Identical",IF(AND(B422=Constants!$B$13,C422&gt;=0),"Fixed in v1.0.0","Different")))</f>
        <v>Identical</v>
      </c>
      <c r="H422" s="7"/>
    </row>
    <row r="423" spans="1:8" x14ac:dyDescent="0.2">
      <c r="A423" s="20">
        <v>45.8</v>
      </c>
      <c r="B423" s="21">
        <v>292</v>
      </c>
      <c r="C423" s="21">
        <v>292</v>
      </c>
      <c r="D423" s="22">
        <f>IF(AND(A423&gt;=Constants!$B$8,A423&lt;=Constants!$B$9),Constants!$B$6+Constants!$B$7*(CEILING(A423,1)-Constants!$B$8),Constants!$B$11)</f>
        <v>292</v>
      </c>
      <c r="E423" s="23" t="str">
        <f t="shared" si="6"/>
        <v>OK</v>
      </c>
      <c r="F423" s="24">
        <f>IF(C423&gt;=0,C423/Constants!$B$5,"n/a")</f>
        <v>0.91249999999999998</v>
      </c>
      <c r="G423" s="23" t="str">
        <f>IF(AND(B423=Constants!$B$13,C423&lt;0),"Both error",IF(B423=C423,"Identical",IF(AND(B423=Constants!$B$13,C423&gt;=0),"Fixed in v1.0.0","Different")))</f>
        <v>Identical</v>
      </c>
      <c r="H423" s="7"/>
    </row>
    <row r="424" spans="1:8" x14ac:dyDescent="0.2">
      <c r="A424" s="20">
        <v>45.9</v>
      </c>
      <c r="B424" s="21">
        <v>292</v>
      </c>
      <c r="C424" s="21">
        <v>292</v>
      </c>
      <c r="D424" s="22">
        <f>IF(AND(A424&gt;=Constants!$B$8,A424&lt;=Constants!$B$9),Constants!$B$6+Constants!$B$7*(CEILING(A424,1)-Constants!$B$8),Constants!$B$11)</f>
        <v>292</v>
      </c>
      <c r="E424" s="23" t="str">
        <f t="shared" si="6"/>
        <v>OK</v>
      </c>
      <c r="F424" s="24">
        <f>IF(C424&gt;=0,C424/Constants!$B$5,"n/a")</f>
        <v>0.91249999999999998</v>
      </c>
      <c r="G424" s="23" t="str">
        <f>IF(AND(B424=Constants!$B$13,C424&lt;0),"Both error",IF(B424=C424,"Identical",IF(AND(B424=Constants!$B$13,C424&gt;=0),"Fixed in v1.0.0","Different")))</f>
        <v>Identical</v>
      </c>
      <c r="H424" s="7"/>
    </row>
    <row r="425" spans="1:8" x14ac:dyDescent="0.2">
      <c r="A425" s="20">
        <v>46</v>
      </c>
      <c r="B425" s="21">
        <v>292</v>
      </c>
      <c r="C425" s="21">
        <v>292</v>
      </c>
      <c r="D425" s="22">
        <f>IF(AND(A425&gt;=Constants!$B$8,A425&lt;=Constants!$B$9),Constants!$B$6+Constants!$B$7*(CEILING(A425,1)-Constants!$B$8),Constants!$B$11)</f>
        <v>292</v>
      </c>
      <c r="E425" s="23" t="str">
        <f t="shared" si="6"/>
        <v>OK</v>
      </c>
      <c r="F425" s="24">
        <f>IF(C425&gt;=0,C425/Constants!$B$5,"n/a")</f>
        <v>0.91249999999999998</v>
      </c>
      <c r="G425" s="23" t="str">
        <f>IF(AND(B425=Constants!$B$13,C425&lt;0),"Both error",IF(B425=C425,"Identical",IF(AND(B425=Constants!$B$13,C425&gt;=0),"Fixed in v1.0.0","Different")))</f>
        <v>Identical</v>
      </c>
      <c r="H425" s="7"/>
    </row>
    <row r="426" spans="1:8" x14ac:dyDescent="0.2">
      <c r="A426" s="20">
        <v>46.1</v>
      </c>
      <c r="B426" s="21">
        <v>299</v>
      </c>
      <c r="C426" s="21">
        <v>299</v>
      </c>
      <c r="D426" s="22">
        <f>IF(AND(A426&gt;=Constants!$B$8,A426&lt;=Constants!$B$9),Constants!$B$6+Constants!$B$7*(CEILING(A426,1)-Constants!$B$8),Constants!$B$11)</f>
        <v>299</v>
      </c>
      <c r="E426" s="23" t="str">
        <f t="shared" si="6"/>
        <v>OK</v>
      </c>
      <c r="F426" s="24">
        <f>IF(C426&gt;=0,C426/Constants!$B$5,"n/a")</f>
        <v>0.93437499999999996</v>
      </c>
      <c r="G426" s="23" t="str">
        <f>IF(AND(B426=Constants!$B$13,C426&lt;0),"Both error",IF(B426=C426,"Identical",IF(AND(B426=Constants!$B$13,C426&gt;=0),"Fixed in v1.0.0","Different")))</f>
        <v>Identical</v>
      </c>
      <c r="H426" s="7"/>
    </row>
    <row r="427" spans="1:8" x14ac:dyDescent="0.2">
      <c r="A427" s="20">
        <v>46.2</v>
      </c>
      <c r="B427" s="21">
        <v>299</v>
      </c>
      <c r="C427" s="21">
        <v>299</v>
      </c>
      <c r="D427" s="22">
        <f>IF(AND(A427&gt;=Constants!$B$8,A427&lt;=Constants!$B$9),Constants!$B$6+Constants!$B$7*(CEILING(A427,1)-Constants!$B$8),Constants!$B$11)</f>
        <v>299</v>
      </c>
      <c r="E427" s="23" t="str">
        <f t="shared" si="6"/>
        <v>OK</v>
      </c>
      <c r="F427" s="24">
        <f>IF(C427&gt;=0,C427/Constants!$B$5,"n/a")</f>
        <v>0.93437499999999996</v>
      </c>
      <c r="G427" s="23" t="str">
        <f>IF(AND(B427=Constants!$B$13,C427&lt;0),"Both error",IF(B427=C427,"Identical",IF(AND(B427=Constants!$B$13,C427&gt;=0),"Fixed in v1.0.0","Different")))</f>
        <v>Identical</v>
      </c>
      <c r="H427" s="7"/>
    </row>
    <row r="428" spans="1:8" x14ac:dyDescent="0.2">
      <c r="A428" s="20">
        <v>46.3</v>
      </c>
      <c r="B428" s="21">
        <v>299</v>
      </c>
      <c r="C428" s="21">
        <v>299</v>
      </c>
      <c r="D428" s="22">
        <f>IF(AND(A428&gt;=Constants!$B$8,A428&lt;=Constants!$B$9),Constants!$B$6+Constants!$B$7*(CEILING(A428,1)-Constants!$B$8),Constants!$B$11)</f>
        <v>299</v>
      </c>
      <c r="E428" s="23" t="str">
        <f t="shared" si="6"/>
        <v>OK</v>
      </c>
      <c r="F428" s="24">
        <f>IF(C428&gt;=0,C428/Constants!$B$5,"n/a")</f>
        <v>0.93437499999999996</v>
      </c>
      <c r="G428" s="23" t="str">
        <f>IF(AND(B428=Constants!$B$13,C428&lt;0),"Both error",IF(B428=C428,"Identical",IF(AND(B428=Constants!$B$13,C428&gt;=0),"Fixed in v1.0.0","Different")))</f>
        <v>Identical</v>
      </c>
      <c r="H428" s="7"/>
    </row>
    <row r="429" spans="1:8" x14ac:dyDescent="0.2">
      <c r="A429" s="20">
        <v>46.4</v>
      </c>
      <c r="B429" s="21">
        <v>299</v>
      </c>
      <c r="C429" s="21">
        <v>299</v>
      </c>
      <c r="D429" s="22">
        <f>IF(AND(A429&gt;=Constants!$B$8,A429&lt;=Constants!$B$9),Constants!$B$6+Constants!$B$7*(CEILING(A429,1)-Constants!$B$8),Constants!$B$11)</f>
        <v>299</v>
      </c>
      <c r="E429" s="23" t="str">
        <f t="shared" si="6"/>
        <v>OK</v>
      </c>
      <c r="F429" s="24">
        <f>IF(C429&gt;=0,C429/Constants!$B$5,"n/a")</f>
        <v>0.93437499999999996</v>
      </c>
      <c r="G429" s="23" t="str">
        <f>IF(AND(B429=Constants!$B$13,C429&lt;0),"Both error",IF(B429=C429,"Identical",IF(AND(B429=Constants!$B$13,C429&gt;=0),"Fixed in v1.0.0","Different")))</f>
        <v>Identical</v>
      </c>
      <c r="H429" s="7"/>
    </row>
    <row r="430" spans="1:8" x14ac:dyDescent="0.2">
      <c r="A430" s="20">
        <v>46.5</v>
      </c>
      <c r="B430" s="21">
        <v>299</v>
      </c>
      <c r="C430" s="21">
        <v>299</v>
      </c>
      <c r="D430" s="22">
        <f>IF(AND(A430&gt;=Constants!$B$8,A430&lt;=Constants!$B$9),Constants!$B$6+Constants!$B$7*(CEILING(A430,1)-Constants!$B$8),Constants!$B$11)</f>
        <v>299</v>
      </c>
      <c r="E430" s="23" t="str">
        <f t="shared" si="6"/>
        <v>OK</v>
      </c>
      <c r="F430" s="24">
        <f>IF(C430&gt;=0,C430/Constants!$B$5,"n/a")</f>
        <v>0.93437499999999996</v>
      </c>
      <c r="G430" s="23" t="str">
        <f>IF(AND(B430=Constants!$B$13,C430&lt;0),"Both error",IF(B430=C430,"Identical",IF(AND(B430=Constants!$B$13,C430&gt;=0),"Fixed in v1.0.0","Different")))</f>
        <v>Identical</v>
      </c>
      <c r="H430" s="7"/>
    </row>
    <row r="431" spans="1:8" x14ac:dyDescent="0.2">
      <c r="A431" s="20">
        <v>46.6</v>
      </c>
      <c r="B431" s="21">
        <v>299</v>
      </c>
      <c r="C431" s="21">
        <v>299</v>
      </c>
      <c r="D431" s="22">
        <f>IF(AND(A431&gt;=Constants!$B$8,A431&lt;=Constants!$B$9),Constants!$B$6+Constants!$B$7*(CEILING(A431,1)-Constants!$B$8),Constants!$B$11)</f>
        <v>299</v>
      </c>
      <c r="E431" s="23" t="str">
        <f t="shared" si="6"/>
        <v>OK</v>
      </c>
      <c r="F431" s="24">
        <f>IF(C431&gt;=0,C431/Constants!$B$5,"n/a")</f>
        <v>0.93437499999999996</v>
      </c>
      <c r="G431" s="23" t="str">
        <f>IF(AND(B431=Constants!$B$13,C431&lt;0),"Both error",IF(B431=C431,"Identical",IF(AND(B431=Constants!$B$13,C431&gt;=0),"Fixed in v1.0.0","Different")))</f>
        <v>Identical</v>
      </c>
      <c r="H431" s="7"/>
    </row>
    <row r="432" spans="1:8" x14ac:dyDescent="0.2">
      <c r="A432" s="20">
        <v>46.7</v>
      </c>
      <c r="B432" s="21">
        <v>299</v>
      </c>
      <c r="C432" s="21">
        <v>299</v>
      </c>
      <c r="D432" s="22">
        <f>IF(AND(A432&gt;=Constants!$B$8,A432&lt;=Constants!$B$9),Constants!$B$6+Constants!$B$7*(CEILING(A432,1)-Constants!$B$8),Constants!$B$11)</f>
        <v>299</v>
      </c>
      <c r="E432" s="23" t="str">
        <f t="shared" si="6"/>
        <v>OK</v>
      </c>
      <c r="F432" s="24">
        <f>IF(C432&gt;=0,C432/Constants!$B$5,"n/a")</f>
        <v>0.93437499999999996</v>
      </c>
      <c r="G432" s="23" t="str">
        <f>IF(AND(B432=Constants!$B$13,C432&lt;0),"Both error",IF(B432=C432,"Identical",IF(AND(B432=Constants!$B$13,C432&gt;=0),"Fixed in v1.0.0","Different")))</f>
        <v>Identical</v>
      </c>
      <c r="H432" s="7"/>
    </row>
    <row r="433" spans="1:8" x14ac:dyDescent="0.2">
      <c r="A433" s="20">
        <v>46.8</v>
      </c>
      <c r="B433" s="21">
        <v>299</v>
      </c>
      <c r="C433" s="21">
        <v>299</v>
      </c>
      <c r="D433" s="22">
        <f>IF(AND(A433&gt;=Constants!$B$8,A433&lt;=Constants!$B$9),Constants!$B$6+Constants!$B$7*(CEILING(A433,1)-Constants!$B$8),Constants!$B$11)</f>
        <v>299</v>
      </c>
      <c r="E433" s="23" t="str">
        <f t="shared" si="6"/>
        <v>OK</v>
      </c>
      <c r="F433" s="24">
        <f>IF(C433&gt;=0,C433/Constants!$B$5,"n/a")</f>
        <v>0.93437499999999996</v>
      </c>
      <c r="G433" s="23" t="str">
        <f>IF(AND(B433=Constants!$B$13,C433&lt;0),"Both error",IF(B433=C433,"Identical",IF(AND(B433=Constants!$B$13,C433&gt;=0),"Fixed in v1.0.0","Different")))</f>
        <v>Identical</v>
      </c>
      <c r="H433" s="7"/>
    </row>
    <row r="434" spans="1:8" x14ac:dyDescent="0.2">
      <c r="A434" s="20">
        <v>46.9</v>
      </c>
      <c r="B434" s="21">
        <v>299</v>
      </c>
      <c r="C434" s="21">
        <v>299</v>
      </c>
      <c r="D434" s="22">
        <f>IF(AND(A434&gt;=Constants!$B$8,A434&lt;=Constants!$B$9),Constants!$B$6+Constants!$B$7*(CEILING(A434,1)-Constants!$B$8),Constants!$B$11)</f>
        <v>299</v>
      </c>
      <c r="E434" s="23" t="str">
        <f t="shared" si="6"/>
        <v>OK</v>
      </c>
      <c r="F434" s="24">
        <f>IF(C434&gt;=0,C434/Constants!$B$5,"n/a")</f>
        <v>0.93437499999999996</v>
      </c>
      <c r="G434" s="23" t="str">
        <f>IF(AND(B434=Constants!$B$13,C434&lt;0),"Both error",IF(B434=C434,"Identical",IF(AND(B434=Constants!$B$13,C434&gt;=0),"Fixed in v1.0.0","Different")))</f>
        <v>Identical</v>
      </c>
      <c r="H434" s="7"/>
    </row>
    <row r="435" spans="1:8" x14ac:dyDescent="0.2">
      <c r="A435" s="20">
        <v>47</v>
      </c>
      <c r="B435" s="21">
        <v>299</v>
      </c>
      <c r="C435" s="21">
        <v>299</v>
      </c>
      <c r="D435" s="22">
        <f>IF(AND(A435&gt;=Constants!$B$8,A435&lt;=Constants!$B$9),Constants!$B$6+Constants!$B$7*(CEILING(A435,1)-Constants!$B$8),Constants!$B$11)</f>
        <v>299</v>
      </c>
      <c r="E435" s="23" t="str">
        <f t="shared" si="6"/>
        <v>OK</v>
      </c>
      <c r="F435" s="24">
        <f>IF(C435&gt;=0,C435/Constants!$B$5,"n/a")</f>
        <v>0.93437499999999996</v>
      </c>
      <c r="G435" s="23" t="str">
        <f>IF(AND(B435=Constants!$B$13,C435&lt;0),"Both error",IF(B435=C435,"Identical",IF(AND(B435=Constants!$B$13,C435&gt;=0),"Fixed in v1.0.0","Different")))</f>
        <v>Identical</v>
      </c>
      <c r="H435" s="7"/>
    </row>
    <row r="436" spans="1:8" x14ac:dyDescent="0.2">
      <c r="A436" s="20">
        <v>47.1</v>
      </c>
      <c r="B436" s="21">
        <v>306</v>
      </c>
      <c r="C436" s="21">
        <v>306</v>
      </c>
      <c r="D436" s="22">
        <f>IF(AND(A436&gt;=Constants!$B$8,A436&lt;=Constants!$B$9),Constants!$B$6+Constants!$B$7*(CEILING(A436,1)-Constants!$B$8),Constants!$B$11)</f>
        <v>306</v>
      </c>
      <c r="E436" s="23" t="str">
        <f t="shared" si="6"/>
        <v>OK</v>
      </c>
      <c r="F436" s="24">
        <f>IF(C436&gt;=0,C436/Constants!$B$5,"n/a")</f>
        <v>0.95625000000000004</v>
      </c>
      <c r="G436" s="23" t="str">
        <f>IF(AND(B436=Constants!$B$13,C436&lt;0),"Both error",IF(B436=C436,"Identical",IF(AND(B436=Constants!$B$13,C436&gt;=0),"Fixed in v1.0.0","Different")))</f>
        <v>Identical</v>
      </c>
      <c r="H436" s="7"/>
    </row>
    <row r="437" spans="1:8" x14ac:dyDescent="0.2">
      <c r="A437" s="20">
        <v>47.2</v>
      </c>
      <c r="B437" s="21">
        <v>306</v>
      </c>
      <c r="C437" s="21">
        <v>306</v>
      </c>
      <c r="D437" s="22">
        <f>IF(AND(A437&gt;=Constants!$B$8,A437&lt;=Constants!$B$9),Constants!$B$6+Constants!$B$7*(CEILING(A437,1)-Constants!$B$8),Constants!$B$11)</f>
        <v>306</v>
      </c>
      <c r="E437" s="23" t="str">
        <f t="shared" si="6"/>
        <v>OK</v>
      </c>
      <c r="F437" s="24">
        <f>IF(C437&gt;=0,C437/Constants!$B$5,"n/a")</f>
        <v>0.95625000000000004</v>
      </c>
      <c r="G437" s="23" t="str">
        <f>IF(AND(B437=Constants!$B$13,C437&lt;0),"Both error",IF(B437=C437,"Identical",IF(AND(B437=Constants!$B$13,C437&gt;=0),"Fixed in v1.0.0","Different")))</f>
        <v>Identical</v>
      </c>
      <c r="H437" s="7"/>
    </row>
    <row r="438" spans="1:8" x14ac:dyDescent="0.2">
      <c r="A438" s="20">
        <v>47.3</v>
      </c>
      <c r="B438" s="21">
        <v>306</v>
      </c>
      <c r="C438" s="21">
        <v>306</v>
      </c>
      <c r="D438" s="22">
        <f>IF(AND(A438&gt;=Constants!$B$8,A438&lt;=Constants!$B$9),Constants!$B$6+Constants!$B$7*(CEILING(A438,1)-Constants!$B$8),Constants!$B$11)</f>
        <v>306</v>
      </c>
      <c r="E438" s="23" t="str">
        <f t="shared" si="6"/>
        <v>OK</v>
      </c>
      <c r="F438" s="24">
        <f>IF(C438&gt;=0,C438/Constants!$B$5,"n/a")</f>
        <v>0.95625000000000004</v>
      </c>
      <c r="G438" s="23" t="str">
        <f>IF(AND(B438=Constants!$B$13,C438&lt;0),"Both error",IF(B438=C438,"Identical",IF(AND(B438=Constants!$B$13,C438&gt;=0),"Fixed in v1.0.0","Different")))</f>
        <v>Identical</v>
      </c>
      <c r="H438" s="7"/>
    </row>
    <row r="439" spans="1:8" x14ac:dyDescent="0.2">
      <c r="A439" s="20">
        <v>47.4</v>
      </c>
      <c r="B439" s="21">
        <v>306</v>
      </c>
      <c r="C439" s="21">
        <v>306</v>
      </c>
      <c r="D439" s="22">
        <f>IF(AND(A439&gt;=Constants!$B$8,A439&lt;=Constants!$B$9),Constants!$B$6+Constants!$B$7*(CEILING(A439,1)-Constants!$B$8),Constants!$B$11)</f>
        <v>306</v>
      </c>
      <c r="E439" s="23" t="str">
        <f t="shared" si="6"/>
        <v>OK</v>
      </c>
      <c r="F439" s="24">
        <f>IF(C439&gt;=0,C439/Constants!$B$5,"n/a")</f>
        <v>0.95625000000000004</v>
      </c>
      <c r="G439" s="23" t="str">
        <f>IF(AND(B439=Constants!$B$13,C439&lt;0),"Both error",IF(B439=C439,"Identical",IF(AND(B439=Constants!$B$13,C439&gt;=0),"Fixed in v1.0.0","Different")))</f>
        <v>Identical</v>
      </c>
      <c r="H439" s="7"/>
    </row>
    <row r="440" spans="1:8" x14ac:dyDescent="0.2">
      <c r="A440" s="20">
        <v>47.5</v>
      </c>
      <c r="B440" s="21">
        <v>306</v>
      </c>
      <c r="C440" s="21">
        <v>306</v>
      </c>
      <c r="D440" s="22">
        <f>IF(AND(A440&gt;=Constants!$B$8,A440&lt;=Constants!$B$9),Constants!$B$6+Constants!$B$7*(CEILING(A440,1)-Constants!$B$8),Constants!$B$11)</f>
        <v>306</v>
      </c>
      <c r="E440" s="23" t="str">
        <f t="shared" si="6"/>
        <v>OK</v>
      </c>
      <c r="F440" s="24">
        <f>IF(C440&gt;=0,C440/Constants!$B$5,"n/a")</f>
        <v>0.95625000000000004</v>
      </c>
      <c r="G440" s="23" t="str">
        <f>IF(AND(B440=Constants!$B$13,C440&lt;0),"Both error",IF(B440=C440,"Identical",IF(AND(B440=Constants!$B$13,C440&gt;=0),"Fixed in v1.0.0","Different")))</f>
        <v>Identical</v>
      </c>
      <c r="H440" s="7"/>
    </row>
    <row r="441" spans="1:8" x14ac:dyDescent="0.2">
      <c r="A441" s="20">
        <v>47.6</v>
      </c>
      <c r="B441" s="21">
        <v>306</v>
      </c>
      <c r="C441" s="21">
        <v>306</v>
      </c>
      <c r="D441" s="22">
        <f>IF(AND(A441&gt;=Constants!$B$8,A441&lt;=Constants!$B$9),Constants!$B$6+Constants!$B$7*(CEILING(A441,1)-Constants!$B$8),Constants!$B$11)</f>
        <v>306</v>
      </c>
      <c r="E441" s="23" t="str">
        <f t="shared" si="6"/>
        <v>OK</v>
      </c>
      <c r="F441" s="24">
        <f>IF(C441&gt;=0,C441/Constants!$B$5,"n/a")</f>
        <v>0.95625000000000004</v>
      </c>
      <c r="G441" s="23" t="str">
        <f>IF(AND(B441=Constants!$B$13,C441&lt;0),"Both error",IF(B441=C441,"Identical",IF(AND(B441=Constants!$B$13,C441&gt;=0),"Fixed in v1.0.0","Different")))</f>
        <v>Identical</v>
      </c>
      <c r="H441" s="7"/>
    </row>
    <row r="442" spans="1:8" x14ac:dyDescent="0.2">
      <c r="A442" s="20">
        <v>47.7</v>
      </c>
      <c r="B442" s="21">
        <v>306</v>
      </c>
      <c r="C442" s="21">
        <v>306</v>
      </c>
      <c r="D442" s="22">
        <f>IF(AND(A442&gt;=Constants!$B$8,A442&lt;=Constants!$B$9),Constants!$B$6+Constants!$B$7*(CEILING(A442,1)-Constants!$B$8),Constants!$B$11)</f>
        <v>306</v>
      </c>
      <c r="E442" s="23" t="str">
        <f t="shared" si="6"/>
        <v>OK</v>
      </c>
      <c r="F442" s="24">
        <f>IF(C442&gt;=0,C442/Constants!$B$5,"n/a")</f>
        <v>0.95625000000000004</v>
      </c>
      <c r="G442" s="23" t="str">
        <f>IF(AND(B442=Constants!$B$13,C442&lt;0),"Both error",IF(B442=C442,"Identical",IF(AND(B442=Constants!$B$13,C442&gt;=0),"Fixed in v1.0.0","Different")))</f>
        <v>Identical</v>
      </c>
      <c r="H442" s="7"/>
    </row>
    <row r="443" spans="1:8" x14ac:dyDescent="0.2">
      <c r="A443" s="20">
        <v>47.8</v>
      </c>
      <c r="B443" s="21">
        <v>306</v>
      </c>
      <c r="C443" s="21">
        <v>306</v>
      </c>
      <c r="D443" s="22">
        <f>IF(AND(A443&gt;=Constants!$B$8,A443&lt;=Constants!$B$9),Constants!$B$6+Constants!$B$7*(CEILING(A443,1)-Constants!$B$8),Constants!$B$11)</f>
        <v>306</v>
      </c>
      <c r="E443" s="23" t="str">
        <f t="shared" si="6"/>
        <v>OK</v>
      </c>
      <c r="F443" s="24">
        <f>IF(C443&gt;=0,C443/Constants!$B$5,"n/a")</f>
        <v>0.95625000000000004</v>
      </c>
      <c r="G443" s="23" t="str">
        <f>IF(AND(B443=Constants!$B$13,C443&lt;0),"Both error",IF(B443=C443,"Identical",IF(AND(B443=Constants!$B$13,C443&gt;=0),"Fixed in v1.0.0","Different")))</f>
        <v>Identical</v>
      </c>
      <c r="H443" s="7"/>
    </row>
    <row r="444" spans="1:8" x14ac:dyDescent="0.2">
      <c r="A444" s="20">
        <v>47.9</v>
      </c>
      <c r="B444" s="21">
        <v>306</v>
      </c>
      <c r="C444" s="21">
        <v>306</v>
      </c>
      <c r="D444" s="22">
        <f>IF(AND(A444&gt;=Constants!$B$8,A444&lt;=Constants!$B$9),Constants!$B$6+Constants!$B$7*(CEILING(A444,1)-Constants!$B$8),Constants!$B$11)</f>
        <v>306</v>
      </c>
      <c r="E444" s="23" t="str">
        <f t="shared" si="6"/>
        <v>OK</v>
      </c>
      <c r="F444" s="24">
        <f>IF(C444&gt;=0,C444/Constants!$B$5,"n/a")</f>
        <v>0.95625000000000004</v>
      </c>
      <c r="G444" s="23" t="str">
        <f>IF(AND(B444=Constants!$B$13,C444&lt;0),"Both error",IF(B444=C444,"Identical",IF(AND(B444=Constants!$B$13,C444&gt;=0),"Fixed in v1.0.0","Different")))</f>
        <v>Identical</v>
      </c>
      <c r="H444" s="7"/>
    </row>
    <row r="445" spans="1:8" x14ac:dyDescent="0.2">
      <c r="A445" s="20">
        <v>48</v>
      </c>
      <c r="B445" s="21">
        <v>306</v>
      </c>
      <c r="C445" s="21">
        <v>306</v>
      </c>
      <c r="D445" s="22">
        <f>IF(AND(A445&gt;=Constants!$B$8,A445&lt;=Constants!$B$9),Constants!$B$6+Constants!$B$7*(CEILING(A445,1)-Constants!$B$8),Constants!$B$11)</f>
        <v>306</v>
      </c>
      <c r="E445" s="23" t="str">
        <f t="shared" si="6"/>
        <v>OK</v>
      </c>
      <c r="F445" s="24">
        <f>IF(C445&gt;=0,C445/Constants!$B$5,"n/a")</f>
        <v>0.95625000000000004</v>
      </c>
      <c r="G445" s="23" t="str">
        <f>IF(AND(B445=Constants!$B$13,C445&lt;0),"Both error",IF(B445=C445,"Identical",IF(AND(B445=Constants!$B$13,C445&gt;=0),"Fixed in v1.0.0","Different")))</f>
        <v>Identical</v>
      </c>
      <c r="H445" s="7"/>
    </row>
    <row r="446" spans="1:8" x14ac:dyDescent="0.2">
      <c r="A446" s="20">
        <v>48.1</v>
      </c>
      <c r="B446" s="21">
        <v>313</v>
      </c>
      <c r="C446" s="21">
        <v>313</v>
      </c>
      <c r="D446" s="22">
        <f>IF(AND(A446&gt;=Constants!$B$8,A446&lt;=Constants!$B$9),Constants!$B$6+Constants!$B$7*(CEILING(A446,1)-Constants!$B$8),Constants!$B$11)</f>
        <v>313</v>
      </c>
      <c r="E446" s="23" t="str">
        <f t="shared" si="6"/>
        <v>OK</v>
      </c>
      <c r="F446" s="24">
        <f>IF(C446&gt;=0,C446/Constants!$B$5,"n/a")</f>
        <v>0.97812500000000002</v>
      </c>
      <c r="G446" s="23" t="str">
        <f>IF(AND(B446=Constants!$B$13,C446&lt;0),"Both error",IF(B446=C446,"Identical",IF(AND(B446=Constants!$B$13,C446&gt;=0),"Fixed in v1.0.0","Different")))</f>
        <v>Identical</v>
      </c>
      <c r="H446" s="7"/>
    </row>
    <row r="447" spans="1:8" x14ac:dyDescent="0.2">
      <c r="A447" s="20">
        <v>48.2</v>
      </c>
      <c r="B447" s="21">
        <v>313</v>
      </c>
      <c r="C447" s="21">
        <v>313</v>
      </c>
      <c r="D447" s="22">
        <f>IF(AND(A447&gt;=Constants!$B$8,A447&lt;=Constants!$B$9),Constants!$B$6+Constants!$B$7*(CEILING(A447,1)-Constants!$B$8),Constants!$B$11)</f>
        <v>313</v>
      </c>
      <c r="E447" s="23" t="str">
        <f t="shared" si="6"/>
        <v>OK</v>
      </c>
      <c r="F447" s="24">
        <f>IF(C447&gt;=0,C447/Constants!$B$5,"n/a")</f>
        <v>0.97812500000000002</v>
      </c>
      <c r="G447" s="23" t="str">
        <f>IF(AND(B447=Constants!$B$13,C447&lt;0),"Both error",IF(B447=C447,"Identical",IF(AND(B447=Constants!$B$13,C447&gt;=0),"Fixed in v1.0.0","Different")))</f>
        <v>Identical</v>
      </c>
      <c r="H447" s="7"/>
    </row>
    <row r="448" spans="1:8" x14ac:dyDescent="0.2">
      <c r="A448" s="20">
        <v>48.3</v>
      </c>
      <c r="B448" s="21">
        <v>313</v>
      </c>
      <c r="C448" s="21">
        <v>313</v>
      </c>
      <c r="D448" s="22">
        <f>IF(AND(A448&gt;=Constants!$B$8,A448&lt;=Constants!$B$9),Constants!$B$6+Constants!$B$7*(CEILING(A448,1)-Constants!$B$8),Constants!$B$11)</f>
        <v>313</v>
      </c>
      <c r="E448" s="23" t="str">
        <f t="shared" si="6"/>
        <v>OK</v>
      </c>
      <c r="F448" s="24">
        <f>IF(C448&gt;=0,C448/Constants!$B$5,"n/a")</f>
        <v>0.97812500000000002</v>
      </c>
      <c r="G448" s="23" t="str">
        <f>IF(AND(B448=Constants!$B$13,C448&lt;0),"Both error",IF(B448=C448,"Identical",IF(AND(B448=Constants!$B$13,C448&gt;=0),"Fixed in v1.0.0","Different")))</f>
        <v>Identical</v>
      </c>
      <c r="H448" s="7"/>
    </row>
    <row r="449" spans="1:8" x14ac:dyDescent="0.2">
      <c r="A449" s="20">
        <v>48.4</v>
      </c>
      <c r="B449" s="21">
        <v>313</v>
      </c>
      <c r="C449" s="21">
        <v>313</v>
      </c>
      <c r="D449" s="22">
        <f>IF(AND(A449&gt;=Constants!$B$8,A449&lt;=Constants!$B$9),Constants!$B$6+Constants!$B$7*(CEILING(A449,1)-Constants!$B$8),Constants!$B$11)</f>
        <v>313</v>
      </c>
      <c r="E449" s="23" t="str">
        <f t="shared" si="6"/>
        <v>OK</v>
      </c>
      <c r="F449" s="24">
        <f>IF(C449&gt;=0,C449/Constants!$B$5,"n/a")</f>
        <v>0.97812500000000002</v>
      </c>
      <c r="G449" s="23" t="str">
        <f>IF(AND(B449=Constants!$B$13,C449&lt;0),"Both error",IF(B449=C449,"Identical",IF(AND(B449=Constants!$B$13,C449&gt;=0),"Fixed in v1.0.0","Different")))</f>
        <v>Identical</v>
      </c>
      <c r="H449" s="7"/>
    </row>
    <row r="450" spans="1:8" x14ac:dyDescent="0.2">
      <c r="A450" s="20">
        <v>48.5</v>
      </c>
      <c r="B450" s="21">
        <v>313</v>
      </c>
      <c r="C450" s="21">
        <v>313</v>
      </c>
      <c r="D450" s="22">
        <f>IF(AND(A450&gt;=Constants!$B$8,A450&lt;=Constants!$B$9),Constants!$B$6+Constants!$B$7*(CEILING(A450,1)-Constants!$B$8),Constants!$B$11)</f>
        <v>313</v>
      </c>
      <c r="E450" s="23" t="str">
        <f t="shared" si="6"/>
        <v>OK</v>
      </c>
      <c r="F450" s="24">
        <f>IF(C450&gt;=0,C450/Constants!$B$5,"n/a")</f>
        <v>0.97812500000000002</v>
      </c>
      <c r="G450" s="23" t="str">
        <f>IF(AND(B450=Constants!$B$13,C450&lt;0),"Both error",IF(B450=C450,"Identical",IF(AND(B450=Constants!$B$13,C450&gt;=0),"Fixed in v1.0.0","Different")))</f>
        <v>Identical</v>
      </c>
      <c r="H450" s="7"/>
    </row>
    <row r="451" spans="1:8" x14ac:dyDescent="0.2">
      <c r="A451" s="20">
        <v>48.6</v>
      </c>
      <c r="B451" s="21">
        <v>313</v>
      </c>
      <c r="C451" s="21">
        <v>313</v>
      </c>
      <c r="D451" s="22">
        <f>IF(AND(A451&gt;=Constants!$B$8,A451&lt;=Constants!$B$9),Constants!$B$6+Constants!$B$7*(CEILING(A451,1)-Constants!$B$8),Constants!$B$11)</f>
        <v>313</v>
      </c>
      <c r="E451" s="23" t="str">
        <f t="shared" si="6"/>
        <v>OK</v>
      </c>
      <c r="F451" s="24">
        <f>IF(C451&gt;=0,C451/Constants!$B$5,"n/a")</f>
        <v>0.97812500000000002</v>
      </c>
      <c r="G451" s="23" t="str">
        <f>IF(AND(B451=Constants!$B$13,C451&lt;0),"Both error",IF(B451=C451,"Identical",IF(AND(B451=Constants!$B$13,C451&gt;=0),"Fixed in v1.0.0","Different")))</f>
        <v>Identical</v>
      </c>
      <c r="H451" s="7"/>
    </row>
    <row r="452" spans="1:8" x14ac:dyDescent="0.2">
      <c r="A452" s="20">
        <v>48.7</v>
      </c>
      <c r="B452" s="21">
        <v>313</v>
      </c>
      <c r="C452" s="21">
        <v>313</v>
      </c>
      <c r="D452" s="22">
        <f>IF(AND(A452&gt;=Constants!$B$8,A452&lt;=Constants!$B$9),Constants!$B$6+Constants!$B$7*(CEILING(A452,1)-Constants!$B$8),Constants!$B$11)</f>
        <v>313</v>
      </c>
      <c r="E452" s="23" t="str">
        <f t="shared" si="6"/>
        <v>OK</v>
      </c>
      <c r="F452" s="24">
        <f>IF(C452&gt;=0,C452/Constants!$B$5,"n/a")</f>
        <v>0.97812500000000002</v>
      </c>
      <c r="G452" s="23" t="str">
        <f>IF(AND(B452=Constants!$B$13,C452&lt;0),"Both error",IF(B452=C452,"Identical",IF(AND(B452=Constants!$B$13,C452&gt;=0),"Fixed in v1.0.0","Different")))</f>
        <v>Identical</v>
      </c>
      <c r="H452" s="7"/>
    </row>
    <row r="453" spans="1:8" x14ac:dyDescent="0.2">
      <c r="A453" s="20">
        <v>48.8</v>
      </c>
      <c r="B453" s="21">
        <v>313</v>
      </c>
      <c r="C453" s="21">
        <v>313</v>
      </c>
      <c r="D453" s="22">
        <f>IF(AND(A453&gt;=Constants!$B$8,A453&lt;=Constants!$B$9),Constants!$B$6+Constants!$B$7*(CEILING(A453,1)-Constants!$B$8),Constants!$B$11)</f>
        <v>313</v>
      </c>
      <c r="E453" s="23" t="str">
        <f t="shared" ref="E453:E516" si="7">IF(C453=D453,"OK","CHECK")</f>
        <v>OK</v>
      </c>
      <c r="F453" s="24">
        <f>IF(C453&gt;=0,C453/Constants!$B$5,"n/a")</f>
        <v>0.97812500000000002</v>
      </c>
      <c r="G453" s="23" t="str">
        <f>IF(AND(B453=Constants!$B$13,C453&lt;0),"Both error",IF(B453=C453,"Identical",IF(AND(B453=Constants!$B$13,C453&gt;=0),"Fixed in v1.0.0","Different")))</f>
        <v>Identical</v>
      </c>
      <c r="H453" s="7"/>
    </row>
    <row r="454" spans="1:8" x14ac:dyDescent="0.2">
      <c r="A454" s="20">
        <v>48.9</v>
      </c>
      <c r="B454" s="21">
        <v>313</v>
      </c>
      <c r="C454" s="21">
        <v>313</v>
      </c>
      <c r="D454" s="22">
        <f>IF(AND(A454&gt;=Constants!$B$8,A454&lt;=Constants!$B$9),Constants!$B$6+Constants!$B$7*(CEILING(A454,1)-Constants!$B$8),Constants!$B$11)</f>
        <v>313</v>
      </c>
      <c r="E454" s="23" t="str">
        <f t="shared" si="7"/>
        <v>OK</v>
      </c>
      <c r="F454" s="24">
        <f>IF(C454&gt;=0,C454/Constants!$B$5,"n/a")</f>
        <v>0.97812500000000002</v>
      </c>
      <c r="G454" s="23" t="str">
        <f>IF(AND(B454=Constants!$B$13,C454&lt;0),"Both error",IF(B454=C454,"Identical",IF(AND(B454=Constants!$B$13,C454&gt;=0),"Fixed in v1.0.0","Different")))</f>
        <v>Identical</v>
      </c>
      <c r="H454" s="7"/>
    </row>
    <row r="455" spans="1:8" x14ac:dyDescent="0.2">
      <c r="A455" s="20">
        <v>49</v>
      </c>
      <c r="B455" s="21">
        <v>313</v>
      </c>
      <c r="C455" s="21">
        <v>313</v>
      </c>
      <c r="D455" s="22">
        <f>IF(AND(A455&gt;=Constants!$B$8,A455&lt;=Constants!$B$9),Constants!$B$6+Constants!$B$7*(CEILING(A455,1)-Constants!$B$8),Constants!$B$11)</f>
        <v>313</v>
      </c>
      <c r="E455" s="23" t="str">
        <f t="shared" si="7"/>
        <v>OK</v>
      </c>
      <c r="F455" s="24">
        <f>IF(C455&gt;=0,C455/Constants!$B$5,"n/a")</f>
        <v>0.97812500000000002</v>
      </c>
      <c r="G455" s="23" t="str">
        <f>IF(AND(B455=Constants!$B$13,C455&lt;0),"Both error",IF(B455=C455,"Identical",IF(AND(B455=Constants!$B$13,C455&gt;=0),"Fixed in v1.0.0","Different")))</f>
        <v>Identical</v>
      </c>
      <c r="H455" s="7"/>
    </row>
    <row r="456" spans="1:8" x14ac:dyDescent="0.2">
      <c r="A456" s="20">
        <v>49.1</v>
      </c>
      <c r="B456" s="21">
        <v>320</v>
      </c>
      <c r="C456" s="21">
        <v>320</v>
      </c>
      <c r="D456" s="22">
        <f>IF(AND(A456&gt;=Constants!$B$8,A456&lt;=Constants!$B$9),Constants!$B$6+Constants!$B$7*(CEILING(A456,1)-Constants!$B$8),Constants!$B$11)</f>
        <v>320</v>
      </c>
      <c r="E456" s="23" t="str">
        <f t="shared" si="7"/>
        <v>OK</v>
      </c>
      <c r="F456" s="24">
        <f>IF(C456&gt;=0,C456/Constants!$B$5,"n/a")</f>
        <v>1</v>
      </c>
      <c r="G456" s="23" t="str">
        <f>IF(AND(B456=Constants!$B$13,C456&lt;0),"Both error",IF(B456=C456,"Identical",IF(AND(B456=Constants!$B$13,C456&gt;=0),"Fixed in v1.0.0","Different")))</f>
        <v>Identical</v>
      </c>
      <c r="H456" s="7"/>
    </row>
    <row r="457" spans="1:8" x14ac:dyDescent="0.2">
      <c r="A457" s="20">
        <v>49.2</v>
      </c>
      <c r="B457" s="21">
        <v>320</v>
      </c>
      <c r="C457" s="21">
        <v>320</v>
      </c>
      <c r="D457" s="22">
        <f>IF(AND(A457&gt;=Constants!$B$8,A457&lt;=Constants!$B$9),Constants!$B$6+Constants!$B$7*(CEILING(A457,1)-Constants!$B$8),Constants!$B$11)</f>
        <v>320</v>
      </c>
      <c r="E457" s="23" t="str">
        <f t="shared" si="7"/>
        <v>OK</v>
      </c>
      <c r="F457" s="24">
        <f>IF(C457&gt;=0,C457/Constants!$B$5,"n/a")</f>
        <v>1</v>
      </c>
      <c r="G457" s="23" t="str">
        <f>IF(AND(B457=Constants!$B$13,C457&lt;0),"Both error",IF(B457=C457,"Identical",IF(AND(B457=Constants!$B$13,C457&gt;=0),"Fixed in v1.0.0","Different")))</f>
        <v>Identical</v>
      </c>
      <c r="H457" s="7"/>
    </row>
    <row r="458" spans="1:8" x14ac:dyDescent="0.2">
      <c r="A458" s="20">
        <v>49.3</v>
      </c>
      <c r="B458" s="21">
        <v>320</v>
      </c>
      <c r="C458" s="21">
        <v>320</v>
      </c>
      <c r="D458" s="22">
        <f>IF(AND(A458&gt;=Constants!$B$8,A458&lt;=Constants!$B$9),Constants!$B$6+Constants!$B$7*(CEILING(A458,1)-Constants!$B$8),Constants!$B$11)</f>
        <v>320</v>
      </c>
      <c r="E458" s="23" t="str">
        <f t="shared" si="7"/>
        <v>OK</v>
      </c>
      <c r="F458" s="24">
        <f>IF(C458&gt;=0,C458/Constants!$B$5,"n/a")</f>
        <v>1</v>
      </c>
      <c r="G458" s="23" t="str">
        <f>IF(AND(B458=Constants!$B$13,C458&lt;0),"Both error",IF(B458=C458,"Identical",IF(AND(B458=Constants!$B$13,C458&gt;=0),"Fixed in v1.0.0","Different")))</f>
        <v>Identical</v>
      </c>
      <c r="H458" s="7"/>
    </row>
    <row r="459" spans="1:8" x14ac:dyDescent="0.2">
      <c r="A459" s="20">
        <v>49.4</v>
      </c>
      <c r="B459" s="21">
        <v>320</v>
      </c>
      <c r="C459" s="21">
        <v>320</v>
      </c>
      <c r="D459" s="22">
        <f>IF(AND(A459&gt;=Constants!$B$8,A459&lt;=Constants!$B$9),Constants!$B$6+Constants!$B$7*(CEILING(A459,1)-Constants!$B$8),Constants!$B$11)</f>
        <v>320</v>
      </c>
      <c r="E459" s="23" t="str">
        <f t="shared" si="7"/>
        <v>OK</v>
      </c>
      <c r="F459" s="24">
        <f>IF(C459&gt;=0,C459/Constants!$B$5,"n/a")</f>
        <v>1</v>
      </c>
      <c r="G459" s="23" t="str">
        <f>IF(AND(B459=Constants!$B$13,C459&lt;0),"Both error",IF(B459=C459,"Identical",IF(AND(B459=Constants!$B$13,C459&gt;=0),"Fixed in v1.0.0","Different")))</f>
        <v>Identical</v>
      </c>
      <c r="H459" s="7"/>
    </row>
    <row r="460" spans="1:8" x14ac:dyDescent="0.2">
      <c r="A460" s="20">
        <v>49.5</v>
      </c>
      <c r="B460" s="21">
        <v>320</v>
      </c>
      <c r="C460" s="21">
        <v>320</v>
      </c>
      <c r="D460" s="22">
        <f>IF(AND(A460&gt;=Constants!$B$8,A460&lt;=Constants!$B$9),Constants!$B$6+Constants!$B$7*(CEILING(A460,1)-Constants!$B$8),Constants!$B$11)</f>
        <v>320</v>
      </c>
      <c r="E460" s="23" t="str">
        <f t="shared" si="7"/>
        <v>OK</v>
      </c>
      <c r="F460" s="24">
        <f>IF(C460&gt;=0,C460/Constants!$B$5,"n/a")</f>
        <v>1</v>
      </c>
      <c r="G460" s="23" t="str">
        <f>IF(AND(B460=Constants!$B$13,C460&lt;0),"Both error",IF(B460=C460,"Identical",IF(AND(B460=Constants!$B$13,C460&gt;=0),"Fixed in v1.0.0","Different")))</f>
        <v>Identical</v>
      </c>
      <c r="H460" s="7"/>
    </row>
    <row r="461" spans="1:8" x14ac:dyDescent="0.2">
      <c r="A461" s="20">
        <v>49.6</v>
      </c>
      <c r="B461" s="21">
        <v>320</v>
      </c>
      <c r="C461" s="21">
        <v>320</v>
      </c>
      <c r="D461" s="22">
        <f>IF(AND(A461&gt;=Constants!$B$8,A461&lt;=Constants!$B$9),Constants!$B$6+Constants!$B$7*(CEILING(A461,1)-Constants!$B$8),Constants!$B$11)</f>
        <v>320</v>
      </c>
      <c r="E461" s="23" t="str">
        <f t="shared" si="7"/>
        <v>OK</v>
      </c>
      <c r="F461" s="24">
        <f>IF(C461&gt;=0,C461/Constants!$B$5,"n/a")</f>
        <v>1</v>
      </c>
      <c r="G461" s="23" t="str">
        <f>IF(AND(B461=Constants!$B$13,C461&lt;0),"Both error",IF(B461=C461,"Identical",IF(AND(B461=Constants!$B$13,C461&gt;=0),"Fixed in v1.0.0","Different")))</f>
        <v>Identical</v>
      </c>
      <c r="H461" s="7"/>
    </row>
    <row r="462" spans="1:8" x14ac:dyDescent="0.2">
      <c r="A462" s="20">
        <v>49.7</v>
      </c>
      <c r="B462" s="21">
        <v>320</v>
      </c>
      <c r="C462" s="21">
        <v>320</v>
      </c>
      <c r="D462" s="22">
        <f>IF(AND(A462&gt;=Constants!$B$8,A462&lt;=Constants!$B$9),Constants!$B$6+Constants!$B$7*(CEILING(A462,1)-Constants!$B$8),Constants!$B$11)</f>
        <v>320</v>
      </c>
      <c r="E462" s="23" t="str">
        <f t="shared" si="7"/>
        <v>OK</v>
      </c>
      <c r="F462" s="24">
        <f>IF(C462&gt;=0,C462/Constants!$B$5,"n/a")</f>
        <v>1</v>
      </c>
      <c r="G462" s="23" t="str">
        <f>IF(AND(B462=Constants!$B$13,C462&lt;0),"Both error",IF(B462=C462,"Identical",IF(AND(B462=Constants!$B$13,C462&gt;=0),"Fixed in v1.0.0","Different")))</f>
        <v>Identical</v>
      </c>
      <c r="H462" s="7"/>
    </row>
    <row r="463" spans="1:8" x14ac:dyDescent="0.2">
      <c r="A463" s="20">
        <v>49.8</v>
      </c>
      <c r="B463" s="21">
        <v>320</v>
      </c>
      <c r="C463" s="21">
        <v>320</v>
      </c>
      <c r="D463" s="22">
        <f>IF(AND(A463&gt;=Constants!$B$8,A463&lt;=Constants!$B$9),Constants!$B$6+Constants!$B$7*(CEILING(A463,1)-Constants!$B$8),Constants!$B$11)</f>
        <v>320</v>
      </c>
      <c r="E463" s="23" t="str">
        <f t="shared" si="7"/>
        <v>OK</v>
      </c>
      <c r="F463" s="24">
        <f>IF(C463&gt;=0,C463/Constants!$B$5,"n/a")</f>
        <v>1</v>
      </c>
      <c r="G463" s="23" t="str">
        <f>IF(AND(B463=Constants!$B$13,C463&lt;0),"Both error",IF(B463=C463,"Identical",IF(AND(B463=Constants!$B$13,C463&gt;=0),"Fixed in v1.0.0","Different")))</f>
        <v>Identical</v>
      </c>
      <c r="H463" s="7"/>
    </row>
    <row r="464" spans="1:8" x14ac:dyDescent="0.2">
      <c r="A464" s="20">
        <v>49.9</v>
      </c>
      <c r="B464" s="21">
        <v>320</v>
      </c>
      <c r="C464" s="21">
        <v>320</v>
      </c>
      <c r="D464" s="22">
        <f>IF(AND(A464&gt;=Constants!$B$8,A464&lt;=Constants!$B$9),Constants!$B$6+Constants!$B$7*(CEILING(A464,1)-Constants!$B$8),Constants!$B$11)</f>
        <v>320</v>
      </c>
      <c r="E464" s="23" t="str">
        <f t="shared" si="7"/>
        <v>OK</v>
      </c>
      <c r="F464" s="24">
        <f>IF(C464&gt;=0,C464/Constants!$B$5,"n/a")</f>
        <v>1</v>
      </c>
      <c r="G464" s="23" t="str">
        <f>IF(AND(B464=Constants!$B$13,C464&lt;0),"Both error",IF(B464=C464,"Identical",IF(AND(B464=Constants!$B$13,C464&gt;=0),"Fixed in v1.0.0","Different")))</f>
        <v>Identical</v>
      </c>
      <c r="H464" s="7"/>
    </row>
    <row r="465" spans="1:8" x14ac:dyDescent="0.2">
      <c r="A465" s="20">
        <v>50</v>
      </c>
      <c r="B465" s="21">
        <v>320</v>
      </c>
      <c r="C465" s="21">
        <v>320</v>
      </c>
      <c r="D465" s="22">
        <f>IF(AND(A465&gt;=Constants!$B$8,A465&lt;=Constants!$B$9),Constants!$B$6+Constants!$B$7*(CEILING(A465,1)-Constants!$B$8),Constants!$B$11)</f>
        <v>320</v>
      </c>
      <c r="E465" s="23" t="str">
        <f t="shared" si="7"/>
        <v>OK</v>
      </c>
      <c r="F465" s="24">
        <f>IF(C465&gt;=0,C465/Constants!$B$5,"n/a")</f>
        <v>1</v>
      </c>
      <c r="G465" s="23" t="str">
        <f>IF(AND(B465=Constants!$B$13,C465&lt;0),"Both error",IF(B465=C465,"Identical",IF(AND(B465=Constants!$B$13,C465&gt;=0),"Fixed in v1.0.0","Different")))</f>
        <v>Identical</v>
      </c>
      <c r="H465" s="7"/>
    </row>
    <row r="466" spans="1:8" x14ac:dyDescent="0.2">
      <c r="A466" s="20">
        <v>50.1</v>
      </c>
      <c r="B466" s="21">
        <v>15797</v>
      </c>
      <c r="C466" s="21">
        <v>-1</v>
      </c>
      <c r="D466" s="22">
        <f>IF(AND(A466&gt;=Constants!$B$8,A466&lt;=Constants!$B$9),Constants!$B$6+Constants!$B$7*(CEILING(A466,1)-Constants!$B$8),Constants!$B$11)</f>
        <v>-1</v>
      </c>
      <c r="E466" s="23" t="str">
        <f t="shared" si="7"/>
        <v>OK</v>
      </c>
      <c r="F466" s="24" t="str">
        <f>IF(C466&gt;=0,C466/Constants!$B$5,"n/a")</f>
        <v>n/a</v>
      </c>
      <c r="G466" s="23" t="str">
        <f>IF(AND(B466=Constants!$B$13,C466&lt;0),"Both error",IF(B466=C466,"Identical",IF(AND(B466=Constants!$B$13,C466&gt;=0),"Fixed in v1.0.0","Different")))</f>
        <v>Both error</v>
      </c>
      <c r="H466" s="7" t="s">
        <v>155</v>
      </c>
    </row>
    <row r="467" spans="1:8" x14ac:dyDescent="0.2">
      <c r="A467" s="20">
        <v>50.2</v>
      </c>
      <c r="B467" s="21">
        <v>15797</v>
      </c>
      <c r="C467" s="21">
        <v>-1</v>
      </c>
      <c r="D467" s="22">
        <f>IF(AND(A467&gt;=Constants!$B$8,A467&lt;=Constants!$B$9),Constants!$B$6+Constants!$B$7*(CEILING(A467,1)-Constants!$B$8),Constants!$B$11)</f>
        <v>-1</v>
      </c>
      <c r="E467" s="23" t="str">
        <f t="shared" si="7"/>
        <v>OK</v>
      </c>
      <c r="F467" s="24" t="str">
        <f>IF(C467&gt;=0,C467/Constants!$B$5,"n/a")</f>
        <v>n/a</v>
      </c>
      <c r="G467" s="23" t="str">
        <f>IF(AND(B467=Constants!$B$13,C467&lt;0),"Both error",IF(B467=C467,"Identical",IF(AND(B467=Constants!$B$13,C467&gt;=0),"Fixed in v1.0.0","Different")))</f>
        <v>Both error</v>
      </c>
      <c r="H467" s="7" t="s">
        <v>155</v>
      </c>
    </row>
    <row r="468" spans="1:8" x14ac:dyDescent="0.2">
      <c r="A468" s="20">
        <v>50.3</v>
      </c>
      <c r="B468" s="21">
        <v>15797</v>
      </c>
      <c r="C468" s="21">
        <v>-1</v>
      </c>
      <c r="D468" s="22">
        <f>IF(AND(A468&gt;=Constants!$B$8,A468&lt;=Constants!$B$9),Constants!$B$6+Constants!$B$7*(CEILING(A468,1)-Constants!$B$8),Constants!$B$11)</f>
        <v>-1</v>
      </c>
      <c r="E468" s="23" t="str">
        <f t="shared" si="7"/>
        <v>OK</v>
      </c>
      <c r="F468" s="24" t="str">
        <f>IF(C468&gt;=0,C468/Constants!$B$5,"n/a")</f>
        <v>n/a</v>
      </c>
      <c r="G468" s="23" t="str">
        <f>IF(AND(B468=Constants!$B$13,C468&lt;0),"Both error",IF(B468=C468,"Identical",IF(AND(B468=Constants!$B$13,C468&gt;=0),"Fixed in v1.0.0","Different")))</f>
        <v>Both error</v>
      </c>
      <c r="H468" s="7" t="s">
        <v>155</v>
      </c>
    </row>
    <row r="469" spans="1:8" x14ac:dyDescent="0.2">
      <c r="A469" s="20">
        <v>50.4</v>
      </c>
      <c r="B469" s="21">
        <v>15797</v>
      </c>
      <c r="C469" s="21">
        <v>-1</v>
      </c>
      <c r="D469" s="22">
        <f>IF(AND(A469&gt;=Constants!$B$8,A469&lt;=Constants!$B$9),Constants!$B$6+Constants!$B$7*(CEILING(A469,1)-Constants!$B$8),Constants!$B$11)</f>
        <v>-1</v>
      </c>
      <c r="E469" s="23" t="str">
        <f t="shared" si="7"/>
        <v>OK</v>
      </c>
      <c r="F469" s="24" t="str">
        <f>IF(C469&gt;=0,C469/Constants!$B$5,"n/a")</f>
        <v>n/a</v>
      </c>
      <c r="G469" s="23" t="str">
        <f>IF(AND(B469=Constants!$B$13,C469&lt;0),"Both error",IF(B469=C469,"Identical",IF(AND(B469=Constants!$B$13,C469&gt;=0),"Fixed in v1.0.0","Different")))</f>
        <v>Both error</v>
      </c>
      <c r="H469" s="7" t="s">
        <v>155</v>
      </c>
    </row>
    <row r="470" spans="1:8" x14ac:dyDescent="0.2">
      <c r="A470" s="20">
        <v>50.5</v>
      </c>
      <c r="B470" s="21">
        <v>15797</v>
      </c>
      <c r="C470" s="21">
        <v>-1</v>
      </c>
      <c r="D470" s="22">
        <f>IF(AND(A470&gt;=Constants!$B$8,A470&lt;=Constants!$B$9),Constants!$B$6+Constants!$B$7*(CEILING(A470,1)-Constants!$B$8),Constants!$B$11)</f>
        <v>-1</v>
      </c>
      <c r="E470" s="23" t="str">
        <f t="shared" si="7"/>
        <v>OK</v>
      </c>
      <c r="F470" s="24" t="str">
        <f>IF(C470&gt;=0,C470/Constants!$B$5,"n/a")</f>
        <v>n/a</v>
      </c>
      <c r="G470" s="23" t="str">
        <f>IF(AND(B470=Constants!$B$13,C470&lt;0),"Both error",IF(B470=C470,"Identical",IF(AND(B470=Constants!$B$13,C470&gt;=0),"Fixed in v1.0.0","Different")))</f>
        <v>Both error</v>
      </c>
      <c r="H470" s="7" t="s">
        <v>155</v>
      </c>
    </row>
    <row r="471" spans="1:8" x14ac:dyDescent="0.2">
      <c r="A471" s="20">
        <v>50.6</v>
      </c>
      <c r="B471" s="21">
        <v>15797</v>
      </c>
      <c r="C471" s="21">
        <v>-1</v>
      </c>
      <c r="D471" s="22">
        <f>IF(AND(A471&gt;=Constants!$B$8,A471&lt;=Constants!$B$9),Constants!$B$6+Constants!$B$7*(CEILING(A471,1)-Constants!$B$8),Constants!$B$11)</f>
        <v>-1</v>
      </c>
      <c r="E471" s="23" t="str">
        <f t="shared" si="7"/>
        <v>OK</v>
      </c>
      <c r="F471" s="24" t="str">
        <f>IF(C471&gt;=0,C471/Constants!$B$5,"n/a")</f>
        <v>n/a</v>
      </c>
      <c r="G471" s="23" t="str">
        <f>IF(AND(B471=Constants!$B$13,C471&lt;0),"Both error",IF(B471=C471,"Identical",IF(AND(B471=Constants!$B$13,C471&gt;=0),"Fixed in v1.0.0","Different")))</f>
        <v>Both error</v>
      </c>
      <c r="H471" s="7" t="s">
        <v>155</v>
      </c>
    </row>
    <row r="472" spans="1:8" x14ac:dyDescent="0.2">
      <c r="A472" s="20">
        <v>50.7</v>
      </c>
      <c r="B472" s="21">
        <v>15797</v>
      </c>
      <c r="C472" s="21">
        <v>-1</v>
      </c>
      <c r="D472" s="22">
        <f>IF(AND(A472&gt;=Constants!$B$8,A472&lt;=Constants!$B$9),Constants!$B$6+Constants!$B$7*(CEILING(A472,1)-Constants!$B$8),Constants!$B$11)</f>
        <v>-1</v>
      </c>
      <c r="E472" s="23" t="str">
        <f t="shared" si="7"/>
        <v>OK</v>
      </c>
      <c r="F472" s="24" t="str">
        <f>IF(C472&gt;=0,C472/Constants!$B$5,"n/a")</f>
        <v>n/a</v>
      </c>
      <c r="G472" s="23" t="str">
        <f>IF(AND(B472=Constants!$B$13,C472&lt;0),"Both error",IF(B472=C472,"Identical",IF(AND(B472=Constants!$B$13,C472&gt;=0),"Fixed in v1.0.0","Different")))</f>
        <v>Both error</v>
      </c>
      <c r="H472" s="7" t="s">
        <v>155</v>
      </c>
    </row>
    <row r="473" spans="1:8" x14ac:dyDescent="0.2">
      <c r="A473" s="20">
        <v>50.8</v>
      </c>
      <c r="B473" s="21">
        <v>15797</v>
      </c>
      <c r="C473" s="21">
        <v>-1</v>
      </c>
      <c r="D473" s="22">
        <f>IF(AND(A473&gt;=Constants!$B$8,A473&lt;=Constants!$B$9),Constants!$B$6+Constants!$B$7*(CEILING(A473,1)-Constants!$B$8),Constants!$B$11)</f>
        <v>-1</v>
      </c>
      <c r="E473" s="23" t="str">
        <f t="shared" si="7"/>
        <v>OK</v>
      </c>
      <c r="F473" s="24" t="str">
        <f>IF(C473&gt;=0,C473/Constants!$B$5,"n/a")</f>
        <v>n/a</v>
      </c>
      <c r="G473" s="23" t="str">
        <f>IF(AND(B473=Constants!$B$13,C473&lt;0),"Both error",IF(B473=C473,"Identical",IF(AND(B473=Constants!$B$13,C473&gt;=0),"Fixed in v1.0.0","Different")))</f>
        <v>Both error</v>
      </c>
      <c r="H473" s="7" t="s">
        <v>155</v>
      </c>
    </row>
    <row r="474" spans="1:8" x14ac:dyDescent="0.2">
      <c r="A474" s="20">
        <v>50.9</v>
      </c>
      <c r="B474" s="21">
        <v>15797</v>
      </c>
      <c r="C474" s="21">
        <v>-1</v>
      </c>
      <c r="D474" s="22">
        <f>IF(AND(A474&gt;=Constants!$B$8,A474&lt;=Constants!$B$9),Constants!$B$6+Constants!$B$7*(CEILING(A474,1)-Constants!$B$8),Constants!$B$11)</f>
        <v>-1</v>
      </c>
      <c r="E474" s="23" t="str">
        <f t="shared" si="7"/>
        <v>OK</v>
      </c>
      <c r="F474" s="24" t="str">
        <f>IF(C474&gt;=0,C474/Constants!$B$5,"n/a")</f>
        <v>n/a</v>
      </c>
      <c r="G474" s="23" t="str">
        <f>IF(AND(B474=Constants!$B$13,C474&lt;0),"Both error",IF(B474=C474,"Identical",IF(AND(B474=Constants!$B$13,C474&gt;=0),"Fixed in v1.0.0","Different")))</f>
        <v>Both error</v>
      </c>
      <c r="H474" s="7" t="s">
        <v>155</v>
      </c>
    </row>
    <row r="475" spans="1:8" x14ac:dyDescent="0.2">
      <c r="A475" s="20">
        <v>51</v>
      </c>
      <c r="B475" s="21">
        <v>15797</v>
      </c>
      <c r="C475" s="21">
        <v>-1</v>
      </c>
      <c r="D475" s="22">
        <f>IF(AND(A475&gt;=Constants!$B$8,A475&lt;=Constants!$B$9),Constants!$B$6+Constants!$B$7*(CEILING(A475,1)-Constants!$B$8),Constants!$B$11)</f>
        <v>-1</v>
      </c>
      <c r="E475" s="23" t="str">
        <f t="shared" si="7"/>
        <v>OK</v>
      </c>
      <c r="F475" s="24" t="str">
        <f>IF(C475&gt;=0,C475/Constants!$B$5,"n/a")</f>
        <v>n/a</v>
      </c>
      <c r="G475" s="23" t="str">
        <f>IF(AND(B475=Constants!$B$13,C475&lt;0),"Both error",IF(B475=C475,"Identical",IF(AND(B475=Constants!$B$13,C475&gt;=0),"Fixed in v1.0.0","Different")))</f>
        <v>Both error</v>
      </c>
      <c r="H475" s="7" t="s">
        <v>155</v>
      </c>
    </row>
  </sheetData>
  <autoFilter ref="A4:H475" xr:uid="{00000000-0009-0000-0000-000002000000}"/>
  <conditionalFormatting sqref="E5:E475">
    <cfRule type="expression" dxfId="26" priority="2">
      <formula>OR(NOT(ISERROR(SEARCH("Identical",E5))),NOT(ISERROR(SEARCH("Same",E5))),NOT(ISERROR(SEARCH("OK",E5))),NOT(ISERROR(SEARCH("Both error",E5))),NOT(ISERROR(SEARCH("Match",E5))))</formula>
    </cfRule>
    <cfRule type="expression" dxfId="25" priority="3">
      <formula>OR(NOT(ISERROR(SEARCH("Fixed",E5))),NOT(ISERROR(SEARCH("Changed",E5))),NOT(ISERROR(SEARCH("New:",E5))),NOT(ISERROR(SEARCH("Intended",E5))))</formula>
    </cfRule>
    <cfRule type="expression" dxfId="24" priority="4">
      <formula>OR(NOT(ISERROR(SEARCH("Different",E5))),NOT(ISERROR(SEARCH("CHECK",E5))),NOT(ISERROR(SEARCH("MISMATCH",E5))))</formula>
    </cfRule>
  </conditionalFormatting>
  <conditionalFormatting sqref="G5:G475">
    <cfRule type="expression" dxfId="23" priority="5">
      <formula>OR(NOT(ISERROR(SEARCH("Identical",G5))),NOT(ISERROR(SEARCH("Same",G5))),NOT(ISERROR(SEARCH("OK",G5))),NOT(ISERROR(SEARCH("Both error",G5))),NOT(ISERROR(SEARCH("Match",G5))))</formula>
    </cfRule>
    <cfRule type="expression" dxfId="22" priority="6">
      <formula>OR(NOT(ISERROR(SEARCH("Fixed",G5))),NOT(ISERROR(SEARCH("Changed",G5))),NOT(ISERROR(SEARCH("New:",G5))),NOT(ISERROR(SEARCH("Intended",G5))))</formula>
    </cfRule>
    <cfRule type="expression" dxfId="21" priority="7">
      <formula>OR(NOT(ISERROR(SEARCH("Different",G5))),NOT(ISERROR(SEARCH("CHECK",G5))),NOT(ISERROR(SEARCH("MISMATCH",G5))))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4" customWidth="1"/>
    <col min="2" max="2" width="38" customWidth="1"/>
    <col min="3" max="4" width="9" customWidth="1"/>
    <col min="5" max="8" width="10" customWidth="1"/>
    <col min="9" max="9" width="13" customWidth="1"/>
    <col min="10" max="10" width="11" customWidth="1"/>
    <col min="11" max="11" width="10" customWidth="1"/>
    <col min="12" max="12" width="12" customWidth="1"/>
    <col min="13" max="13" width="10" customWidth="1"/>
    <col min="14" max="14" width="16" customWidth="1"/>
    <col min="15" max="15" width="20" customWidth="1"/>
    <col min="16" max="16" width="26" customWidth="1"/>
  </cols>
  <sheetData>
    <row r="1" spans="1:16" ht="18" x14ac:dyDescent="0.2">
      <c r="A1" s="3" t="s">
        <v>158</v>
      </c>
    </row>
    <row r="2" spans="1:16" x14ac:dyDescent="0.2">
      <c r="A2" s="4" t="s">
        <v>159</v>
      </c>
    </row>
    <row r="4" spans="1:16" ht="42" x14ac:dyDescent="0.2">
      <c r="A4" s="6" t="s">
        <v>160</v>
      </c>
      <c r="B4" s="6" t="s">
        <v>161</v>
      </c>
      <c r="C4" s="6" t="s">
        <v>162</v>
      </c>
      <c r="D4" s="6" t="s">
        <v>163</v>
      </c>
      <c r="E4" s="6" t="s">
        <v>164</v>
      </c>
      <c r="F4" s="6" t="s">
        <v>165</v>
      </c>
      <c r="G4" s="6" t="s">
        <v>166</v>
      </c>
      <c r="H4" s="6" t="s">
        <v>167</v>
      </c>
      <c r="I4" s="6" t="s">
        <v>168</v>
      </c>
      <c r="J4" s="19" t="s">
        <v>169</v>
      </c>
      <c r="K4" s="19" t="s">
        <v>148</v>
      </c>
      <c r="L4" s="6" t="s">
        <v>170</v>
      </c>
      <c r="M4" s="6" t="s">
        <v>171</v>
      </c>
      <c r="N4" s="6" t="s">
        <v>172</v>
      </c>
      <c r="O4" s="6" t="s">
        <v>153</v>
      </c>
      <c r="P4" s="6" t="s">
        <v>173</v>
      </c>
    </row>
    <row r="5" spans="1:16" x14ac:dyDescent="0.2">
      <c r="A5" s="23">
        <v>1</v>
      </c>
      <c r="B5" s="7" t="s">
        <v>174</v>
      </c>
      <c r="C5" s="25">
        <v>103</v>
      </c>
      <c r="D5" s="25">
        <v>316</v>
      </c>
      <c r="E5" s="26">
        <f>C5/Constants!$B$27/Constants!$B$28</f>
        <v>25.103582744333412</v>
      </c>
      <c r="F5" s="26">
        <f>D5/Constants!$B$27/Constants!$B$28</f>
        <v>77.016816963197655</v>
      </c>
      <c r="G5" s="26">
        <f>(F5-32)*Constants!$B$29</f>
        <v>25.006841823056298</v>
      </c>
      <c r="H5" s="26">
        <f t="shared" ref="H5:H21" si="0">ABS(E5-G5)</f>
        <v>9.6740921277113756E-2</v>
      </c>
      <c r="I5" s="23" t="str">
        <f>IF(AND(E5&gt;=Constants!$B$8,E5&lt;=Constants!$B$9,G5&gt;=Constants!$B$8,G5&lt;=Constants!$B$9),IF(H5&gt;Constants!$B$10,"YES","no"),"n/a (out of range)")</f>
        <v>no</v>
      </c>
      <c r="J5" s="27">
        <v>25.06</v>
      </c>
      <c r="K5" s="21">
        <v>152</v>
      </c>
      <c r="L5" s="27">
        <v>25.06</v>
      </c>
      <c r="M5" s="21">
        <v>152</v>
      </c>
      <c r="N5" s="23" t="str">
        <f>IF(M5=Constants!$B$12,"Sensor divergence",IF(M5=Constants!$B$11,"Out of range","Valid"))</f>
        <v>Valid</v>
      </c>
      <c r="O5" s="23" t="str">
        <f>IF(AND(K5=Constants!$B$13,M5&lt;0),"Both error",IF(K5=M5,"Identical",IF(AND(K5=Constants!$B$13,M5&gt;=0),"Fixed in v1.0.0",IF(M5=Constants!$B$12,"New: divergence detected","Different"))))</f>
        <v>Identical</v>
      </c>
      <c r="P5" s="7" t="str">
        <f>IF(M5&lt;0,"Holds last good PWM, D4 ON","OCR1A = "&amp;M5&amp;" ("&amp;TEXT(M5/Constants!$B$5,"0.0%")&amp;")")</f>
        <v>OCR1A = 152 (48%)</v>
      </c>
    </row>
    <row r="6" spans="1:16" x14ac:dyDescent="0.2">
      <c r="A6" s="23">
        <v>2</v>
      </c>
      <c r="B6" s="7" t="s">
        <v>175</v>
      </c>
      <c r="C6" s="25">
        <v>123</v>
      </c>
      <c r="D6" s="25">
        <v>353</v>
      </c>
      <c r="E6" s="26">
        <f>C6/Constants!$B$27/Constants!$B$28</f>
        <v>29.978064830611743</v>
      </c>
      <c r="F6" s="26">
        <f>D6/Constants!$B$27/Constants!$B$28</f>
        <v>86.034608822812572</v>
      </c>
      <c r="G6" s="26">
        <f>(F6-32)*Constants!$B$29</f>
        <v>30.016225201072384</v>
      </c>
      <c r="H6" s="26">
        <f t="shared" si="0"/>
        <v>3.8160370460641246E-2</v>
      </c>
      <c r="I6" s="23" t="str">
        <f>IF(AND(E6&gt;=Constants!$B$8,E6&lt;=Constants!$B$9,G6&gt;=Constants!$B$8,G6&lt;=Constants!$B$9),IF(H6&gt;Constants!$B$10,"YES","no"),"n/a (out of range)")</f>
        <v>no</v>
      </c>
      <c r="J6" s="27">
        <v>30</v>
      </c>
      <c r="K6" s="21">
        <v>180</v>
      </c>
      <c r="L6" s="27">
        <v>30</v>
      </c>
      <c r="M6" s="21">
        <v>180</v>
      </c>
      <c r="N6" s="23" t="str">
        <f>IF(M6=Constants!$B$12,"Sensor divergence",IF(M6=Constants!$B$11,"Out of range","Valid"))</f>
        <v>Valid</v>
      </c>
      <c r="O6" s="23" t="str">
        <f>IF(AND(K6=Constants!$B$13,M6&lt;0),"Both error",IF(K6=M6,"Identical",IF(AND(K6=Constants!$B$13,M6&gt;=0),"Fixed in v1.0.0",IF(M6=Constants!$B$12,"New: divergence detected","Different"))))</f>
        <v>Identical</v>
      </c>
      <c r="P6" s="7" t="str">
        <f>IF(M6&lt;0,"Holds last good PWM, D4 ON","OCR1A = "&amp;M6&amp;" ("&amp;TEXT(M6/Constants!$B$5,"0.0%")&amp;")")</f>
        <v>OCR1A = 180 (56%)</v>
      </c>
    </row>
    <row r="7" spans="1:16" x14ac:dyDescent="0.2">
      <c r="A7" s="23">
        <v>3</v>
      </c>
      <c r="B7" s="7" t="s">
        <v>176</v>
      </c>
      <c r="C7" s="25">
        <v>185</v>
      </c>
      <c r="D7" s="25">
        <v>464</v>
      </c>
      <c r="E7" s="26">
        <f>C7/Constants!$B$27/Constants!$B$28</f>
        <v>45.088959298074577</v>
      </c>
      <c r="F7" s="26">
        <f>D7/Constants!$B$27/Constants!$B$28</f>
        <v>113.08798440165732</v>
      </c>
      <c r="G7" s="26">
        <f>(F7-32)*Constants!$B$29</f>
        <v>45.044375335120641</v>
      </c>
      <c r="H7" s="26">
        <f t="shared" si="0"/>
        <v>4.4583962953936407E-2</v>
      </c>
      <c r="I7" s="23" t="str">
        <f>IF(AND(E7&gt;=Constants!$B$8,E7&lt;=Constants!$B$9,G7&gt;=Constants!$B$8,G7&lt;=Constants!$B$9),IF(H7&gt;Constants!$B$10,"YES","no"),"n/a (out of range)")</f>
        <v>no</v>
      </c>
      <c r="J7" s="27">
        <v>45.07</v>
      </c>
      <c r="K7" s="21">
        <v>292</v>
      </c>
      <c r="L7" s="27">
        <v>45.07</v>
      </c>
      <c r="M7" s="21">
        <v>292</v>
      </c>
      <c r="N7" s="23" t="str">
        <f>IF(M7=Constants!$B$12,"Sensor divergence",IF(M7=Constants!$B$11,"Out of range","Valid"))</f>
        <v>Valid</v>
      </c>
      <c r="O7" s="23" t="str">
        <f>IF(AND(K7=Constants!$B$13,M7&lt;0),"Both error",IF(K7=M7,"Identical",IF(AND(K7=Constants!$B$13,M7&gt;=0),"Fixed in v1.0.0",IF(M7=Constants!$B$12,"New: divergence detected","Different"))))</f>
        <v>Identical</v>
      </c>
      <c r="P7" s="7" t="str">
        <f>IF(M7&lt;0,"Holds last good PWM, D4 ON","OCR1A = "&amp;M7&amp;" ("&amp;TEXT(M7/Constants!$B$5,"0.0%")&amp;")")</f>
        <v>OCR1A = 292 (91%)</v>
      </c>
    </row>
    <row r="8" spans="1:16" x14ac:dyDescent="0.2">
      <c r="A8" s="23">
        <v>4</v>
      </c>
      <c r="B8" s="7" t="s">
        <v>177</v>
      </c>
      <c r="C8" s="25">
        <v>21</v>
      </c>
      <c r="D8" s="25">
        <v>170</v>
      </c>
      <c r="E8" s="26">
        <f>C8/Constants!$B$27/Constants!$B$28</f>
        <v>5.1182061905922493</v>
      </c>
      <c r="F8" s="26">
        <f>D8/Constants!$B$27/Constants!$B$28</f>
        <v>41.433097733365834</v>
      </c>
      <c r="G8" s="26">
        <f>(F8-32)*Constants!$B$29</f>
        <v>5.2400857908847209</v>
      </c>
      <c r="H8" s="26">
        <f t="shared" si="0"/>
        <v>0.12187960029247158</v>
      </c>
      <c r="I8" s="23" t="str">
        <f>IF(AND(E8&gt;=Constants!$B$8,E8&lt;=Constants!$B$9,G8&gt;=Constants!$B$8,G8&lt;=Constants!$B$9),IF(H8&gt;Constants!$B$10,"YES","no"),"n/a (out of range)")</f>
        <v>no</v>
      </c>
      <c r="J8" s="27">
        <v>5.18</v>
      </c>
      <c r="K8" s="21">
        <v>12</v>
      </c>
      <c r="L8" s="27">
        <v>5.18</v>
      </c>
      <c r="M8" s="21">
        <v>12</v>
      </c>
      <c r="N8" s="23" t="str">
        <f>IF(M8=Constants!$B$12,"Sensor divergence",IF(M8=Constants!$B$11,"Out of range","Valid"))</f>
        <v>Valid</v>
      </c>
      <c r="O8" s="23" t="str">
        <f>IF(AND(K8=Constants!$B$13,M8&lt;0),"Both error",IF(K8=M8,"Identical",IF(AND(K8=Constants!$B$13,M8&gt;=0),"Fixed in v1.0.0",IF(M8=Constants!$B$12,"New: divergence detected","Different"))))</f>
        <v>Identical</v>
      </c>
      <c r="P8" s="7" t="str">
        <f>IF(M8&lt;0,"Holds last good PWM, D4 ON","OCR1A = "&amp;M8&amp;" ("&amp;TEXT(M8/Constants!$B$5,"0.0%")&amp;")")</f>
        <v>OCR1A = 12 (04%)</v>
      </c>
    </row>
    <row r="9" spans="1:16" x14ac:dyDescent="0.2">
      <c r="A9" s="23">
        <v>5</v>
      </c>
      <c r="B9" s="7" t="s">
        <v>178</v>
      </c>
      <c r="C9" s="25">
        <v>205</v>
      </c>
      <c r="D9" s="25">
        <v>500</v>
      </c>
      <c r="E9" s="26">
        <f>C9/Constants!$B$27/Constants!$B$28</f>
        <v>49.963441384352912</v>
      </c>
      <c r="F9" s="26">
        <f>D9/Constants!$B$27/Constants!$B$28</f>
        <v>121.86205215695831</v>
      </c>
      <c r="G9" s="26">
        <f>(F9-32)*Constants!$B$29</f>
        <v>49.918369973190345</v>
      </c>
      <c r="H9" s="26">
        <f t="shared" si="0"/>
        <v>4.5071411162567188E-2</v>
      </c>
      <c r="I9" s="23" t="str">
        <f>IF(AND(E9&gt;=Constants!$B$8,E9&lt;=Constants!$B$9,G9&gt;=Constants!$B$8,G9&lt;=Constants!$B$9),IF(H9&gt;Constants!$B$10,"YES","no"),"n/a (out of range)")</f>
        <v>no</v>
      </c>
      <c r="J9" s="27">
        <v>49.94</v>
      </c>
      <c r="K9" s="21">
        <v>320</v>
      </c>
      <c r="L9" s="27">
        <v>49.94</v>
      </c>
      <c r="M9" s="21">
        <v>320</v>
      </c>
      <c r="N9" s="23" t="str">
        <f>IF(M9=Constants!$B$12,"Sensor divergence",IF(M9=Constants!$B$11,"Out of range","Valid"))</f>
        <v>Valid</v>
      </c>
      <c r="O9" s="23" t="str">
        <f>IF(AND(K9=Constants!$B$13,M9&lt;0),"Both error",IF(K9=M9,"Identical",IF(AND(K9=Constants!$B$13,M9&gt;=0),"Fixed in v1.0.0",IF(M9=Constants!$B$12,"New: divergence detected","Different"))))</f>
        <v>Identical</v>
      </c>
      <c r="P9" s="7" t="str">
        <f>IF(M9&lt;0,"Holds last good PWM, D4 ON","OCR1A = "&amp;M9&amp;" ("&amp;TEXT(M9/Constants!$B$5,"0.0%")&amp;")")</f>
        <v>OCR1A = 320 (100%)</v>
      </c>
    </row>
    <row r="10" spans="1:16" x14ac:dyDescent="0.2">
      <c r="A10" s="23">
        <v>6</v>
      </c>
      <c r="B10" s="7" t="s">
        <v>179</v>
      </c>
      <c r="C10" s="25">
        <v>109</v>
      </c>
      <c r="D10" s="25">
        <v>327</v>
      </c>
      <c r="E10" s="26">
        <f>C10/Constants!$B$27/Constants!$B$28</f>
        <v>26.565927370216912</v>
      </c>
      <c r="F10" s="26">
        <f>D10/Constants!$B$27/Constants!$B$28</f>
        <v>79.697782110650735</v>
      </c>
      <c r="G10" s="26">
        <f>(F10-32)*Constants!$B$29</f>
        <v>26.496117962466482</v>
      </c>
      <c r="H10" s="26">
        <f t="shared" si="0"/>
        <v>6.9809407750430097E-2</v>
      </c>
      <c r="I10" s="23" t="str">
        <f>IF(AND(E10&gt;=Constants!$B$8,E10&lt;=Constants!$B$9,G10&gt;=Constants!$B$8,G10&lt;=Constants!$B$9),IF(H10&gt;Constants!$B$10,"YES","no"),"n/a (out of range)")</f>
        <v>no</v>
      </c>
      <c r="J10" s="27">
        <v>26.53</v>
      </c>
      <c r="K10" s="21">
        <v>15797</v>
      </c>
      <c r="L10" s="27">
        <v>26.53</v>
      </c>
      <c r="M10" s="21">
        <v>159</v>
      </c>
      <c r="N10" s="23" t="str">
        <f>IF(M10=Constants!$B$12,"Sensor divergence",IF(M10=Constants!$B$11,"Out of range","Valid"))</f>
        <v>Valid</v>
      </c>
      <c r="O10" s="23" t="str">
        <f>IF(AND(K10=Constants!$B$13,M10&lt;0),"Both error",IF(K10=M10,"Identical",IF(AND(K10=Constants!$B$13,M10&gt;=0),"Fixed in v1.0.0",IF(M10=Constants!$B$12,"New: divergence detected","Different"))))</f>
        <v>Fixed in v1.0.0</v>
      </c>
      <c r="P10" s="7" t="str">
        <f>IF(M10&lt;0,"Holds last good PWM, D4 ON","OCR1A = "&amp;M10&amp;" ("&amp;TEXT(M10/Constants!$B$5,"0.0%")&amp;")")</f>
        <v>OCR1A = 159 (50%)</v>
      </c>
    </row>
    <row r="11" spans="1:16" ht="28" x14ac:dyDescent="0.2">
      <c r="A11" s="23">
        <v>7</v>
      </c>
      <c r="B11" s="7" t="s">
        <v>180</v>
      </c>
      <c r="C11" s="25">
        <v>16</v>
      </c>
      <c r="D11" s="25">
        <v>160</v>
      </c>
      <c r="E11" s="26">
        <f>C11/Constants!$B$27/Constants!$B$28</f>
        <v>3.8995856690226662</v>
      </c>
      <c r="F11" s="26">
        <f>D11/Constants!$B$27/Constants!$B$28</f>
        <v>38.99585669022666</v>
      </c>
      <c r="G11" s="26">
        <f>(F11-32)*Constants!$B$29</f>
        <v>3.8861983914209093</v>
      </c>
      <c r="H11" s="26">
        <f t="shared" si="0"/>
        <v>1.3387277601756953E-2</v>
      </c>
      <c r="I11" s="23" t="str">
        <f>IF(AND(E11&gt;=Constants!$B$8,E11&lt;=Constants!$B$9,G11&gt;=Constants!$B$8,G11&lt;=Constants!$B$9),IF(H11&gt;Constants!$B$10,"YES","no"),"n/a (out of range)")</f>
        <v>n/a (out of range)</v>
      </c>
      <c r="J11" s="27">
        <v>-99.14</v>
      </c>
      <c r="K11" s="21">
        <v>15797</v>
      </c>
      <c r="L11" s="27">
        <v>-99</v>
      </c>
      <c r="M11" s="21">
        <v>-1</v>
      </c>
      <c r="N11" s="23" t="str">
        <f>IF(M11=Constants!$B$12,"Sensor divergence",IF(M11=Constants!$B$11,"Out of range","Valid"))</f>
        <v>Out of range</v>
      </c>
      <c r="O11" s="23" t="str">
        <f>IF(AND(K11=Constants!$B$13,M11&lt;0),"Both error",IF(K11=M11,"Identical",IF(AND(K11=Constants!$B$13,M11&gt;=0),"Fixed in v1.0.0",IF(M11=Constants!$B$12,"New: divergence detected","Different"))))</f>
        <v>Both error</v>
      </c>
      <c r="P11" s="7" t="str">
        <f>IF(M11&lt;0,"Holds last good PWM, D4 ON","OCR1A = "&amp;M11&amp;" ("&amp;TEXT(M11/Constants!$B$5,"0.0%")&amp;")")</f>
        <v>Holds last good PWM, D4 ON</v>
      </c>
    </row>
    <row r="12" spans="1:16" ht="28" x14ac:dyDescent="0.2">
      <c r="A12" s="23">
        <v>8</v>
      </c>
      <c r="B12" s="7" t="s">
        <v>181</v>
      </c>
      <c r="C12" s="25">
        <v>210</v>
      </c>
      <c r="D12" s="25">
        <v>509</v>
      </c>
      <c r="E12" s="26">
        <f>C12/Constants!$B$27/Constants!$B$28</f>
        <v>51.182061905922495</v>
      </c>
      <c r="F12" s="26">
        <f>D12/Constants!$B$27/Constants!$B$28</f>
        <v>124.05556909578357</v>
      </c>
      <c r="G12" s="26">
        <f>(F12-32)*Constants!$B$29</f>
        <v>51.136868632707774</v>
      </c>
      <c r="H12" s="26">
        <f t="shared" si="0"/>
        <v>4.519327321472133E-2</v>
      </c>
      <c r="I12" s="23" t="str">
        <f>IF(AND(E12&gt;=Constants!$B$8,E12&lt;=Constants!$B$9,G12&gt;=Constants!$B$8,G12&lt;=Constants!$B$9),IF(H12&gt;Constants!$B$10,"YES","no"),"n/a (out of range)")</f>
        <v>n/a (out of range)</v>
      </c>
      <c r="J12" s="27">
        <v>-99.14</v>
      </c>
      <c r="K12" s="21">
        <v>15797</v>
      </c>
      <c r="L12" s="27">
        <v>-99</v>
      </c>
      <c r="M12" s="21">
        <v>-1</v>
      </c>
      <c r="N12" s="23" t="str">
        <f>IF(M12=Constants!$B$12,"Sensor divergence",IF(M12=Constants!$B$11,"Out of range","Valid"))</f>
        <v>Out of range</v>
      </c>
      <c r="O12" s="23" t="str">
        <f>IF(AND(K12=Constants!$B$13,M12&lt;0),"Both error",IF(K12=M12,"Identical",IF(AND(K12=Constants!$B$13,M12&gt;=0),"Fixed in v1.0.0",IF(M12=Constants!$B$12,"New: divergence detected","Different"))))</f>
        <v>Both error</v>
      </c>
      <c r="P12" s="7" t="str">
        <f>IF(M12&lt;0,"Holds last good PWM, D4 ON","OCR1A = "&amp;M12&amp;" ("&amp;TEXT(M12/Constants!$B$5,"0.0%")&amp;")")</f>
        <v>Holds last good PWM, D4 ON</v>
      </c>
    </row>
    <row r="13" spans="1:16" ht="28" x14ac:dyDescent="0.2">
      <c r="A13" s="23">
        <v>9</v>
      </c>
      <c r="B13" s="7" t="s">
        <v>182</v>
      </c>
      <c r="C13" s="25">
        <v>20</v>
      </c>
      <c r="D13" s="25">
        <v>172</v>
      </c>
      <c r="E13" s="26">
        <f>C13/Constants!$B$27/Constants!$B$28</f>
        <v>4.8744820862783325</v>
      </c>
      <c r="F13" s="26">
        <f>D13/Constants!$B$27/Constants!$B$28</f>
        <v>41.920545941993666</v>
      </c>
      <c r="G13" s="26">
        <f>(F13-32)*Constants!$B$29</f>
        <v>5.5108632707774809</v>
      </c>
      <c r="H13" s="26">
        <f t="shared" si="0"/>
        <v>0.63638118449914849</v>
      </c>
      <c r="I13" s="23" t="str">
        <f>IF(AND(E13&gt;=Constants!$B$8,E13&lt;=Constants!$B$9,G13&gt;=Constants!$B$8,G13&lt;=Constants!$B$9),IF(H13&gt;Constants!$B$10,"YES","no"),"n/a (out of range)")</f>
        <v>n/a (out of range)</v>
      </c>
      <c r="J13" s="27">
        <v>-99.14</v>
      </c>
      <c r="K13" s="21">
        <v>15797</v>
      </c>
      <c r="L13" s="27">
        <v>-99</v>
      </c>
      <c r="M13" s="21">
        <v>-1</v>
      </c>
      <c r="N13" s="23" t="str">
        <f>IF(M13=Constants!$B$12,"Sensor divergence",IF(M13=Constants!$B$11,"Out of range","Valid"))</f>
        <v>Out of range</v>
      </c>
      <c r="O13" s="23" t="str">
        <f>IF(AND(K13=Constants!$B$13,M13&lt;0),"Both error",IF(K13=M13,"Identical",IF(AND(K13=Constants!$B$13,M13&gt;=0),"Fixed in v1.0.0",IF(M13=Constants!$B$12,"New: divergence detected","Different"))))</f>
        <v>Both error</v>
      </c>
      <c r="P13" s="7" t="str">
        <f>IF(M13&lt;0,"Holds last good PWM, D4 ON","OCR1A = "&amp;M13&amp;" ("&amp;TEXT(M13/Constants!$B$5,"0.0%")&amp;")")</f>
        <v>Holds last good PWM, D4 ON</v>
      </c>
    </row>
    <row r="14" spans="1:16" x14ac:dyDescent="0.2">
      <c r="A14" s="23">
        <v>10</v>
      </c>
      <c r="B14" s="7" t="s">
        <v>183</v>
      </c>
      <c r="C14" s="25">
        <v>123</v>
      </c>
      <c r="D14" s="25">
        <v>316</v>
      </c>
      <c r="E14" s="26">
        <f>C14/Constants!$B$27/Constants!$B$28</f>
        <v>29.978064830611743</v>
      </c>
      <c r="F14" s="26">
        <f>D14/Constants!$B$27/Constants!$B$28</f>
        <v>77.016816963197655</v>
      </c>
      <c r="G14" s="26">
        <f>(F14-32)*Constants!$B$29</f>
        <v>25.006841823056298</v>
      </c>
      <c r="H14" s="26">
        <f t="shared" si="0"/>
        <v>4.9712230075554444</v>
      </c>
      <c r="I14" s="23" t="str">
        <f>IF(AND(E14&gt;=Constants!$B$8,E14&lt;=Constants!$B$9,G14&gt;=Constants!$B$8,G14&lt;=Constants!$B$9),IF(H14&gt;Constants!$B$10,"YES","no"),"n/a (out of range)")</f>
        <v>no</v>
      </c>
      <c r="J14" s="27">
        <v>27.49</v>
      </c>
      <c r="K14" s="21">
        <v>166</v>
      </c>
      <c r="L14" s="27">
        <v>27.49</v>
      </c>
      <c r="M14" s="21">
        <v>166</v>
      </c>
      <c r="N14" s="23" t="str">
        <f>IF(M14=Constants!$B$12,"Sensor divergence",IF(M14=Constants!$B$11,"Out of range","Valid"))</f>
        <v>Valid</v>
      </c>
      <c r="O14" s="23" t="str">
        <f>IF(AND(K14=Constants!$B$13,M14&lt;0),"Both error",IF(K14=M14,"Identical",IF(AND(K14=Constants!$B$13,M14&gt;=0),"Fixed in v1.0.0",IF(M14=Constants!$B$12,"New: divergence detected","Different"))))</f>
        <v>Identical</v>
      </c>
      <c r="P14" s="7" t="str">
        <f>IF(M14&lt;0,"Holds last good PWM, D4 ON","OCR1A = "&amp;M14&amp;" ("&amp;TEXT(M14/Constants!$B$5,"0.0%")&amp;")")</f>
        <v>OCR1A = 166 (52%)</v>
      </c>
    </row>
    <row r="15" spans="1:16" ht="28" x14ac:dyDescent="0.2">
      <c r="A15" s="23">
        <v>11</v>
      </c>
      <c r="B15" s="7" t="s">
        <v>184</v>
      </c>
      <c r="C15" s="25">
        <v>123</v>
      </c>
      <c r="D15" s="25">
        <v>315</v>
      </c>
      <c r="E15" s="26">
        <f>C15/Constants!$B$27/Constants!$B$28</f>
        <v>29.978064830611743</v>
      </c>
      <c r="F15" s="26">
        <f>D15/Constants!$B$27/Constants!$B$28</f>
        <v>76.773092858883743</v>
      </c>
      <c r="G15" s="26">
        <f>(F15-32)*Constants!$B$29</f>
        <v>24.87145308310992</v>
      </c>
      <c r="H15" s="26">
        <f t="shared" si="0"/>
        <v>5.1066117475018231</v>
      </c>
      <c r="I15" s="23" t="str">
        <f>IF(AND(E15&gt;=Constants!$B$8,E15&lt;=Constants!$B$9,G15&gt;=Constants!$B$8,G15&lt;=Constants!$B$9),IF(H15&gt;Constants!$B$10,"YES","no"),"n/a (out of range)")</f>
        <v>YES</v>
      </c>
      <c r="J15" s="27">
        <v>27.42</v>
      </c>
      <c r="K15" s="21">
        <v>166</v>
      </c>
      <c r="L15" s="27">
        <v>-97</v>
      </c>
      <c r="M15" s="21">
        <v>-2</v>
      </c>
      <c r="N15" s="23" t="str">
        <f>IF(M15=Constants!$B$12,"Sensor divergence",IF(M15=Constants!$B$11,"Out of range","Valid"))</f>
        <v>Sensor divergence</v>
      </c>
      <c r="O15" s="23" t="str">
        <f>IF(AND(K15=Constants!$B$13,M15&lt;0),"Both error",IF(K15=M15,"Identical",IF(AND(K15=Constants!$B$13,M15&gt;=0),"Fixed in v1.0.0",IF(M15=Constants!$B$12,"New: divergence detected","Different"))))</f>
        <v>New: divergence detected</v>
      </c>
      <c r="P15" s="7" t="str">
        <f>IF(M15&lt;0,"Holds last good PWM, D4 ON","OCR1A = "&amp;M15&amp;" ("&amp;TEXT(M15/Constants!$B$5,"0.0%")&amp;")")</f>
        <v>Holds last good PWM, D4 ON</v>
      </c>
    </row>
    <row r="16" spans="1:16" ht="28" x14ac:dyDescent="0.2">
      <c r="A16" s="23">
        <v>12</v>
      </c>
      <c r="B16" s="7" t="s">
        <v>185</v>
      </c>
      <c r="C16" s="25">
        <v>123</v>
      </c>
      <c r="D16" s="25">
        <v>427</v>
      </c>
      <c r="E16" s="26">
        <f>C16/Constants!$B$27/Constants!$B$28</f>
        <v>29.978064830611743</v>
      </c>
      <c r="F16" s="26">
        <f>D16/Constants!$B$27/Constants!$B$28</f>
        <v>104.07019254204239</v>
      </c>
      <c r="G16" s="26">
        <f>(F16-32)*Constants!$B$29</f>
        <v>40.034991957104545</v>
      </c>
      <c r="H16" s="26">
        <f t="shared" si="0"/>
        <v>10.056927126492802</v>
      </c>
      <c r="I16" s="23" t="str">
        <f>IF(AND(E16&gt;=Constants!$B$8,E16&lt;=Constants!$B$9,G16&gt;=Constants!$B$8,G16&lt;=Constants!$B$9),IF(H16&gt;Constants!$B$10,"YES","no"),"n/a (out of range)")</f>
        <v>YES</v>
      </c>
      <c r="J16" s="27">
        <v>35.01</v>
      </c>
      <c r="K16" s="21">
        <v>222</v>
      </c>
      <c r="L16" s="27">
        <v>-97</v>
      </c>
      <c r="M16" s="21">
        <v>-2</v>
      </c>
      <c r="N16" s="23" t="str">
        <f>IF(M16=Constants!$B$12,"Sensor divergence",IF(M16=Constants!$B$11,"Out of range","Valid"))</f>
        <v>Sensor divergence</v>
      </c>
      <c r="O16" s="23" t="str">
        <f>IF(AND(K16=Constants!$B$13,M16&lt;0),"Both error",IF(K16=M16,"Identical",IF(AND(K16=Constants!$B$13,M16&gt;=0),"Fixed in v1.0.0",IF(M16=Constants!$B$12,"New: divergence detected","Different"))))</f>
        <v>New: divergence detected</v>
      </c>
      <c r="P16" s="7" t="str">
        <f>IF(M16&lt;0,"Holds last good PWM, D4 ON","OCR1A = "&amp;M16&amp;" ("&amp;TEXT(M16/Constants!$B$5,"0.0%")&amp;")")</f>
        <v>Holds last good PWM, D4 ON</v>
      </c>
    </row>
    <row r="17" spans="1:16" ht="28" x14ac:dyDescent="0.2">
      <c r="A17" s="23">
        <v>13</v>
      </c>
      <c r="B17" s="7" t="s">
        <v>186</v>
      </c>
      <c r="C17" s="25">
        <v>0</v>
      </c>
      <c r="D17" s="25">
        <v>353</v>
      </c>
      <c r="E17" s="26">
        <f>C17/Constants!$B$27/Constants!$B$28</f>
        <v>0</v>
      </c>
      <c r="F17" s="26">
        <f>D17/Constants!$B$27/Constants!$B$28</f>
        <v>86.034608822812572</v>
      </c>
      <c r="G17" s="26">
        <f>(F17-32)*Constants!$B$29</f>
        <v>30.016225201072384</v>
      </c>
      <c r="H17" s="26">
        <f t="shared" si="0"/>
        <v>30.016225201072384</v>
      </c>
      <c r="I17" s="23" t="str">
        <f>IF(AND(E17&gt;=Constants!$B$8,E17&lt;=Constants!$B$9,G17&gt;=Constants!$B$8,G17&lt;=Constants!$B$9),IF(H17&gt;Constants!$B$10,"YES","no"),"n/a (out of range)")</f>
        <v>n/a (out of range)</v>
      </c>
      <c r="J17" s="27">
        <v>-99.14</v>
      </c>
      <c r="K17" s="21">
        <v>15797</v>
      </c>
      <c r="L17" s="27">
        <v>-99</v>
      </c>
      <c r="M17" s="21">
        <v>-1</v>
      </c>
      <c r="N17" s="23" t="str">
        <f>IF(M17=Constants!$B$12,"Sensor divergence",IF(M17=Constants!$B$11,"Out of range","Valid"))</f>
        <v>Out of range</v>
      </c>
      <c r="O17" s="23" t="str">
        <f>IF(AND(K17=Constants!$B$13,M17&lt;0),"Both error",IF(K17=M17,"Identical",IF(AND(K17=Constants!$B$13,M17&gt;=0),"Fixed in v1.0.0",IF(M17=Constants!$B$12,"New: divergence detected","Different"))))</f>
        <v>Both error</v>
      </c>
      <c r="P17" s="7" t="str">
        <f>IF(M17&lt;0,"Holds last good PWM, D4 ON","OCR1A = "&amp;M17&amp;" ("&amp;TEXT(M17/Constants!$B$5,"0.0%")&amp;")")</f>
        <v>Holds last good PWM, D4 ON</v>
      </c>
    </row>
    <row r="18" spans="1:16" ht="28" x14ac:dyDescent="0.2">
      <c r="A18" s="23">
        <v>14</v>
      </c>
      <c r="B18" s="7" t="s">
        <v>187</v>
      </c>
      <c r="C18" s="25">
        <v>123</v>
      </c>
      <c r="D18" s="25">
        <v>0</v>
      </c>
      <c r="E18" s="26">
        <f>C18/Constants!$B$27/Constants!$B$28</f>
        <v>29.978064830611743</v>
      </c>
      <c r="F18" s="26">
        <f>D18/Constants!$B$27/Constants!$B$28</f>
        <v>0</v>
      </c>
      <c r="G18" s="26">
        <f>(F18-32)*Constants!$B$29</f>
        <v>-17.776</v>
      </c>
      <c r="H18" s="26">
        <f t="shared" si="0"/>
        <v>47.754064830611739</v>
      </c>
      <c r="I18" s="23" t="str">
        <f>IF(AND(E18&gt;=Constants!$B$8,E18&lt;=Constants!$B$9,G18&gt;=Constants!$B$8,G18&lt;=Constants!$B$9),IF(H18&gt;Constants!$B$10,"YES","no"),"n/a (out of range)")</f>
        <v>n/a (out of range)</v>
      </c>
      <c r="J18" s="27">
        <v>-99.14</v>
      </c>
      <c r="K18" s="21">
        <v>15797</v>
      </c>
      <c r="L18" s="27">
        <v>-99</v>
      </c>
      <c r="M18" s="21">
        <v>-1</v>
      </c>
      <c r="N18" s="23" t="str">
        <f>IF(M18=Constants!$B$12,"Sensor divergence",IF(M18=Constants!$B$11,"Out of range","Valid"))</f>
        <v>Out of range</v>
      </c>
      <c r="O18" s="23" t="str">
        <f>IF(AND(K18=Constants!$B$13,M18&lt;0),"Both error",IF(K18=M18,"Identical",IF(AND(K18=Constants!$B$13,M18&gt;=0),"Fixed in v1.0.0",IF(M18=Constants!$B$12,"New: divergence detected","Different"))))</f>
        <v>Both error</v>
      </c>
      <c r="P18" s="7" t="str">
        <f>IF(M18&lt;0,"Holds last good PWM, D4 ON","OCR1A = "&amp;M18&amp;" ("&amp;TEXT(M18/Constants!$B$5,"0.0%")&amp;")")</f>
        <v>Holds last good PWM, D4 ON</v>
      </c>
    </row>
    <row r="19" spans="1:16" ht="28" x14ac:dyDescent="0.2">
      <c r="A19" s="23">
        <v>15</v>
      </c>
      <c r="B19" s="7" t="s">
        <v>188</v>
      </c>
      <c r="C19" s="25">
        <v>0</v>
      </c>
      <c r="D19" s="25">
        <v>0</v>
      </c>
      <c r="E19" s="26">
        <f>C19/Constants!$B$27/Constants!$B$28</f>
        <v>0</v>
      </c>
      <c r="F19" s="26">
        <f>D19/Constants!$B$27/Constants!$B$28</f>
        <v>0</v>
      </c>
      <c r="G19" s="26">
        <f>(F19-32)*Constants!$B$29</f>
        <v>-17.776</v>
      </c>
      <c r="H19" s="26">
        <f t="shared" si="0"/>
        <v>17.776</v>
      </c>
      <c r="I19" s="23" t="str">
        <f>IF(AND(E19&gt;=Constants!$B$8,E19&lt;=Constants!$B$9,G19&gt;=Constants!$B$8,G19&lt;=Constants!$B$9),IF(H19&gt;Constants!$B$10,"YES","no"),"n/a (out of range)")</f>
        <v>n/a (out of range)</v>
      </c>
      <c r="J19" s="27">
        <v>-99.14</v>
      </c>
      <c r="K19" s="21">
        <v>15797</v>
      </c>
      <c r="L19" s="27">
        <v>-99</v>
      </c>
      <c r="M19" s="21">
        <v>-1</v>
      </c>
      <c r="N19" s="23" t="str">
        <f>IF(M19=Constants!$B$12,"Sensor divergence",IF(M19=Constants!$B$11,"Out of range","Valid"))</f>
        <v>Out of range</v>
      </c>
      <c r="O19" s="23" t="str">
        <f>IF(AND(K19=Constants!$B$13,M19&lt;0),"Both error",IF(K19=M19,"Identical",IF(AND(K19=Constants!$B$13,M19&gt;=0),"Fixed in v1.0.0",IF(M19=Constants!$B$12,"New: divergence detected","Different"))))</f>
        <v>Both error</v>
      </c>
      <c r="P19" s="7" t="str">
        <f>IF(M19&lt;0,"Holds last good PWM, D4 ON","OCR1A = "&amp;M19&amp;" ("&amp;TEXT(M19/Constants!$B$5,"0.0%")&amp;")")</f>
        <v>Holds last good PWM, D4 ON</v>
      </c>
    </row>
    <row r="20" spans="1:16" ht="28" x14ac:dyDescent="0.2">
      <c r="A20" s="23">
        <v>16</v>
      </c>
      <c r="B20" s="7" t="s">
        <v>189</v>
      </c>
      <c r="C20" s="25">
        <v>1023</v>
      </c>
      <c r="D20" s="25">
        <v>353</v>
      </c>
      <c r="E20" s="26">
        <f>C20/Constants!$B$27/Constants!$B$28</f>
        <v>249.32975871313673</v>
      </c>
      <c r="F20" s="26">
        <f>D20/Constants!$B$27/Constants!$B$28</f>
        <v>86.034608822812572</v>
      </c>
      <c r="G20" s="26">
        <f>(F20-32)*Constants!$B$29</f>
        <v>30.016225201072384</v>
      </c>
      <c r="H20" s="26">
        <f t="shared" si="0"/>
        <v>219.31353351206434</v>
      </c>
      <c r="I20" s="23" t="str">
        <f>IF(AND(E20&gt;=Constants!$B$8,E20&lt;=Constants!$B$9,G20&gt;=Constants!$B$8,G20&lt;=Constants!$B$9),IF(H20&gt;Constants!$B$10,"YES","no"),"n/a (out of range)")</f>
        <v>n/a (out of range)</v>
      </c>
      <c r="J20" s="27">
        <v>-99.14</v>
      </c>
      <c r="K20" s="21">
        <v>15797</v>
      </c>
      <c r="L20" s="27">
        <v>-99</v>
      </c>
      <c r="M20" s="21">
        <v>-1</v>
      </c>
      <c r="N20" s="23" t="str">
        <f>IF(M20=Constants!$B$12,"Sensor divergence",IF(M20=Constants!$B$11,"Out of range","Valid"))</f>
        <v>Out of range</v>
      </c>
      <c r="O20" s="23" t="str">
        <f>IF(AND(K20=Constants!$B$13,M20&lt;0),"Both error",IF(K20=M20,"Identical",IF(AND(K20=Constants!$B$13,M20&gt;=0),"Fixed in v1.0.0",IF(M20=Constants!$B$12,"New: divergence detected","Different"))))</f>
        <v>Both error</v>
      </c>
      <c r="P20" s="7" t="str">
        <f>IF(M20&lt;0,"Holds last good PWM, D4 ON","OCR1A = "&amp;M20&amp;" ("&amp;TEXT(M20/Constants!$B$5,"0.0%")&amp;")")</f>
        <v>Holds last good PWM, D4 ON</v>
      </c>
    </row>
    <row r="21" spans="1:16" ht="28" x14ac:dyDescent="0.2">
      <c r="A21" s="23">
        <v>17</v>
      </c>
      <c r="B21" s="7" t="s">
        <v>190</v>
      </c>
      <c r="C21" s="25">
        <v>123</v>
      </c>
      <c r="D21" s="25">
        <v>1023</v>
      </c>
      <c r="E21" s="26">
        <f>C21/Constants!$B$27/Constants!$B$28</f>
        <v>29.978064830611743</v>
      </c>
      <c r="F21" s="26">
        <f>D21/Constants!$B$27/Constants!$B$28</f>
        <v>249.32975871313673</v>
      </c>
      <c r="G21" s="26">
        <f>(F21-32)*Constants!$B$29</f>
        <v>120.72668096514745</v>
      </c>
      <c r="H21" s="26">
        <f t="shared" si="0"/>
        <v>90.748616134535709</v>
      </c>
      <c r="I21" s="23" t="str">
        <f>IF(AND(E21&gt;=Constants!$B$8,E21&lt;=Constants!$B$9,G21&gt;=Constants!$B$8,G21&lt;=Constants!$B$9),IF(H21&gt;Constants!$B$10,"YES","no"),"n/a (out of range)")</f>
        <v>n/a (out of range)</v>
      </c>
      <c r="J21" s="27">
        <v>-99.14</v>
      </c>
      <c r="K21" s="21">
        <v>15797</v>
      </c>
      <c r="L21" s="27">
        <v>-99</v>
      </c>
      <c r="M21" s="21">
        <v>-1</v>
      </c>
      <c r="N21" s="23" t="str">
        <f>IF(M21=Constants!$B$12,"Sensor divergence",IF(M21=Constants!$B$11,"Out of range","Valid"))</f>
        <v>Out of range</v>
      </c>
      <c r="O21" s="23" t="str">
        <f>IF(AND(K21=Constants!$B$13,M21&lt;0),"Both error",IF(K21=M21,"Identical",IF(AND(K21=Constants!$B$13,M21&gt;=0),"Fixed in v1.0.0",IF(M21=Constants!$B$12,"New: divergence detected","Different"))))</f>
        <v>Both error</v>
      </c>
      <c r="P21" s="7" t="str">
        <f>IF(M21&lt;0,"Holds last good PWM, D4 ON","OCR1A = "&amp;M21&amp;" ("&amp;TEXT(M21/Constants!$B$5,"0.0%")&amp;")")</f>
        <v>Holds last good PWM, D4 ON</v>
      </c>
    </row>
  </sheetData>
  <conditionalFormatting sqref="O5:O21">
    <cfRule type="expression" dxfId="20" priority="2">
      <formula>OR(NOT(ISERROR(SEARCH("Identical",O5))),NOT(ISERROR(SEARCH("Same",O5))),NOT(ISERROR(SEARCH("OK",O5))),NOT(ISERROR(SEARCH("Both error",O5))),NOT(ISERROR(SEARCH("Match",O5))))</formula>
    </cfRule>
    <cfRule type="expression" dxfId="19" priority="3">
      <formula>OR(NOT(ISERROR(SEARCH("Fixed",O5))),NOT(ISERROR(SEARCH("Changed",O5))),NOT(ISERROR(SEARCH("New:",O5))),NOT(ISERROR(SEARCH("Intended",O5))))</formula>
    </cfRule>
    <cfRule type="expression" dxfId="18" priority="4">
      <formula>OR(NOT(ISERROR(SEARCH("Different",O5))),NOT(ISERROR(SEARCH("CHECK",O5))),NOT(ISERROR(SEARCH("MISMATCH",O5))))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4" customWidth="1"/>
    <col min="2" max="2" width="12" customWidth="1"/>
    <col min="3" max="3" width="30" customWidth="1"/>
    <col min="4" max="4" width="14" customWidth="1"/>
    <col min="5" max="14" width="9" customWidth="1"/>
    <col min="15" max="15" width="20" customWidth="1"/>
    <col min="16" max="16" width="60" customWidth="1"/>
  </cols>
  <sheetData>
    <row r="1" spans="1:16" ht="18" x14ac:dyDescent="0.2">
      <c r="A1" s="3" t="s">
        <v>191</v>
      </c>
    </row>
    <row r="2" spans="1:16" x14ac:dyDescent="0.2">
      <c r="A2" s="4" t="s">
        <v>192</v>
      </c>
    </row>
    <row r="4" spans="1:16" ht="42" x14ac:dyDescent="0.2">
      <c r="A4" s="6" t="s">
        <v>160</v>
      </c>
      <c r="B4" s="6" t="s">
        <v>193</v>
      </c>
      <c r="C4" s="6" t="s">
        <v>194</v>
      </c>
      <c r="D4" s="6" t="s">
        <v>195</v>
      </c>
      <c r="E4" s="6" t="s">
        <v>171</v>
      </c>
      <c r="F4" s="6" t="s">
        <v>196</v>
      </c>
      <c r="G4" s="6" t="s">
        <v>197</v>
      </c>
      <c r="H4" s="6" t="s">
        <v>198</v>
      </c>
      <c r="I4" s="6" t="s">
        <v>199</v>
      </c>
      <c r="J4" s="19" t="s">
        <v>148</v>
      </c>
      <c r="K4" s="19" t="s">
        <v>200</v>
      </c>
      <c r="L4" s="19" t="s">
        <v>201</v>
      </c>
      <c r="M4" s="19" t="s">
        <v>202</v>
      </c>
      <c r="N4" s="19" t="s">
        <v>203</v>
      </c>
      <c r="O4" s="6" t="s">
        <v>204</v>
      </c>
      <c r="P4" s="6" t="s">
        <v>205</v>
      </c>
    </row>
    <row r="5" spans="1:16" x14ac:dyDescent="0.2">
      <c r="A5" s="23">
        <v>1</v>
      </c>
      <c r="B5" s="18" t="s">
        <v>206</v>
      </c>
      <c r="C5" s="18" t="s">
        <v>207</v>
      </c>
      <c r="D5" s="18" t="s">
        <v>208</v>
      </c>
      <c r="E5" s="21">
        <v>180</v>
      </c>
      <c r="F5" s="21">
        <v>180</v>
      </c>
      <c r="G5" s="28" t="s">
        <v>209</v>
      </c>
      <c r="H5" s="28" t="s">
        <v>209</v>
      </c>
      <c r="I5" s="28" t="s">
        <v>209</v>
      </c>
      <c r="J5" s="21">
        <v>180</v>
      </c>
      <c r="K5" s="21">
        <v>180</v>
      </c>
      <c r="L5" s="28" t="s">
        <v>209</v>
      </c>
      <c r="M5" s="28" t="s">
        <v>209</v>
      </c>
      <c r="N5" s="28" t="s">
        <v>209</v>
      </c>
      <c r="O5" s="23" t="str">
        <f t="shared" ref="O5:O32" si="0">IF(AND(G5=L5,H5=M5,I5=N5),"Same","Changed: "&amp;IF(G5&lt;&gt;L5,"D6 ","")&amp;IF(H5&lt;&gt;M5,"D4 ","")&amp;IF(I5&lt;&gt;N5,"buzzer",""))</f>
        <v>Same</v>
      </c>
      <c r="P5" s="7" t="s">
        <v>210</v>
      </c>
    </row>
    <row r="6" spans="1:16" ht="28" x14ac:dyDescent="0.2">
      <c r="A6" s="23">
        <v>2</v>
      </c>
      <c r="B6" s="18" t="s">
        <v>206</v>
      </c>
      <c r="C6" s="18" t="s">
        <v>207</v>
      </c>
      <c r="D6" s="18" t="s">
        <v>211</v>
      </c>
      <c r="E6" s="21">
        <v>180</v>
      </c>
      <c r="F6" s="21">
        <v>180</v>
      </c>
      <c r="G6" s="28" t="s">
        <v>212</v>
      </c>
      <c r="H6" s="28" t="s">
        <v>209</v>
      </c>
      <c r="I6" s="28" t="s">
        <v>212</v>
      </c>
      <c r="J6" s="21">
        <v>180</v>
      </c>
      <c r="K6" s="21">
        <v>180</v>
      </c>
      <c r="L6" s="28" t="s">
        <v>212</v>
      </c>
      <c r="M6" s="28" t="s">
        <v>209</v>
      </c>
      <c r="N6" s="28" t="s">
        <v>212</v>
      </c>
      <c r="O6" s="23" t="str">
        <f t="shared" si="0"/>
        <v>Same</v>
      </c>
      <c r="P6" s="7" t="s">
        <v>213</v>
      </c>
    </row>
    <row r="7" spans="1:16" ht="28" x14ac:dyDescent="0.2">
      <c r="A7" s="23">
        <v>3</v>
      </c>
      <c r="B7" s="18" t="s">
        <v>206</v>
      </c>
      <c r="C7" s="18" t="s">
        <v>214</v>
      </c>
      <c r="D7" s="18" t="s">
        <v>208</v>
      </c>
      <c r="E7" s="21">
        <v>320</v>
      </c>
      <c r="F7" s="21">
        <v>320</v>
      </c>
      <c r="G7" s="28" t="s">
        <v>209</v>
      </c>
      <c r="H7" s="28" t="s">
        <v>209</v>
      </c>
      <c r="I7" s="28" t="s">
        <v>209</v>
      </c>
      <c r="J7" s="21">
        <v>320</v>
      </c>
      <c r="K7" s="21">
        <v>320</v>
      </c>
      <c r="L7" s="28" t="s">
        <v>209</v>
      </c>
      <c r="M7" s="28" t="s">
        <v>209</v>
      </c>
      <c r="N7" s="28" t="s">
        <v>209</v>
      </c>
      <c r="O7" s="23" t="str">
        <f t="shared" si="0"/>
        <v>Same</v>
      </c>
      <c r="P7" s="7" t="s">
        <v>210</v>
      </c>
    </row>
    <row r="8" spans="1:16" ht="28" x14ac:dyDescent="0.2">
      <c r="A8" s="23">
        <v>4</v>
      </c>
      <c r="B8" s="18" t="s">
        <v>206</v>
      </c>
      <c r="C8" s="18" t="s">
        <v>214</v>
      </c>
      <c r="D8" s="18" t="s">
        <v>211</v>
      </c>
      <c r="E8" s="21">
        <v>320</v>
      </c>
      <c r="F8" s="21">
        <v>320</v>
      </c>
      <c r="G8" s="28" t="s">
        <v>212</v>
      </c>
      <c r="H8" s="28" t="s">
        <v>209</v>
      </c>
      <c r="I8" s="28" t="s">
        <v>212</v>
      </c>
      <c r="J8" s="21">
        <v>320</v>
      </c>
      <c r="K8" s="21">
        <v>320</v>
      </c>
      <c r="L8" s="28" t="s">
        <v>212</v>
      </c>
      <c r="M8" s="28" t="s">
        <v>209</v>
      </c>
      <c r="N8" s="28" t="s">
        <v>212</v>
      </c>
      <c r="O8" s="23" t="str">
        <f t="shared" si="0"/>
        <v>Same</v>
      </c>
      <c r="P8" s="7" t="s">
        <v>213</v>
      </c>
    </row>
    <row r="9" spans="1:16" ht="28" x14ac:dyDescent="0.2">
      <c r="A9" s="23">
        <v>5</v>
      </c>
      <c r="B9" s="18" t="s">
        <v>206</v>
      </c>
      <c r="C9" s="18" t="s">
        <v>215</v>
      </c>
      <c r="D9" s="18" t="s">
        <v>208</v>
      </c>
      <c r="E9" s="21">
        <v>320</v>
      </c>
      <c r="F9" s="21">
        <v>320</v>
      </c>
      <c r="G9" s="28" t="s">
        <v>209</v>
      </c>
      <c r="H9" s="28" t="s">
        <v>212</v>
      </c>
      <c r="I9" s="28" t="s">
        <v>212</v>
      </c>
      <c r="J9" s="21">
        <v>320</v>
      </c>
      <c r="K9" s="21">
        <v>320</v>
      </c>
      <c r="L9" s="28" t="s">
        <v>209</v>
      </c>
      <c r="M9" s="28" t="s">
        <v>209</v>
      </c>
      <c r="N9" s="28" t="s">
        <v>209</v>
      </c>
      <c r="O9" s="23" t="str">
        <f t="shared" si="0"/>
        <v>Changed: D4 buzzer</v>
      </c>
      <c r="P9" s="7" t="s">
        <v>216</v>
      </c>
    </row>
    <row r="10" spans="1:16" ht="28" x14ac:dyDescent="0.2">
      <c r="A10" s="23">
        <v>6</v>
      </c>
      <c r="B10" s="18" t="s">
        <v>206</v>
      </c>
      <c r="C10" s="18" t="s">
        <v>215</v>
      </c>
      <c r="D10" s="18" t="s">
        <v>211</v>
      </c>
      <c r="E10" s="21">
        <v>320</v>
      </c>
      <c r="F10" s="21">
        <v>320</v>
      </c>
      <c r="G10" s="28" t="s">
        <v>212</v>
      </c>
      <c r="H10" s="28" t="s">
        <v>212</v>
      </c>
      <c r="I10" s="28" t="s">
        <v>212</v>
      </c>
      <c r="J10" s="21">
        <v>320</v>
      </c>
      <c r="K10" s="21">
        <v>320</v>
      </c>
      <c r="L10" s="28" t="s">
        <v>212</v>
      </c>
      <c r="M10" s="28" t="s">
        <v>209</v>
      </c>
      <c r="N10" s="28" t="s">
        <v>212</v>
      </c>
      <c r="O10" s="23" t="str">
        <f t="shared" si="0"/>
        <v xml:space="preserve">Changed: D4 </v>
      </c>
      <c r="P10" s="7" t="s">
        <v>217</v>
      </c>
    </row>
    <row r="11" spans="1:16" ht="28" x14ac:dyDescent="0.2">
      <c r="A11" s="23">
        <v>7</v>
      </c>
      <c r="B11" s="18" t="s">
        <v>206</v>
      </c>
      <c r="C11" s="18" t="s">
        <v>218</v>
      </c>
      <c r="D11" s="18" t="s">
        <v>208</v>
      </c>
      <c r="E11" s="21">
        <v>-1</v>
      </c>
      <c r="F11" s="21">
        <v>320</v>
      </c>
      <c r="G11" s="28" t="s">
        <v>209</v>
      </c>
      <c r="H11" s="28" t="s">
        <v>212</v>
      </c>
      <c r="I11" s="28" t="s">
        <v>212</v>
      </c>
      <c r="J11" s="21">
        <v>15797</v>
      </c>
      <c r="K11" s="21">
        <v>320</v>
      </c>
      <c r="L11" s="28" t="s">
        <v>209</v>
      </c>
      <c r="M11" s="28" t="s">
        <v>212</v>
      </c>
      <c r="N11" s="28" t="s">
        <v>209</v>
      </c>
      <c r="O11" s="23" t="str">
        <f t="shared" si="0"/>
        <v>Changed: buzzer</v>
      </c>
      <c r="P11" s="7" t="s">
        <v>219</v>
      </c>
    </row>
    <row r="12" spans="1:16" ht="42" x14ac:dyDescent="0.2">
      <c r="A12" s="23">
        <v>8</v>
      </c>
      <c r="B12" s="18" t="s">
        <v>206</v>
      </c>
      <c r="C12" s="18" t="s">
        <v>218</v>
      </c>
      <c r="D12" s="18" t="s">
        <v>211</v>
      </c>
      <c r="E12" s="21">
        <v>-1</v>
      </c>
      <c r="F12" s="21">
        <v>320</v>
      </c>
      <c r="G12" s="28" t="s">
        <v>212</v>
      </c>
      <c r="H12" s="28" t="s">
        <v>212</v>
      </c>
      <c r="I12" s="28" t="s">
        <v>212</v>
      </c>
      <c r="J12" s="21">
        <v>15797</v>
      </c>
      <c r="K12" s="21">
        <v>320</v>
      </c>
      <c r="L12" s="28" t="s">
        <v>212</v>
      </c>
      <c r="M12" s="28" t="s">
        <v>212</v>
      </c>
      <c r="N12" s="28" t="s">
        <v>212</v>
      </c>
      <c r="O12" s="23" t="str">
        <f t="shared" si="0"/>
        <v>Same</v>
      </c>
      <c r="P12" s="7" t="s">
        <v>220</v>
      </c>
    </row>
    <row r="13" spans="1:16" ht="42" x14ac:dyDescent="0.2">
      <c r="A13" s="23">
        <v>9</v>
      </c>
      <c r="B13" s="18" t="s">
        <v>206</v>
      </c>
      <c r="C13" s="18" t="s">
        <v>221</v>
      </c>
      <c r="D13" s="18" t="s">
        <v>208</v>
      </c>
      <c r="E13" s="21">
        <v>-1</v>
      </c>
      <c r="F13" s="21">
        <v>292</v>
      </c>
      <c r="G13" s="28" t="s">
        <v>209</v>
      </c>
      <c r="H13" s="28" t="s">
        <v>212</v>
      </c>
      <c r="I13" s="28" t="s">
        <v>209</v>
      </c>
      <c r="J13" s="21">
        <v>15797</v>
      </c>
      <c r="K13" s="21">
        <v>292</v>
      </c>
      <c r="L13" s="28" t="s">
        <v>209</v>
      </c>
      <c r="M13" s="28" t="s">
        <v>212</v>
      </c>
      <c r="N13" s="28" t="s">
        <v>209</v>
      </c>
      <c r="O13" s="23" t="str">
        <f t="shared" si="0"/>
        <v>Same</v>
      </c>
      <c r="P13" s="7" t="s">
        <v>222</v>
      </c>
    </row>
    <row r="14" spans="1:16" ht="42" x14ac:dyDescent="0.2">
      <c r="A14" s="23">
        <v>10</v>
      </c>
      <c r="B14" s="18" t="s">
        <v>206</v>
      </c>
      <c r="C14" s="18" t="s">
        <v>221</v>
      </c>
      <c r="D14" s="18" t="s">
        <v>211</v>
      </c>
      <c r="E14" s="21">
        <v>-1</v>
      </c>
      <c r="F14" s="21">
        <v>292</v>
      </c>
      <c r="G14" s="28" t="s">
        <v>212</v>
      </c>
      <c r="H14" s="28" t="s">
        <v>212</v>
      </c>
      <c r="I14" s="28" t="s">
        <v>212</v>
      </c>
      <c r="J14" s="21">
        <v>15797</v>
      </c>
      <c r="K14" s="21">
        <v>292</v>
      </c>
      <c r="L14" s="28" t="s">
        <v>212</v>
      </c>
      <c r="M14" s="28" t="s">
        <v>212</v>
      </c>
      <c r="N14" s="28" t="s">
        <v>212</v>
      </c>
      <c r="O14" s="23" t="str">
        <f t="shared" si="0"/>
        <v>Same</v>
      </c>
      <c r="P14" s="7" t="s">
        <v>223</v>
      </c>
    </row>
    <row r="15" spans="1:16" ht="28" x14ac:dyDescent="0.2">
      <c r="A15" s="23">
        <v>11</v>
      </c>
      <c r="B15" s="18" t="s">
        <v>206</v>
      </c>
      <c r="C15" s="18" t="s">
        <v>224</v>
      </c>
      <c r="D15" s="18" t="s">
        <v>208</v>
      </c>
      <c r="E15" s="21">
        <v>-1</v>
      </c>
      <c r="F15" s="21">
        <v>180</v>
      </c>
      <c r="G15" s="28" t="s">
        <v>209</v>
      </c>
      <c r="H15" s="28" t="s">
        <v>212</v>
      </c>
      <c r="I15" s="28" t="s">
        <v>209</v>
      </c>
      <c r="J15" s="21">
        <v>15797</v>
      </c>
      <c r="K15" s="21">
        <v>180</v>
      </c>
      <c r="L15" s="28" t="s">
        <v>209</v>
      </c>
      <c r="M15" s="28" t="s">
        <v>212</v>
      </c>
      <c r="N15" s="28" t="s">
        <v>209</v>
      </c>
      <c r="O15" s="23" t="str">
        <f t="shared" si="0"/>
        <v>Same</v>
      </c>
      <c r="P15" s="7" t="s">
        <v>225</v>
      </c>
    </row>
    <row r="16" spans="1:16" ht="28" x14ac:dyDescent="0.2">
      <c r="A16" s="23">
        <v>12</v>
      </c>
      <c r="B16" s="18" t="s">
        <v>206</v>
      </c>
      <c r="C16" s="18" t="s">
        <v>224</v>
      </c>
      <c r="D16" s="18" t="s">
        <v>211</v>
      </c>
      <c r="E16" s="21">
        <v>-1</v>
      </c>
      <c r="F16" s="21">
        <v>180</v>
      </c>
      <c r="G16" s="28" t="s">
        <v>212</v>
      </c>
      <c r="H16" s="28" t="s">
        <v>212</v>
      </c>
      <c r="I16" s="28" t="s">
        <v>212</v>
      </c>
      <c r="J16" s="21">
        <v>15797</v>
      </c>
      <c r="K16" s="21">
        <v>180</v>
      </c>
      <c r="L16" s="28" t="s">
        <v>212</v>
      </c>
      <c r="M16" s="28" t="s">
        <v>212</v>
      </c>
      <c r="N16" s="28" t="s">
        <v>212</v>
      </c>
      <c r="O16" s="23" t="str">
        <f t="shared" si="0"/>
        <v>Same</v>
      </c>
      <c r="P16" s="7" t="s">
        <v>226</v>
      </c>
    </row>
    <row r="17" spans="1:16" ht="28" x14ac:dyDescent="0.2">
      <c r="A17" s="23">
        <v>13</v>
      </c>
      <c r="B17" s="18" t="s">
        <v>206</v>
      </c>
      <c r="C17" s="18" t="s">
        <v>227</v>
      </c>
      <c r="D17" s="18" t="s">
        <v>208</v>
      </c>
      <c r="E17" s="21">
        <v>-2</v>
      </c>
      <c r="F17" s="21">
        <v>180</v>
      </c>
      <c r="G17" s="28" t="s">
        <v>209</v>
      </c>
      <c r="H17" s="28" t="s">
        <v>212</v>
      </c>
      <c r="I17" s="28" t="s">
        <v>209</v>
      </c>
      <c r="J17" s="21">
        <v>222</v>
      </c>
      <c r="K17" s="21">
        <v>222</v>
      </c>
      <c r="L17" s="28" t="s">
        <v>209</v>
      </c>
      <c r="M17" s="28" t="s">
        <v>209</v>
      </c>
      <c r="N17" s="28" t="s">
        <v>209</v>
      </c>
      <c r="O17" s="23" t="str">
        <f t="shared" si="0"/>
        <v xml:space="preserve">Changed: D4 </v>
      </c>
      <c r="P17" s="7" t="s">
        <v>228</v>
      </c>
    </row>
    <row r="18" spans="1:16" ht="28" x14ac:dyDescent="0.2">
      <c r="A18" s="23">
        <v>14</v>
      </c>
      <c r="B18" s="18" t="s">
        <v>206</v>
      </c>
      <c r="C18" s="18" t="s">
        <v>227</v>
      </c>
      <c r="D18" s="18" t="s">
        <v>211</v>
      </c>
      <c r="E18" s="21">
        <v>-2</v>
      </c>
      <c r="F18" s="21">
        <v>180</v>
      </c>
      <c r="G18" s="28" t="s">
        <v>212</v>
      </c>
      <c r="H18" s="28" t="s">
        <v>212</v>
      </c>
      <c r="I18" s="28" t="s">
        <v>212</v>
      </c>
      <c r="J18" s="21">
        <v>222</v>
      </c>
      <c r="K18" s="21">
        <v>222</v>
      </c>
      <c r="L18" s="28" t="s">
        <v>212</v>
      </c>
      <c r="M18" s="28" t="s">
        <v>209</v>
      </c>
      <c r="N18" s="28" t="s">
        <v>212</v>
      </c>
      <c r="O18" s="23" t="str">
        <f t="shared" si="0"/>
        <v xml:space="preserve">Changed: D4 </v>
      </c>
      <c r="P18" s="7" t="s">
        <v>229</v>
      </c>
    </row>
    <row r="19" spans="1:16" ht="28" x14ac:dyDescent="0.2">
      <c r="A19" s="23">
        <v>15</v>
      </c>
      <c r="B19" s="18" t="s">
        <v>230</v>
      </c>
      <c r="C19" s="18" t="s">
        <v>207</v>
      </c>
      <c r="D19" s="18" t="s">
        <v>208</v>
      </c>
      <c r="E19" s="21">
        <v>180</v>
      </c>
      <c r="F19" s="21">
        <v>180</v>
      </c>
      <c r="G19" s="28" t="s">
        <v>212</v>
      </c>
      <c r="H19" s="28" t="s">
        <v>209</v>
      </c>
      <c r="I19" s="28" t="s">
        <v>209</v>
      </c>
      <c r="J19" s="21">
        <v>180</v>
      </c>
      <c r="K19" s="21">
        <v>180</v>
      </c>
      <c r="L19" s="28" t="s">
        <v>209</v>
      </c>
      <c r="M19" s="28" t="s">
        <v>212</v>
      </c>
      <c r="N19" s="28" t="s">
        <v>209</v>
      </c>
      <c r="O19" s="23" t="str">
        <f t="shared" si="0"/>
        <v xml:space="preserve">Changed: D6 D4 </v>
      </c>
      <c r="P19" s="7" t="s">
        <v>231</v>
      </c>
    </row>
    <row r="20" spans="1:16" ht="28" x14ac:dyDescent="0.2">
      <c r="A20" s="23">
        <v>16</v>
      </c>
      <c r="B20" s="18" t="s">
        <v>230</v>
      </c>
      <c r="C20" s="18" t="s">
        <v>207</v>
      </c>
      <c r="D20" s="18" t="s">
        <v>211</v>
      </c>
      <c r="E20" s="21">
        <v>180</v>
      </c>
      <c r="F20" s="21">
        <v>180</v>
      </c>
      <c r="G20" s="28" t="s">
        <v>212</v>
      </c>
      <c r="H20" s="28" t="s">
        <v>209</v>
      </c>
      <c r="I20" s="28" t="s">
        <v>212</v>
      </c>
      <c r="J20" s="21">
        <v>180</v>
      </c>
      <c r="K20" s="21">
        <v>180</v>
      </c>
      <c r="L20" s="28" t="s">
        <v>212</v>
      </c>
      <c r="M20" s="28" t="s">
        <v>212</v>
      </c>
      <c r="N20" s="28" t="s">
        <v>212</v>
      </c>
      <c r="O20" s="23" t="str">
        <f t="shared" si="0"/>
        <v xml:space="preserve">Changed: D4 </v>
      </c>
      <c r="P20" s="7" t="s">
        <v>232</v>
      </c>
    </row>
    <row r="21" spans="1:16" ht="28" x14ac:dyDescent="0.2">
      <c r="A21" s="23">
        <v>17</v>
      </c>
      <c r="B21" s="18" t="s">
        <v>230</v>
      </c>
      <c r="C21" s="18" t="s">
        <v>214</v>
      </c>
      <c r="D21" s="18" t="s">
        <v>208</v>
      </c>
      <c r="E21" s="21">
        <v>320</v>
      </c>
      <c r="F21" s="21">
        <v>320</v>
      </c>
      <c r="G21" s="28" t="s">
        <v>212</v>
      </c>
      <c r="H21" s="28" t="s">
        <v>209</v>
      </c>
      <c r="I21" s="28" t="s">
        <v>209</v>
      </c>
      <c r="J21" s="21">
        <v>320</v>
      </c>
      <c r="K21" s="21">
        <v>320</v>
      </c>
      <c r="L21" s="28" t="s">
        <v>209</v>
      </c>
      <c r="M21" s="28" t="s">
        <v>212</v>
      </c>
      <c r="N21" s="28" t="s">
        <v>209</v>
      </c>
      <c r="O21" s="23" t="str">
        <f t="shared" si="0"/>
        <v xml:space="preserve">Changed: D6 D4 </v>
      </c>
      <c r="P21" s="7" t="s">
        <v>231</v>
      </c>
    </row>
    <row r="22" spans="1:16" ht="28" x14ac:dyDescent="0.2">
      <c r="A22" s="23">
        <v>18</v>
      </c>
      <c r="B22" s="18" t="s">
        <v>230</v>
      </c>
      <c r="C22" s="18" t="s">
        <v>214</v>
      </c>
      <c r="D22" s="18" t="s">
        <v>211</v>
      </c>
      <c r="E22" s="21">
        <v>320</v>
      </c>
      <c r="F22" s="21">
        <v>320</v>
      </c>
      <c r="G22" s="28" t="s">
        <v>212</v>
      </c>
      <c r="H22" s="28" t="s">
        <v>209</v>
      </c>
      <c r="I22" s="28" t="s">
        <v>212</v>
      </c>
      <c r="J22" s="21">
        <v>320</v>
      </c>
      <c r="K22" s="21">
        <v>320</v>
      </c>
      <c r="L22" s="28" t="s">
        <v>212</v>
      </c>
      <c r="M22" s="28" t="s">
        <v>212</v>
      </c>
      <c r="N22" s="28" t="s">
        <v>212</v>
      </c>
      <c r="O22" s="23" t="str">
        <f t="shared" si="0"/>
        <v xml:space="preserve">Changed: D4 </v>
      </c>
      <c r="P22" s="7" t="s">
        <v>232</v>
      </c>
    </row>
    <row r="23" spans="1:16" ht="28" x14ac:dyDescent="0.2">
      <c r="A23" s="23">
        <v>19</v>
      </c>
      <c r="B23" s="18" t="s">
        <v>230</v>
      </c>
      <c r="C23" s="18" t="s">
        <v>215</v>
      </c>
      <c r="D23" s="18" t="s">
        <v>208</v>
      </c>
      <c r="E23" s="21">
        <v>320</v>
      </c>
      <c r="F23" s="21">
        <v>320</v>
      </c>
      <c r="G23" s="28" t="s">
        <v>212</v>
      </c>
      <c r="H23" s="28" t="s">
        <v>212</v>
      </c>
      <c r="I23" s="28" t="s">
        <v>212</v>
      </c>
      <c r="J23" s="21">
        <v>320</v>
      </c>
      <c r="K23" s="21">
        <v>320</v>
      </c>
      <c r="L23" s="28" t="s">
        <v>209</v>
      </c>
      <c r="M23" s="28" t="s">
        <v>212</v>
      </c>
      <c r="N23" s="28" t="s">
        <v>209</v>
      </c>
      <c r="O23" s="23" t="str">
        <f t="shared" si="0"/>
        <v>Changed: D6 buzzer</v>
      </c>
      <c r="P23" s="7" t="s">
        <v>233</v>
      </c>
    </row>
    <row r="24" spans="1:16" ht="28" x14ac:dyDescent="0.2">
      <c r="A24" s="23">
        <v>20</v>
      </c>
      <c r="B24" s="18" t="s">
        <v>230</v>
      </c>
      <c r="C24" s="18" t="s">
        <v>215</v>
      </c>
      <c r="D24" s="18" t="s">
        <v>211</v>
      </c>
      <c r="E24" s="21">
        <v>320</v>
      </c>
      <c r="F24" s="21">
        <v>320</v>
      </c>
      <c r="G24" s="28" t="s">
        <v>212</v>
      </c>
      <c r="H24" s="28" t="s">
        <v>212</v>
      </c>
      <c r="I24" s="28" t="s">
        <v>212</v>
      </c>
      <c r="J24" s="21">
        <v>320</v>
      </c>
      <c r="K24" s="21">
        <v>320</v>
      </c>
      <c r="L24" s="28" t="s">
        <v>212</v>
      </c>
      <c r="M24" s="28" t="s">
        <v>212</v>
      </c>
      <c r="N24" s="28" t="s">
        <v>212</v>
      </c>
      <c r="O24" s="23" t="str">
        <f t="shared" si="0"/>
        <v>Same</v>
      </c>
      <c r="P24" s="7" t="s">
        <v>234</v>
      </c>
    </row>
    <row r="25" spans="1:16" ht="28" x14ac:dyDescent="0.2">
      <c r="A25" s="23">
        <v>21</v>
      </c>
      <c r="B25" s="18" t="s">
        <v>230</v>
      </c>
      <c r="C25" s="18" t="s">
        <v>218</v>
      </c>
      <c r="D25" s="18" t="s">
        <v>208</v>
      </c>
      <c r="E25" s="21">
        <v>-1</v>
      </c>
      <c r="F25" s="21">
        <v>320</v>
      </c>
      <c r="G25" s="28" t="s">
        <v>212</v>
      </c>
      <c r="H25" s="28" t="s">
        <v>212</v>
      </c>
      <c r="I25" s="28" t="s">
        <v>212</v>
      </c>
      <c r="J25" s="21">
        <v>15797</v>
      </c>
      <c r="K25" s="21">
        <v>320</v>
      </c>
      <c r="L25" s="28" t="s">
        <v>209</v>
      </c>
      <c r="M25" s="28" t="s">
        <v>212</v>
      </c>
      <c r="N25" s="28" t="s">
        <v>209</v>
      </c>
      <c r="O25" s="23" t="str">
        <f t="shared" si="0"/>
        <v>Changed: D6 buzzer</v>
      </c>
      <c r="P25" s="7" t="s">
        <v>235</v>
      </c>
    </row>
    <row r="26" spans="1:16" ht="42" x14ac:dyDescent="0.2">
      <c r="A26" s="23">
        <v>22</v>
      </c>
      <c r="B26" s="18" t="s">
        <v>230</v>
      </c>
      <c r="C26" s="18" t="s">
        <v>218</v>
      </c>
      <c r="D26" s="18" t="s">
        <v>211</v>
      </c>
      <c r="E26" s="21">
        <v>-1</v>
      </c>
      <c r="F26" s="21">
        <v>320</v>
      </c>
      <c r="G26" s="28" t="s">
        <v>212</v>
      </c>
      <c r="H26" s="28" t="s">
        <v>212</v>
      </c>
      <c r="I26" s="28" t="s">
        <v>212</v>
      </c>
      <c r="J26" s="21">
        <v>15797</v>
      </c>
      <c r="K26" s="21">
        <v>320</v>
      </c>
      <c r="L26" s="28" t="s">
        <v>212</v>
      </c>
      <c r="M26" s="28" t="s">
        <v>212</v>
      </c>
      <c r="N26" s="28" t="s">
        <v>212</v>
      </c>
      <c r="O26" s="23" t="str">
        <f t="shared" si="0"/>
        <v>Same</v>
      </c>
      <c r="P26" s="7" t="s">
        <v>236</v>
      </c>
    </row>
    <row r="27" spans="1:16" ht="42" x14ac:dyDescent="0.2">
      <c r="A27" s="23">
        <v>23</v>
      </c>
      <c r="B27" s="18" t="s">
        <v>230</v>
      </c>
      <c r="C27" s="18" t="s">
        <v>221</v>
      </c>
      <c r="D27" s="18" t="s">
        <v>208</v>
      </c>
      <c r="E27" s="21">
        <v>-1</v>
      </c>
      <c r="F27" s="21">
        <v>292</v>
      </c>
      <c r="G27" s="28" t="s">
        <v>212</v>
      </c>
      <c r="H27" s="28" t="s">
        <v>212</v>
      </c>
      <c r="I27" s="28" t="s">
        <v>209</v>
      </c>
      <c r="J27" s="21">
        <v>15797</v>
      </c>
      <c r="K27" s="21">
        <v>292</v>
      </c>
      <c r="L27" s="28" t="s">
        <v>209</v>
      </c>
      <c r="M27" s="28" t="s">
        <v>212</v>
      </c>
      <c r="N27" s="28" t="s">
        <v>209</v>
      </c>
      <c r="O27" s="23" t="str">
        <f t="shared" si="0"/>
        <v xml:space="preserve">Changed: D6 </v>
      </c>
      <c r="P27" s="7" t="s">
        <v>237</v>
      </c>
    </row>
    <row r="28" spans="1:16" ht="42" x14ac:dyDescent="0.2">
      <c r="A28" s="23">
        <v>24</v>
      </c>
      <c r="B28" s="18" t="s">
        <v>230</v>
      </c>
      <c r="C28" s="18" t="s">
        <v>221</v>
      </c>
      <c r="D28" s="18" t="s">
        <v>211</v>
      </c>
      <c r="E28" s="21">
        <v>-1</v>
      </c>
      <c r="F28" s="21">
        <v>292</v>
      </c>
      <c r="G28" s="28" t="s">
        <v>212</v>
      </c>
      <c r="H28" s="28" t="s">
        <v>212</v>
      </c>
      <c r="I28" s="28" t="s">
        <v>212</v>
      </c>
      <c r="J28" s="21">
        <v>15797</v>
      </c>
      <c r="K28" s="21">
        <v>292</v>
      </c>
      <c r="L28" s="28" t="s">
        <v>212</v>
      </c>
      <c r="M28" s="28" t="s">
        <v>212</v>
      </c>
      <c r="N28" s="28" t="s">
        <v>212</v>
      </c>
      <c r="O28" s="23" t="str">
        <f t="shared" si="0"/>
        <v>Same</v>
      </c>
      <c r="P28" s="7" t="s">
        <v>238</v>
      </c>
    </row>
    <row r="29" spans="1:16" ht="28" x14ac:dyDescent="0.2">
      <c r="A29" s="23">
        <v>25</v>
      </c>
      <c r="B29" s="18" t="s">
        <v>230</v>
      </c>
      <c r="C29" s="18" t="s">
        <v>224</v>
      </c>
      <c r="D29" s="18" t="s">
        <v>208</v>
      </c>
      <c r="E29" s="21">
        <v>-1</v>
      </c>
      <c r="F29" s="21">
        <v>180</v>
      </c>
      <c r="G29" s="28" t="s">
        <v>212</v>
      </c>
      <c r="H29" s="28" t="s">
        <v>212</v>
      </c>
      <c r="I29" s="28" t="s">
        <v>209</v>
      </c>
      <c r="J29" s="21">
        <v>15797</v>
      </c>
      <c r="K29" s="21">
        <v>180</v>
      </c>
      <c r="L29" s="28" t="s">
        <v>209</v>
      </c>
      <c r="M29" s="28" t="s">
        <v>212</v>
      </c>
      <c r="N29" s="28" t="s">
        <v>209</v>
      </c>
      <c r="O29" s="23" t="str">
        <f t="shared" si="0"/>
        <v xml:space="preserve">Changed: D6 </v>
      </c>
      <c r="P29" s="7" t="s">
        <v>239</v>
      </c>
    </row>
    <row r="30" spans="1:16" ht="28" x14ac:dyDescent="0.2">
      <c r="A30" s="23">
        <v>26</v>
      </c>
      <c r="B30" s="18" t="s">
        <v>230</v>
      </c>
      <c r="C30" s="18" t="s">
        <v>224</v>
      </c>
      <c r="D30" s="18" t="s">
        <v>211</v>
      </c>
      <c r="E30" s="21">
        <v>-1</v>
      </c>
      <c r="F30" s="21">
        <v>180</v>
      </c>
      <c r="G30" s="28" t="s">
        <v>212</v>
      </c>
      <c r="H30" s="28" t="s">
        <v>212</v>
      </c>
      <c r="I30" s="28" t="s">
        <v>212</v>
      </c>
      <c r="J30" s="21">
        <v>15797</v>
      </c>
      <c r="K30" s="21">
        <v>180</v>
      </c>
      <c r="L30" s="28" t="s">
        <v>212</v>
      </c>
      <c r="M30" s="28" t="s">
        <v>212</v>
      </c>
      <c r="N30" s="28" t="s">
        <v>212</v>
      </c>
      <c r="O30" s="23" t="str">
        <f t="shared" si="0"/>
        <v>Same</v>
      </c>
      <c r="P30" s="7" t="s">
        <v>240</v>
      </c>
    </row>
    <row r="31" spans="1:16" ht="28" x14ac:dyDescent="0.2">
      <c r="A31" s="23">
        <v>27</v>
      </c>
      <c r="B31" s="18" t="s">
        <v>230</v>
      </c>
      <c r="C31" s="18" t="s">
        <v>227</v>
      </c>
      <c r="D31" s="18" t="s">
        <v>208</v>
      </c>
      <c r="E31" s="21">
        <v>-2</v>
      </c>
      <c r="F31" s="21">
        <v>180</v>
      </c>
      <c r="G31" s="28" t="s">
        <v>212</v>
      </c>
      <c r="H31" s="28" t="s">
        <v>212</v>
      </c>
      <c r="I31" s="28" t="s">
        <v>209</v>
      </c>
      <c r="J31" s="21">
        <v>222</v>
      </c>
      <c r="K31" s="21">
        <v>222</v>
      </c>
      <c r="L31" s="28" t="s">
        <v>209</v>
      </c>
      <c r="M31" s="28" t="s">
        <v>212</v>
      </c>
      <c r="N31" s="28" t="s">
        <v>209</v>
      </c>
      <c r="O31" s="23" t="str">
        <f t="shared" si="0"/>
        <v xml:space="preserve">Changed: D6 </v>
      </c>
      <c r="P31" s="7" t="s">
        <v>241</v>
      </c>
    </row>
    <row r="32" spans="1:16" ht="28" x14ac:dyDescent="0.2">
      <c r="A32" s="23">
        <v>28</v>
      </c>
      <c r="B32" s="18" t="s">
        <v>230</v>
      </c>
      <c r="C32" s="18" t="s">
        <v>227</v>
      </c>
      <c r="D32" s="18" t="s">
        <v>211</v>
      </c>
      <c r="E32" s="21">
        <v>-2</v>
      </c>
      <c r="F32" s="21">
        <v>180</v>
      </c>
      <c r="G32" s="28" t="s">
        <v>212</v>
      </c>
      <c r="H32" s="28" t="s">
        <v>212</v>
      </c>
      <c r="I32" s="28" t="s">
        <v>212</v>
      </c>
      <c r="J32" s="21">
        <v>222</v>
      </c>
      <c r="K32" s="21">
        <v>222</v>
      </c>
      <c r="L32" s="28" t="s">
        <v>212</v>
      </c>
      <c r="M32" s="28" t="s">
        <v>212</v>
      </c>
      <c r="N32" s="28" t="s">
        <v>212</v>
      </c>
      <c r="O32" s="23" t="str">
        <f t="shared" si="0"/>
        <v>Same</v>
      </c>
      <c r="P32" s="7" t="s">
        <v>242</v>
      </c>
    </row>
  </sheetData>
  <conditionalFormatting sqref="G5:I32">
    <cfRule type="expression" dxfId="17" priority="5">
      <formula>G5="ON"</formula>
    </cfRule>
  </conditionalFormatting>
  <conditionalFormatting sqref="L5:N32">
    <cfRule type="expression" dxfId="16" priority="6">
      <formula>L5="ON"</formula>
    </cfRule>
  </conditionalFormatting>
  <conditionalFormatting sqref="O5:O32">
    <cfRule type="expression" dxfId="15" priority="2">
      <formula>OR(NOT(ISERROR(SEARCH("Identical",O5))),NOT(ISERROR(SEARCH("Same",O5))),NOT(ISERROR(SEARCH("OK",O5))),NOT(ISERROR(SEARCH("Both error",O5))),NOT(ISERROR(SEARCH("Match",O5))))</formula>
    </cfRule>
    <cfRule type="expression" dxfId="14" priority="3">
      <formula>OR(NOT(ISERROR(SEARCH("Fixed",O5))),NOT(ISERROR(SEARCH("Changed",O5))),NOT(ISERROR(SEARCH("New:",O5))),NOT(ISERROR(SEARCH("Intended",O5))))</formula>
    </cfRule>
    <cfRule type="expression" dxfId="13" priority="4">
      <formula>OR(NOT(ISERROR(SEARCH("Different",O5))),NOT(ISERROR(SEARCH("CHECK",O5))),NOT(ISERROR(SEARCH("MISMATCH",O5))))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7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5" customWidth="1"/>
    <col min="2" max="2" width="30" customWidth="1"/>
    <col min="3" max="3" width="5" customWidth="1"/>
    <col min="4" max="4" width="9" customWidth="1"/>
    <col min="5" max="5" width="26" customWidth="1"/>
    <col min="6" max="6" width="9" customWidth="1"/>
    <col min="7" max="8" width="8" customWidth="1"/>
    <col min="9" max="9" width="10" customWidth="1"/>
    <col min="10" max="12" width="9" customWidth="1"/>
    <col min="13" max="15" width="8" customWidth="1"/>
    <col min="16" max="17" width="9" customWidth="1"/>
    <col min="18" max="20" width="8" customWidth="1"/>
    <col min="21" max="21" width="70" customWidth="1"/>
  </cols>
  <sheetData>
    <row r="1" spans="1:21" ht="18" x14ac:dyDescent="0.2">
      <c r="A1" s="3" t="s">
        <v>243</v>
      </c>
    </row>
    <row r="2" spans="1:21" x14ac:dyDescent="0.2">
      <c r="A2" s="4" t="s">
        <v>244</v>
      </c>
    </row>
    <row r="4" spans="1:21" ht="56" x14ac:dyDescent="0.2">
      <c r="A4" s="6" t="s">
        <v>245</v>
      </c>
      <c r="B4" s="6" t="s">
        <v>246</v>
      </c>
      <c r="C4" s="6" t="s">
        <v>247</v>
      </c>
      <c r="D4" s="6" t="s">
        <v>248</v>
      </c>
      <c r="E4" s="6" t="s">
        <v>249</v>
      </c>
      <c r="F4" s="6" t="s">
        <v>250</v>
      </c>
      <c r="G4" s="6" t="s">
        <v>251</v>
      </c>
      <c r="H4" s="6" t="s">
        <v>252</v>
      </c>
      <c r="I4" s="6" t="s">
        <v>170</v>
      </c>
      <c r="J4" s="6" t="s">
        <v>171</v>
      </c>
      <c r="K4" s="6" t="s">
        <v>196</v>
      </c>
      <c r="L4" s="6" t="s">
        <v>253</v>
      </c>
      <c r="M4" s="6" t="s">
        <v>254</v>
      </c>
      <c r="N4" s="6" t="s">
        <v>255</v>
      </c>
      <c r="O4" s="6" t="s">
        <v>199</v>
      </c>
      <c r="P4" s="19" t="s">
        <v>148</v>
      </c>
      <c r="Q4" s="19" t="s">
        <v>200</v>
      </c>
      <c r="R4" s="19" t="s">
        <v>202</v>
      </c>
      <c r="S4" s="19" t="s">
        <v>201</v>
      </c>
      <c r="T4" s="19" t="s">
        <v>203</v>
      </c>
      <c r="U4" s="6" t="s">
        <v>256</v>
      </c>
    </row>
    <row r="5" spans="1:21" x14ac:dyDescent="0.2">
      <c r="A5" s="29" t="s">
        <v>257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</row>
    <row r="6" spans="1:21" x14ac:dyDescent="0.2">
      <c r="A6" s="23" t="s">
        <v>258</v>
      </c>
      <c r="B6" s="7" t="s">
        <v>259</v>
      </c>
      <c r="C6" s="23">
        <v>1</v>
      </c>
      <c r="D6" s="26">
        <v>0</v>
      </c>
      <c r="E6" s="18" t="s">
        <v>260</v>
      </c>
      <c r="F6" s="25">
        <v>400</v>
      </c>
      <c r="G6" s="27">
        <v>25.1</v>
      </c>
      <c r="H6" s="27">
        <v>77.02</v>
      </c>
      <c r="I6" s="27">
        <v>25.06</v>
      </c>
      <c r="J6" s="21">
        <v>152</v>
      </c>
      <c r="K6" s="21">
        <v>152</v>
      </c>
      <c r="L6" s="21">
        <v>0</v>
      </c>
      <c r="M6" s="28" t="s">
        <v>209</v>
      </c>
      <c r="N6" s="28" t="s">
        <v>209</v>
      </c>
      <c r="O6" s="28" t="s">
        <v>209</v>
      </c>
      <c r="P6" s="21">
        <v>152</v>
      </c>
      <c r="Q6" s="21">
        <v>152</v>
      </c>
      <c r="R6" s="28" t="s">
        <v>209</v>
      </c>
      <c r="S6" s="28" t="s">
        <v>209</v>
      </c>
      <c r="T6" s="28" t="s">
        <v>209</v>
      </c>
      <c r="U6" s="7" t="s">
        <v>261</v>
      </c>
    </row>
    <row r="7" spans="1:21" x14ac:dyDescent="0.2">
      <c r="A7" s="23" t="s">
        <v>258</v>
      </c>
      <c r="B7" s="7" t="s">
        <v>259</v>
      </c>
      <c r="C7" s="23">
        <v>2</v>
      </c>
      <c r="D7" s="26">
        <f>D6+Constants!$B$21/1000+IF(O6="ON",(2*Constants!$B$22+Constants!$B$23)/1000,0)</f>
        <v>5</v>
      </c>
      <c r="E7" s="18" t="s">
        <v>262</v>
      </c>
      <c r="F7" s="25">
        <v>400</v>
      </c>
      <c r="G7" s="27">
        <v>35.1</v>
      </c>
      <c r="H7" s="27">
        <v>95.05</v>
      </c>
      <c r="I7" s="27">
        <v>35.06</v>
      </c>
      <c r="J7" s="21">
        <v>222</v>
      </c>
      <c r="K7" s="21">
        <v>222</v>
      </c>
      <c r="L7" s="21">
        <v>0</v>
      </c>
      <c r="M7" s="28" t="s">
        <v>209</v>
      </c>
      <c r="N7" s="28" t="s">
        <v>209</v>
      </c>
      <c r="O7" s="28" t="s">
        <v>209</v>
      </c>
      <c r="P7" s="21">
        <v>222</v>
      </c>
      <c r="Q7" s="21">
        <v>222</v>
      </c>
      <c r="R7" s="28" t="s">
        <v>209</v>
      </c>
      <c r="S7" s="28" t="s">
        <v>209</v>
      </c>
      <c r="T7" s="28" t="s">
        <v>209</v>
      </c>
      <c r="U7" s="7" t="s">
        <v>261</v>
      </c>
    </row>
    <row r="8" spans="1:21" x14ac:dyDescent="0.2">
      <c r="A8" s="23" t="s">
        <v>258</v>
      </c>
      <c r="B8" s="7" t="s">
        <v>259</v>
      </c>
      <c r="C8" s="23">
        <v>3</v>
      </c>
      <c r="D8" s="26">
        <f>D7+Constants!$B$21/1000+IF(O7="ON",(2*Constants!$B$22+Constants!$B$23)/1000,0)</f>
        <v>10</v>
      </c>
      <c r="E8" s="18" t="s">
        <v>263</v>
      </c>
      <c r="F8" s="25">
        <v>400</v>
      </c>
      <c r="G8" s="27">
        <v>45.09</v>
      </c>
      <c r="H8" s="27">
        <v>113.09</v>
      </c>
      <c r="I8" s="27">
        <v>45.07</v>
      </c>
      <c r="J8" s="21">
        <v>292</v>
      </c>
      <c r="K8" s="21">
        <v>292</v>
      </c>
      <c r="L8" s="21">
        <v>0</v>
      </c>
      <c r="M8" s="28" t="s">
        <v>209</v>
      </c>
      <c r="N8" s="28" t="s">
        <v>209</v>
      </c>
      <c r="O8" s="28" t="s">
        <v>209</v>
      </c>
      <c r="P8" s="21">
        <v>292</v>
      </c>
      <c r="Q8" s="21">
        <v>292</v>
      </c>
      <c r="R8" s="28" t="s">
        <v>209</v>
      </c>
      <c r="S8" s="28" t="s">
        <v>209</v>
      </c>
      <c r="T8" s="28" t="s">
        <v>209</v>
      </c>
      <c r="U8" s="7" t="s">
        <v>261</v>
      </c>
    </row>
    <row r="9" spans="1:21" x14ac:dyDescent="0.2">
      <c r="A9" s="23" t="s">
        <v>258</v>
      </c>
      <c r="B9" s="7" t="s">
        <v>259</v>
      </c>
      <c r="C9" s="23">
        <v>4</v>
      </c>
      <c r="D9" s="26">
        <f>D8+Constants!$B$21/1000+IF(O8="ON",(2*Constants!$B$22+Constants!$B$23)/1000,0)</f>
        <v>15</v>
      </c>
      <c r="E9" s="18" t="s">
        <v>264</v>
      </c>
      <c r="F9" s="25">
        <v>400</v>
      </c>
      <c r="G9" s="27">
        <v>48.01</v>
      </c>
      <c r="H9" s="27">
        <v>118.45</v>
      </c>
      <c r="I9" s="27">
        <v>48.02</v>
      </c>
      <c r="J9" s="21">
        <v>313</v>
      </c>
      <c r="K9" s="21">
        <v>313</v>
      </c>
      <c r="L9" s="21">
        <v>0</v>
      </c>
      <c r="M9" s="28" t="s">
        <v>209</v>
      </c>
      <c r="N9" s="28" t="s">
        <v>209</v>
      </c>
      <c r="O9" s="28" t="s">
        <v>209</v>
      </c>
      <c r="P9" s="21">
        <v>313</v>
      </c>
      <c r="Q9" s="21">
        <v>313</v>
      </c>
      <c r="R9" s="28" t="s">
        <v>209</v>
      </c>
      <c r="S9" s="28" t="s">
        <v>209</v>
      </c>
      <c r="T9" s="28" t="s">
        <v>209</v>
      </c>
      <c r="U9" s="7" t="s">
        <v>261</v>
      </c>
    </row>
    <row r="10" spans="1:21" x14ac:dyDescent="0.2">
      <c r="A10" s="23" t="s">
        <v>258</v>
      </c>
      <c r="B10" s="7" t="s">
        <v>259</v>
      </c>
      <c r="C10" s="23">
        <v>5</v>
      </c>
      <c r="D10" s="26">
        <f>D9+Constants!$B$21/1000+IF(O9="ON",(2*Constants!$B$22+Constants!$B$23)/1000,0)</f>
        <v>20</v>
      </c>
      <c r="E10" s="18" t="s">
        <v>265</v>
      </c>
      <c r="F10" s="25">
        <v>400</v>
      </c>
      <c r="G10" s="27">
        <v>49.23</v>
      </c>
      <c r="H10" s="27">
        <v>120.64</v>
      </c>
      <c r="I10" s="27">
        <v>49.24</v>
      </c>
      <c r="J10" s="21">
        <v>320</v>
      </c>
      <c r="K10" s="21">
        <v>320</v>
      </c>
      <c r="L10" s="21">
        <v>1</v>
      </c>
      <c r="M10" s="28" t="s">
        <v>209</v>
      </c>
      <c r="N10" s="28" t="s">
        <v>209</v>
      </c>
      <c r="O10" s="28" t="s">
        <v>209</v>
      </c>
      <c r="P10" s="21">
        <v>320</v>
      </c>
      <c r="Q10" s="21">
        <v>320</v>
      </c>
      <c r="R10" s="28" t="s">
        <v>209</v>
      </c>
      <c r="S10" s="28" t="s">
        <v>209</v>
      </c>
      <c r="T10" s="28" t="s">
        <v>209</v>
      </c>
      <c r="U10" s="7" t="s">
        <v>266</v>
      </c>
    </row>
    <row r="11" spans="1:21" x14ac:dyDescent="0.2">
      <c r="A11" s="23" t="s">
        <v>258</v>
      </c>
      <c r="B11" s="7" t="s">
        <v>259</v>
      </c>
      <c r="C11" s="23">
        <v>6</v>
      </c>
      <c r="D11" s="26">
        <f>D10+Constants!$B$21/1000+IF(O10="ON",(2*Constants!$B$22+Constants!$B$23)/1000,0)</f>
        <v>25</v>
      </c>
      <c r="E11" s="18" t="s">
        <v>267</v>
      </c>
      <c r="F11" s="25">
        <v>400</v>
      </c>
      <c r="G11" s="27">
        <v>49.72</v>
      </c>
      <c r="H11" s="27">
        <v>121.62</v>
      </c>
      <c r="I11" s="27">
        <v>49.75</v>
      </c>
      <c r="J11" s="21">
        <v>320</v>
      </c>
      <c r="K11" s="21">
        <v>320</v>
      </c>
      <c r="L11" s="21">
        <v>2</v>
      </c>
      <c r="M11" s="28" t="s">
        <v>212</v>
      </c>
      <c r="N11" s="28" t="s">
        <v>209</v>
      </c>
      <c r="O11" s="28" t="s">
        <v>212</v>
      </c>
      <c r="P11" s="21">
        <v>320</v>
      </c>
      <c r="Q11" s="21">
        <v>320</v>
      </c>
      <c r="R11" s="28" t="s">
        <v>209</v>
      </c>
      <c r="S11" s="28" t="s">
        <v>209</v>
      </c>
      <c r="T11" s="28" t="s">
        <v>209</v>
      </c>
      <c r="U11" s="7" t="s">
        <v>268</v>
      </c>
    </row>
    <row r="12" spans="1:21" x14ac:dyDescent="0.2">
      <c r="A12" s="23" t="s">
        <v>258</v>
      </c>
      <c r="B12" s="7" t="s">
        <v>259</v>
      </c>
      <c r="C12" s="23">
        <v>7</v>
      </c>
      <c r="D12" s="26">
        <f>D11+Constants!$B$21/1000+IF(O11="ON",(2*Constants!$B$22+Constants!$B$23)/1000,0)</f>
        <v>31.05</v>
      </c>
      <c r="E12" s="18" t="s">
        <v>267</v>
      </c>
      <c r="F12" s="25">
        <v>400</v>
      </c>
      <c r="G12" s="27">
        <v>49.72</v>
      </c>
      <c r="H12" s="27">
        <v>121.62</v>
      </c>
      <c r="I12" s="27">
        <v>49.75</v>
      </c>
      <c r="J12" s="21">
        <v>320</v>
      </c>
      <c r="K12" s="21">
        <v>320</v>
      </c>
      <c r="L12" s="21">
        <v>2</v>
      </c>
      <c r="M12" s="28" t="s">
        <v>212</v>
      </c>
      <c r="N12" s="28" t="s">
        <v>209</v>
      </c>
      <c r="O12" s="28" t="s">
        <v>212</v>
      </c>
      <c r="P12" s="21">
        <v>320</v>
      </c>
      <c r="Q12" s="21">
        <v>320</v>
      </c>
      <c r="R12" s="28" t="s">
        <v>209</v>
      </c>
      <c r="S12" s="28" t="s">
        <v>209</v>
      </c>
      <c r="T12" s="28" t="s">
        <v>209</v>
      </c>
      <c r="U12" s="7" t="s">
        <v>269</v>
      </c>
    </row>
    <row r="13" spans="1:21" x14ac:dyDescent="0.2">
      <c r="A13" s="23" t="s">
        <v>258</v>
      </c>
      <c r="B13" s="7" t="s">
        <v>259</v>
      </c>
      <c r="C13" s="23">
        <v>8</v>
      </c>
      <c r="D13" s="26">
        <f>D12+Constants!$B$21/1000+IF(O12="ON",(2*Constants!$B$22+Constants!$B$23)/1000,0)</f>
        <v>37.099999999999994</v>
      </c>
      <c r="E13" s="18" t="s">
        <v>264</v>
      </c>
      <c r="F13" s="25">
        <v>400</v>
      </c>
      <c r="G13" s="27">
        <v>48.01</v>
      </c>
      <c r="H13" s="27">
        <v>118.45</v>
      </c>
      <c r="I13" s="27">
        <v>48.02</v>
      </c>
      <c r="J13" s="21">
        <v>313</v>
      </c>
      <c r="K13" s="21">
        <v>313</v>
      </c>
      <c r="L13" s="21">
        <v>0</v>
      </c>
      <c r="M13" s="28" t="s">
        <v>209</v>
      </c>
      <c r="N13" s="28" t="s">
        <v>209</v>
      </c>
      <c r="O13" s="28" t="s">
        <v>209</v>
      </c>
      <c r="P13" s="21">
        <v>313</v>
      </c>
      <c r="Q13" s="21">
        <v>313</v>
      </c>
      <c r="R13" s="28" t="s">
        <v>209</v>
      </c>
      <c r="S13" s="28" t="s">
        <v>209</v>
      </c>
      <c r="T13" s="28" t="s">
        <v>209</v>
      </c>
      <c r="U13" s="7" t="s">
        <v>270</v>
      </c>
    </row>
    <row r="14" spans="1:21" x14ac:dyDescent="0.2">
      <c r="A14" s="23" t="s">
        <v>258</v>
      </c>
      <c r="B14" s="7" t="s">
        <v>259</v>
      </c>
      <c r="C14" s="23">
        <v>9</v>
      </c>
      <c r="D14" s="26">
        <f>D13+Constants!$B$21/1000+IF(O13="ON",(2*Constants!$B$22+Constants!$B$23)/1000,0)</f>
        <v>42.099999999999994</v>
      </c>
      <c r="E14" s="18" t="s">
        <v>271</v>
      </c>
      <c r="F14" s="25">
        <v>400</v>
      </c>
      <c r="G14" s="27">
        <v>39.97</v>
      </c>
      <c r="H14" s="27">
        <v>104.07</v>
      </c>
      <c r="I14" s="27">
        <v>40</v>
      </c>
      <c r="J14" s="21">
        <v>257</v>
      </c>
      <c r="K14" s="21">
        <v>257</v>
      </c>
      <c r="L14" s="21">
        <v>0</v>
      </c>
      <c r="M14" s="28" t="s">
        <v>209</v>
      </c>
      <c r="N14" s="28" t="s">
        <v>209</v>
      </c>
      <c r="O14" s="28" t="s">
        <v>209</v>
      </c>
      <c r="P14" s="21">
        <v>257</v>
      </c>
      <c r="Q14" s="21">
        <v>257</v>
      </c>
      <c r="R14" s="28" t="s">
        <v>209</v>
      </c>
      <c r="S14" s="28" t="s">
        <v>209</v>
      </c>
      <c r="T14" s="28" t="s">
        <v>209</v>
      </c>
      <c r="U14" s="7" t="s">
        <v>261</v>
      </c>
    </row>
    <row r="15" spans="1:21" x14ac:dyDescent="0.2">
      <c r="A15" s="23" t="s">
        <v>258</v>
      </c>
      <c r="B15" s="7" t="s">
        <v>259</v>
      </c>
      <c r="C15" s="23">
        <v>10</v>
      </c>
      <c r="D15" s="26">
        <f>D14+Constants!$B$21/1000+IF(O14="ON",(2*Constants!$B$22+Constants!$B$23)/1000,0)</f>
        <v>47.099999999999994</v>
      </c>
      <c r="E15" s="18" t="s">
        <v>272</v>
      </c>
      <c r="F15" s="25">
        <v>400</v>
      </c>
      <c r="G15" s="27">
        <v>29.98</v>
      </c>
      <c r="H15" s="27">
        <v>86.03</v>
      </c>
      <c r="I15" s="27">
        <v>30</v>
      </c>
      <c r="J15" s="21">
        <v>180</v>
      </c>
      <c r="K15" s="21">
        <v>180</v>
      </c>
      <c r="L15" s="21">
        <v>0</v>
      </c>
      <c r="M15" s="28" t="s">
        <v>209</v>
      </c>
      <c r="N15" s="28" t="s">
        <v>209</v>
      </c>
      <c r="O15" s="28" t="s">
        <v>209</v>
      </c>
      <c r="P15" s="21">
        <v>180</v>
      </c>
      <c r="Q15" s="21">
        <v>180</v>
      </c>
      <c r="R15" s="28" t="s">
        <v>209</v>
      </c>
      <c r="S15" s="28" t="s">
        <v>209</v>
      </c>
      <c r="T15" s="28" t="s">
        <v>209</v>
      </c>
      <c r="U15" s="7" t="s">
        <v>261</v>
      </c>
    </row>
    <row r="17" spans="1:21" x14ac:dyDescent="0.2">
      <c r="A17" s="29" t="s">
        <v>273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</row>
    <row r="18" spans="1:21" x14ac:dyDescent="0.2">
      <c r="A18" s="23" t="s">
        <v>274</v>
      </c>
      <c r="B18" s="7" t="s">
        <v>275</v>
      </c>
      <c r="C18" s="23">
        <v>1</v>
      </c>
      <c r="D18" s="26">
        <v>0</v>
      </c>
      <c r="E18" s="18" t="s">
        <v>263</v>
      </c>
      <c r="F18" s="25">
        <v>400</v>
      </c>
      <c r="G18" s="27">
        <v>45.09</v>
      </c>
      <c r="H18" s="27">
        <v>113.09</v>
      </c>
      <c r="I18" s="27">
        <v>45.07</v>
      </c>
      <c r="J18" s="21">
        <v>292</v>
      </c>
      <c r="K18" s="21">
        <v>292</v>
      </c>
      <c r="L18" s="21">
        <v>0</v>
      </c>
      <c r="M18" s="28" t="s">
        <v>209</v>
      </c>
      <c r="N18" s="28" t="s">
        <v>209</v>
      </c>
      <c r="O18" s="28" t="s">
        <v>209</v>
      </c>
      <c r="P18" s="21">
        <v>292</v>
      </c>
      <c r="Q18" s="21">
        <v>292</v>
      </c>
      <c r="R18" s="28" t="s">
        <v>209</v>
      </c>
      <c r="S18" s="28" t="s">
        <v>209</v>
      </c>
      <c r="T18" s="28" t="s">
        <v>209</v>
      </c>
      <c r="U18" s="7" t="s">
        <v>261</v>
      </c>
    </row>
    <row r="19" spans="1:21" x14ac:dyDescent="0.2">
      <c r="A19" s="23" t="s">
        <v>274</v>
      </c>
      <c r="B19" s="7" t="s">
        <v>275</v>
      </c>
      <c r="C19" s="23">
        <v>2</v>
      </c>
      <c r="D19" s="26">
        <f>D18+Constants!$B$21/1000+IF(O18="ON",(2*Constants!$B$22+Constants!$B$23)/1000,0)</f>
        <v>5</v>
      </c>
      <c r="E19" s="18" t="s">
        <v>267</v>
      </c>
      <c r="F19" s="25">
        <v>400</v>
      </c>
      <c r="G19" s="27">
        <v>49.72</v>
      </c>
      <c r="H19" s="27">
        <v>121.62</v>
      </c>
      <c r="I19" s="27">
        <v>49.75</v>
      </c>
      <c r="J19" s="21">
        <v>320</v>
      </c>
      <c r="K19" s="21">
        <v>320</v>
      </c>
      <c r="L19" s="21">
        <v>1</v>
      </c>
      <c r="M19" s="28" t="s">
        <v>209</v>
      </c>
      <c r="N19" s="28" t="s">
        <v>209</v>
      </c>
      <c r="O19" s="28" t="s">
        <v>209</v>
      </c>
      <c r="P19" s="21">
        <v>320</v>
      </c>
      <c r="Q19" s="21">
        <v>320</v>
      </c>
      <c r="R19" s="28" t="s">
        <v>209</v>
      </c>
      <c r="S19" s="28" t="s">
        <v>209</v>
      </c>
      <c r="T19" s="28" t="s">
        <v>209</v>
      </c>
      <c r="U19" s="7" t="s">
        <v>266</v>
      </c>
    </row>
    <row r="20" spans="1:21" x14ac:dyDescent="0.2">
      <c r="A20" s="23" t="s">
        <v>274</v>
      </c>
      <c r="B20" s="7" t="s">
        <v>275</v>
      </c>
      <c r="C20" s="23">
        <v>3</v>
      </c>
      <c r="D20" s="26">
        <f>D19+Constants!$B$21/1000+IF(O19="ON",(2*Constants!$B$22+Constants!$B$23)/1000,0)</f>
        <v>10</v>
      </c>
      <c r="E20" s="18" t="s">
        <v>267</v>
      </c>
      <c r="F20" s="25">
        <v>400</v>
      </c>
      <c r="G20" s="27">
        <v>49.72</v>
      </c>
      <c r="H20" s="27">
        <v>121.62</v>
      </c>
      <c r="I20" s="27">
        <v>49.75</v>
      </c>
      <c r="J20" s="21">
        <v>320</v>
      </c>
      <c r="K20" s="21">
        <v>320</v>
      </c>
      <c r="L20" s="21">
        <v>2</v>
      </c>
      <c r="M20" s="28" t="s">
        <v>212</v>
      </c>
      <c r="N20" s="28" t="s">
        <v>209</v>
      </c>
      <c r="O20" s="28" t="s">
        <v>212</v>
      </c>
      <c r="P20" s="21">
        <v>320</v>
      </c>
      <c r="Q20" s="21">
        <v>320</v>
      </c>
      <c r="R20" s="28" t="s">
        <v>209</v>
      </c>
      <c r="S20" s="28" t="s">
        <v>209</v>
      </c>
      <c r="T20" s="28" t="s">
        <v>209</v>
      </c>
      <c r="U20" s="7" t="s">
        <v>268</v>
      </c>
    </row>
    <row r="21" spans="1:21" x14ac:dyDescent="0.2">
      <c r="A21" s="23" t="s">
        <v>274</v>
      </c>
      <c r="B21" s="7" t="s">
        <v>275</v>
      </c>
      <c r="C21" s="23">
        <v>4</v>
      </c>
      <c r="D21" s="26">
        <f>D20+Constants!$B$21/1000+IF(O20="ON",(2*Constants!$B$22+Constants!$B$23)/1000,0)</f>
        <v>16.05</v>
      </c>
      <c r="E21" s="18" t="s">
        <v>276</v>
      </c>
      <c r="F21" s="25">
        <v>400</v>
      </c>
      <c r="G21" s="27">
        <v>50.94</v>
      </c>
      <c r="H21" s="27">
        <v>123.81</v>
      </c>
      <c r="I21" s="27">
        <v>-99</v>
      </c>
      <c r="J21" s="21">
        <v>-1</v>
      </c>
      <c r="K21" s="21">
        <v>320</v>
      </c>
      <c r="L21" s="21">
        <v>2</v>
      </c>
      <c r="M21" s="28" t="s">
        <v>212</v>
      </c>
      <c r="N21" s="28" t="s">
        <v>209</v>
      </c>
      <c r="O21" s="28" t="s">
        <v>212</v>
      </c>
      <c r="P21" s="21">
        <v>15797</v>
      </c>
      <c r="Q21" s="21">
        <v>320</v>
      </c>
      <c r="R21" s="28" t="s">
        <v>212</v>
      </c>
      <c r="S21" s="28" t="s">
        <v>209</v>
      </c>
      <c r="T21" s="28" t="s">
        <v>209</v>
      </c>
      <c r="U21" s="7" t="s">
        <v>277</v>
      </c>
    </row>
    <row r="22" spans="1:21" x14ac:dyDescent="0.2">
      <c r="A22" s="23" t="s">
        <v>274</v>
      </c>
      <c r="B22" s="7" t="s">
        <v>275</v>
      </c>
      <c r="C22" s="23">
        <v>5</v>
      </c>
      <c r="D22" s="26">
        <f>D21+Constants!$B$21/1000+IF(O21="ON",(2*Constants!$B$22+Constants!$B$23)/1000,0)</f>
        <v>22.1</v>
      </c>
      <c r="E22" s="18" t="s">
        <v>278</v>
      </c>
      <c r="F22" s="25">
        <v>400</v>
      </c>
      <c r="G22" s="27">
        <v>52.89</v>
      </c>
      <c r="H22" s="27">
        <v>127.47</v>
      </c>
      <c r="I22" s="27">
        <v>-99</v>
      </c>
      <c r="J22" s="21">
        <v>-1</v>
      </c>
      <c r="K22" s="21">
        <v>320</v>
      </c>
      <c r="L22" s="21">
        <v>2</v>
      </c>
      <c r="M22" s="28" t="s">
        <v>212</v>
      </c>
      <c r="N22" s="28" t="s">
        <v>209</v>
      </c>
      <c r="O22" s="28" t="s">
        <v>212</v>
      </c>
      <c r="P22" s="21">
        <v>15797</v>
      </c>
      <c r="Q22" s="21">
        <v>320</v>
      </c>
      <c r="R22" s="28" t="s">
        <v>212</v>
      </c>
      <c r="S22" s="28" t="s">
        <v>209</v>
      </c>
      <c r="T22" s="28" t="s">
        <v>209</v>
      </c>
      <c r="U22" s="7" t="s">
        <v>277</v>
      </c>
    </row>
    <row r="23" spans="1:21" x14ac:dyDescent="0.2">
      <c r="A23" s="23" t="s">
        <v>274</v>
      </c>
      <c r="B23" s="7" t="s">
        <v>275</v>
      </c>
      <c r="C23" s="23">
        <v>6</v>
      </c>
      <c r="D23" s="26">
        <f>D22+Constants!$B$21/1000+IF(O22="ON",(2*Constants!$B$22+Constants!$B$23)/1000,0)</f>
        <v>28.150000000000002</v>
      </c>
      <c r="E23" s="18" t="s">
        <v>279</v>
      </c>
      <c r="F23" s="25">
        <v>400</v>
      </c>
      <c r="G23" s="27">
        <v>55.08</v>
      </c>
      <c r="H23" s="27">
        <v>130.88</v>
      </c>
      <c r="I23" s="27">
        <v>-99</v>
      </c>
      <c r="J23" s="21">
        <v>-1</v>
      </c>
      <c r="K23" s="21">
        <v>320</v>
      </c>
      <c r="L23" s="21">
        <v>2</v>
      </c>
      <c r="M23" s="28" t="s">
        <v>212</v>
      </c>
      <c r="N23" s="28" t="s">
        <v>209</v>
      </c>
      <c r="O23" s="28" t="s">
        <v>212</v>
      </c>
      <c r="P23" s="21">
        <v>15797</v>
      </c>
      <c r="Q23" s="21">
        <v>320</v>
      </c>
      <c r="R23" s="28" t="s">
        <v>212</v>
      </c>
      <c r="S23" s="28" t="s">
        <v>209</v>
      </c>
      <c r="T23" s="28" t="s">
        <v>209</v>
      </c>
      <c r="U23" s="7" t="s">
        <v>277</v>
      </c>
    </row>
    <row r="24" spans="1:21" x14ac:dyDescent="0.2">
      <c r="A24" s="23" t="s">
        <v>274</v>
      </c>
      <c r="B24" s="7" t="s">
        <v>275</v>
      </c>
      <c r="C24" s="23">
        <v>7</v>
      </c>
      <c r="D24" s="26">
        <f>D23+Constants!$B$21/1000+IF(O23="ON",(2*Constants!$B$22+Constants!$B$23)/1000,0)</f>
        <v>34.200000000000003</v>
      </c>
      <c r="E24" s="18" t="s">
        <v>276</v>
      </c>
      <c r="F24" s="25">
        <v>400</v>
      </c>
      <c r="G24" s="27">
        <v>50.94</v>
      </c>
      <c r="H24" s="27">
        <v>123.81</v>
      </c>
      <c r="I24" s="27">
        <v>-99</v>
      </c>
      <c r="J24" s="21">
        <v>-1</v>
      </c>
      <c r="K24" s="21">
        <v>320</v>
      </c>
      <c r="L24" s="21">
        <v>2</v>
      </c>
      <c r="M24" s="28" t="s">
        <v>212</v>
      </c>
      <c r="N24" s="28" t="s">
        <v>209</v>
      </c>
      <c r="O24" s="28" t="s">
        <v>212</v>
      </c>
      <c r="P24" s="21">
        <v>15797</v>
      </c>
      <c r="Q24" s="21">
        <v>320</v>
      </c>
      <c r="R24" s="28" t="s">
        <v>212</v>
      </c>
      <c r="S24" s="28" t="s">
        <v>209</v>
      </c>
      <c r="T24" s="28" t="s">
        <v>209</v>
      </c>
      <c r="U24" s="7" t="s">
        <v>277</v>
      </c>
    </row>
    <row r="25" spans="1:21" x14ac:dyDescent="0.2">
      <c r="A25" s="23" t="s">
        <v>274</v>
      </c>
      <c r="B25" s="7" t="s">
        <v>275</v>
      </c>
      <c r="C25" s="23">
        <v>8</v>
      </c>
      <c r="D25" s="26">
        <f>D24+Constants!$B$21/1000+IF(O24="ON",(2*Constants!$B$22+Constants!$B$23)/1000,0)</f>
        <v>40.25</v>
      </c>
      <c r="E25" s="18" t="s">
        <v>267</v>
      </c>
      <c r="F25" s="25">
        <v>400</v>
      </c>
      <c r="G25" s="27">
        <v>49.72</v>
      </c>
      <c r="H25" s="27">
        <v>121.62</v>
      </c>
      <c r="I25" s="27">
        <v>49.75</v>
      </c>
      <c r="J25" s="21">
        <v>320</v>
      </c>
      <c r="K25" s="21">
        <v>320</v>
      </c>
      <c r="L25" s="21">
        <v>2</v>
      </c>
      <c r="M25" s="28" t="s">
        <v>212</v>
      </c>
      <c r="N25" s="28" t="s">
        <v>209</v>
      </c>
      <c r="O25" s="28" t="s">
        <v>212</v>
      </c>
      <c r="P25" s="21">
        <v>320</v>
      </c>
      <c r="Q25" s="21">
        <v>320</v>
      </c>
      <c r="R25" s="28" t="s">
        <v>209</v>
      </c>
      <c r="S25" s="28" t="s">
        <v>209</v>
      </c>
      <c r="T25" s="28" t="s">
        <v>209</v>
      </c>
      <c r="U25" s="7" t="s">
        <v>269</v>
      </c>
    </row>
    <row r="26" spans="1:21" x14ac:dyDescent="0.2">
      <c r="A26" s="23" t="s">
        <v>274</v>
      </c>
      <c r="B26" s="7" t="s">
        <v>275</v>
      </c>
      <c r="C26" s="23">
        <v>9</v>
      </c>
      <c r="D26" s="26">
        <f>D25+Constants!$B$21/1000+IF(O25="ON",(2*Constants!$B$22+Constants!$B$23)/1000,0)</f>
        <v>46.3</v>
      </c>
      <c r="E26" s="18" t="s">
        <v>264</v>
      </c>
      <c r="F26" s="25">
        <v>400</v>
      </c>
      <c r="G26" s="27">
        <v>48.01</v>
      </c>
      <c r="H26" s="27">
        <v>118.45</v>
      </c>
      <c r="I26" s="27">
        <v>48.02</v>
      </c>
      <c r="J26" s="21">
        <v>313</v>
      </c>
      <c r="K26" s="21">
        <v>313</v>
      </c>
      <c r="L26" s="21">
        <v>0</v>
      </c>
      <c r="M26" s="28" t="s">
        <v>209</v>
      </c>
      <c r="N26" s="28" t="s">
        <v>209</v>
      </c>
      <c r="O26" s="28" t="s">
        <v>209</v>
      </c>
      <c r="P26" s="21">
        <v>313</v>
      </c>
      <c r="Q26" s="21">
        <v>313</v>
      </c>
      <c r="R26" s="28" t="s">
        <v>209</v>
      </c>
      <c r="S26" s="28" t="s">
        <v>209</v>
      </c>
      <c r="T26" s="28" t="s">
        <v>209</v>
      </c>
      <c r="U26" s="7" t="s">
        <v>270</v>
      </c>
    </row>
    <row r="27" spans="1:21" x14ac:dyDescent="0.2">
      <c r="A27" s="23" t="s">
        <v>274</v>
      </c>
      <c r="B27" s="7" t="s">
        <v>275</v>
      </c>
      <c r="C27" s="23">
        <v>10</v>
      </c>
      <c r="D27" s="26">
        <f>D26+Constants!$B$21/1000+IF(O26="ON",(2*Constants!$B$22+Constants!$B$23)/1000,0)</f>
        <v>51.3</v>
      </c>
      <c r="E27" s="18" t="s">
        <v>263</v>
      </c>
      <c r="F27" s="25">
        <v>400</v>
      </c>
      <c r="G27" s="27">
        <v>45.09</v>
      </c>
      <c r="H27" s="27">
        <v>113.09</v>
      </c>
      <c r="I27" s="27">
        <v>45.07</v>
      </c>
      <c r="J27" s="21">
        <v>292</v>
      </c>
      <c r="K27" s="21">
        <v>292</v>
      </c>
      <c r="L27" s="21">
        <v>0</v>
      </c>
      <c r="M27" s="28" t="s">
        <v>209</v>
      </c>
      <c r="N27" s="28" t="s">
        <v>209</v>
      </c>
      <c r="O27" s="28" t="s">
        <v>209</v>
      </c>
      <c r="P27" s="21">
        <v>292</v>
      </c>
      <c r="Q27" s="21">
        <v>292</v>
      </c>
      <c r="R27" s="28" t="s">
        <v>209</v>
      </c>
      <c r="S27" s="28" t="s">
        <v>209</v>
      </c>
      <c r="T27" s="28" t="s">
        <v>209</v>
      </c>
      <c r="U27" s="7" t="s">
        <v>261</v>
      </c>
    </row>
    <row r="29" spans="1:21" x14ac:dyDescent="0.2">
      <c r="A29" s="29" t="s">
        <v>280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 spans="1:21" ht="28" x14ac:dyDescent="0.2">
      <c r="A30" s="23" t="s">
        <v>281</v>
      </c>
      <c r="B30" s="7" t="s">
        <v>282</v>
      </c>
      <c r="C30" s="23">
        <v>1</v>
      </c>
      <c r="D30" s="26">
        <v>0</v>
      </c>
      <c r="E30" s="18" t="s">
        <v>263</v>
      </c>
      <c r="F30" s="25">
        <v>400</v>
      </c>
      <c r="G30" s="27">
        <v>45.09</v>
      </c>
      <c r="H30" s="27">
        <v>113.09</v>
      </c>
      <c r="I30" s="27">
        <v>45.07</v>
      </c>
      <c r="J30" s="21">
        <v>292</v>
      </c>
      <c r="K30" s="21">
        <v>292</v>
      </c>
      <c r="L30" s="21">
        <v>0</v>
      </c>
      <c r="M30" s="28" t="s">
        <v>209</v>
      </c>
      <c r="N30" s="28" t="s">
        <v>209</v>
      </c>
      <c r="O30" s="28" t="s">
        <v>209</v>
      </c>
      <c r="P30" s="21">
        <v>292</v>
      </c>
      <c r="Q30" s="21">
        <v>292</v>
      </c>
      <c r="R30" s="28" t="s">
        <v>209</v>
      </c>
      <c r="S30" s="28" t="s">
        <v>209</v>
      </c>
      <c r="T30" s="28" t="s">
        <v>209</v>
      </c>
      <c r="U30" s="7" t="s">
        <v>261</v>
      </c>
    </row>
    <row r="31" spans="1:21" ht="28" x14ac:dyDescent="0.2">
      <c r="A31" s="23" t="s">
        <v>281</v>
      </c>
      <c r="B31" s="7" t="s">
        <v>282</v>
      </c>
      <c r="C31" s="23">
        <v>2</v>
      </c>
      <c r="D31" s="26">
        <f>D30+Constants!$B$21/1000+IF(O30="ON",(2*Constants!$B$22+Constants!$B$23)/1000,0)</f>
        <v>5</v>
      </c>
      <c r="E31" s="18" t="s">
        <v>267</v>
      </c>
      <c r="F31" s="25">
        <v>400</v>
      </c>
      <c r="G31" s="27">
        <v>49.72</v>
      </c>
      <c r="H31" s="27">
        <v>121.62</v>
      </c>
      <c r="I31" s="27">
        <v>49.75</v>
      </c>
      <c r="J31" s="21">
        <v>320</v>
      </c>
      <c r="K31" s="21">
        <v>320</v>
      </c>
      <c r="L31" s="21">
        <v>1</v>
      </c>
      <c r="M31" s="28" t="s">
        <v>209</v>
      </c>
      <c r="N31" s="28" t="s">
        <v>209</v>
      </c>
      <c r="O31" s="28" t="s">
        <v>209</v>
      </c>
      <c r="P31" s="21">
        <v>320</v>
      </c>
      <c r="Q31" s="21">
        <v>320</v>
      </c>
      <c r="R31" s="28" t="s">
        <v>209</v>
      </c>
      <c r="S31" s="28" t="s">
        <v>209</v>
      </c>
      <c r="T31" s="28" t="s">
        <v>209</v>
      </c>
      <c r="U31" s="7" t="s">
        <v>266</v>
      </c>
    </row>
    <row r="32" spans="1:21" ht="28" x14ac:dyDescent="0.2">
      <c r="A32" s="23" t="s">
        <v>281</v>
      </c>
      <c r="B32" s="7" t="s">
        <v>282</v>
      </c>
      <c r="C32" s="23">
        <v>3</v>
      </c>
      <c r="D32" s="26">
        <f>D31+Constants!$B$21/1000+IF(O31="ON",(2*Constants!$B$22+Constants!$B$23)/1000,0)</f>
        <v>10</v>
      </c>
      <c r="E32" s="18" t="s">
        <v>267</v>
      </c>
      <c r="F32" s="25">
        <v>400</v>
      </c>
      <c r="G32" s="27">
        <v>49.72</v>
      </c>
      <c r="H32" s="27">
        <v>121.62</v>
      </c>
      <c r="I32" s="27">
        <v>49.75</v>
      </c>
      <c r="J32" s="21">
        <v>320</v>
      </c>
      <c r="K32" s="21">
        <v>320</v>
      </c>
      <c r="L32" s="21">
        <v>2</v>
      </c>
      <c r="M32" s="28" t="s">
        <v>212</v>
      </c>
      <c r="N32" s="28" t="s">
        <v>209</v>
      </c>
      <c r="O32" s="28" t="s">
        <v>212</v>
      </c>
      <c r="P32" s="21">
        <v>320</v>
      </c>
      <c r="Q32" s="21">
        <v>320</v>
      </c>
      <c r="R32" s="28" t="s">
        <v>209</v>
      </c>
      <c r="S32" s="28" t="s">
        <v>209</v>
      </c>
      <c r="T32" s="28" t="s">
        <v>209</v>
      </c>
      <c r="U32" s="7" t="s">
        <v>268</v>
      </c>
    </row>
    <row r="33" spans="1:21" ht="28" x14ac:dyDescent="0.2">
      <c r="A33" s="23" t="s">
        <v>281</v>
      </c>
      <c r="B33" s="7" t="s">
        <v>282</v>
      </c>
      <c r="C33" s="23">
        <v>4</v>
      </c>
      <c r="D33" s="26">
        <f>D32+Constants!$B$21/1000+IF(O32="ON",(2*Constants!$B$22+Constants!$B$23)/1000,0)</f>
        <v>16.05</v>
      </c>
      <c r="E33" s="18" t="s">
        <v>283</v>
      </c>
      <c r="F33" s="25">
        <v>400</v>
      </c>
      <c r="G33" s="27">
        <v>0</v>
      </c>
      <c r="H33" s="27">
        <v>0</v>
      </c>
      <c r="I33" s="27">
        <v>-99</v>
      </c>
      <c r="J33" s="21">
        <v>-1</v>
      </c>
      <c r="K33" s="21">
        <v>320</v>
      </c>
      <c r="L33" s="21">
        <v>2</v>
      </c>
      <c r="M33" s="28" t="s">
        <v>212</v>
      </c>
      <c r="N33" s="28" t="s">
        <v>209</v>
      </c>
      <c r="O33" s="28" t="s">
        <v>212</v>
      </c>
      <c r="P33" s="21">
        <v>15797</v>
      </c>
      <c r="Q33" s="21">
        <v>320</v>
      </c>
      <c r="R33" s="28" t="s">
        <v>212</v>
      </c>
      <c r="S33" s="28" t="s">
        <v>209</v>
      </c>
      <c r="T33" s="28" t="s">
        <v>209</v>
      </c>
      <c r="U33" s="7" t="s">
        <v>277</v>
      </c>
    </row>
    <row r="34" spans="1:21" ht="28" x14ac:dyDescent="0.2">
      <c r="A34" s="23" t="s">
        <v>281</v>
      </c>
      <c r="B34" s="7" t="s">
        <v>282</v>
      </c>
      <c r="C34" s="23">
        <v>5</v>
      </c>
      <c r="D34" s="26">
        <f>D33+Constants!$B$21/1000+IF(O33="ON",(2*Constants!$B$22+Constants!$B$23)/1000,0)</f>
        <v>22.1</v>
      </c>
      <c r="E34" s="18" t="s">
        <v>283</v>
      </c>
      <c r="F34" s="25">
        <v>400</v>
      </c>
      <c r="G34" s="27">
        <v>0</v>
      </c>
      <c r="H34" s="27">
        <v>0</v>
      </c>
      <c r="I34" s="27">
        <v>-99</v>
      </c>
      <c r="J34" s="21">
        <v>-1</v>
      </c>
      <c r="K34" s="21">
        <v>320</v>
      </c>
      <c r="L34" s="21">
        <v>2</v>
      </c>
      <c r="M34" s="28" t="s">
        <v>212</v>
      </c>
      <c r="N34" s="28" t="s">
        <v>209</v>
      </c>
      <c r="O34" s="28" t="s">
        <v>212</v>
      </c>
      <c r="P34" s="21">
        <v>15797</v>
      </c>
      <c r="Q34" s="21">
        <v>320</v>
      </c>
      <c r="R34" s="28" t="s">
        <v>212</v>
      </c>
      <c r="S34" s="28" t="s">
        <v>209</v>
      </c>
      <c r="T34" s="28" t="s">
        <v>209</v>
      </c>
      <c r="U34" s="7" t="s">
        <v>277</v>
      </c>
    </row>
    <row r="35" spans="1:21" ht="28" x14ac:dyDescent="0.2">
      <c r="A35" s="23" t="s">
        <v>281</v>
      </c>
      <c r="B35" s="7" t="s">
        <v>282</v>
      </c>
      <c r="C35" s="23">
        <v>6</v>
      </c>
      <c r="D35" s="26">
        <f>D34+Constants!$B$21/1000+IF(O34="ON",(2*Constants!$B$22+Constants!$B$23)/1000,0)</f>
        <v>28.150000000000002</v>
      </c>
      <c r="E35" s="18" t="s">
        <v>264</v>
      </c>
      <c r="F35" s="25">
        <v>400</v>
      </c>
      <c r="G35" s="27">
        <v>48.01</v>
      </c>
      <c r="H35" s="27">
        <v>118.45</v>
      </c>
      <c r="I35" s="27">
        <v>48.02</v>
      </c>
      <c r="J35" s="21">
        <v>313</v>
      </c>
      <c r="K35" s="21">
        <v>313</v>
      </c>
      <c r="L35" s="21">
        <v>0</v>
      </c>
      <c r="M35" s="28" t="s">
        <v>209</v>
      </c>
      <c r="N35" s="28" t="s">
        <v>209</v>
      </c>
      <c r="O35" s="28" t="s">
        <v>209</v>
      </c>
      <c r="P35" s="21">
        <v>313</v>
      </c>
      <c r="Q35" s="21">
        <v>313</v>
      </c>
      <c r="R35" s="28" t="s">
        <v>209</v>
      </c>
      <c r="S35" s="28" t="s">
        <v>209</v>
      </c>
      <c r="T35" s="28" t="s">
        <v>209</v>
      </c>
      <c r="U35" s="7" t="s">
        <v>270</v>
      </c>
    </row>
    <row r="37" spans="1:21" x14ac:dyDescent="0.2">
      <c r="A37" s="29" t="s">
        <v>284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spans="1:21" ht="28" x14ac:dyDescent="0.2">
      <c r="A38" s="23" t="s">
        <v>285</v>
      </c>
      <c r="B38" s="7" t="s">
        <v>286</v>
      </c>
      <c r="C38" s="23">
        <v>1</v>
      </c>
      <c r="D38" s="26">
        <v>0</v>
      </c>
      <c r="E38" s="18" t="s">
        <v>272</v>
      </c>
      <c r="F38" s="25">
        <v>400</v>
      </c>
      <c r="G38" s="27">
        <v>29.98</v>
      </c>
      <c r="H38" s="27">
        <v>86.03</v>
      </c>
      <c r="I38" s="27">
        <v>30</v>
      </c>
      <c r="J38" s="21">
        <v>180</v>
      </c>
      <c r="K38" s="21">
        <v>180</v>
      </c>
      <c r="L38" s="21">
        <v>0</v>
      </c>
      <c r="M38" s="28" t="s">
        <v>209</v>
      </c>
      <c r="N38" s="28" t="s">
        <v>209</v>
      </c>
      <c r="O38" s="28" t="s">
        <v>209</v>
      </c>
      <c r="P38" s="21">
        <v>180</v>
      </c>
      <c r="Q38" s="21">
        <v>180</v>
      </c>
      <c r="R38" s="28" t="s">
        <v>209</v>
      </c>
      <c r="S38" s="28" t="s">
        <v>209</v>
      </c>
      <c r="T38" s="28" t="s">
        <v>209</v>
      </c>
      <c r="U38" s="7" t="s">
        <v>261</v>
      </c>
    </row>
    <row r="39" spans="1:21" ht="28" x14ac:dyDescent="0.2">
      <c r="A39" s="23" t="s">
        <v>285</v>
      </c>
      <c r="B39" s="7" t="s">
        <v>286</v>
      </c>
      <c r="C39" s="23">
        <v>2</v>
      </c>
      <c r="D39" s="26">
        <f>D38+Constants!$B$21/1000+IF(O38="ON",(2*Constants!$B$22+Constants!$B$23)/1000,0)</f>
        <v>5</v>
      </c>
      <c r="E39" s="18" t="s">
        <v>283</v>
      </c>
      <c r="F39" s="25">
        <v>400</v>
      </c>
      <c r="G39" s="27">
        <v>0</v>
      </c>
      <c r="H39" s="27">
        <v>0</v>
      </c>
      <c r="I39" s="27">
        <v>-99</v>
      </c>
      <c r="J39" s="21">
        <v>-1</v>
      </c>
      <c r="K39" s="21">
        <v>180</v>
      </c>
      <c r="L39" s="21">
        <v>0</v>
      </c>
      <c r="M39" s="28" t="s">
        <v>212</v>
      </c>
      <c r="N39" s="28" t="s">
        <v>209</v>
      </c>
      <c r="O39" s="28" t="s">
        <v>209</v>
      </c>
      <c r="P39" s="21">
        <v>15797</v>
      </c>
      <c r="Q39" s="21">
        <v>180</v>
      </c>
      <c r="R39" s="28" t="s">
        <v>212</v>
      </c>
      <c r="S39" s="28" t="s">
        <v>209</v>
      </c>
      <c r="T39" s="28" t="s">
        <v>209</v>
      </c>
      <c r="U39" s="7" t="s">
        <v>287</v>
      </c>
    </row>
    <row r="40" spans="1:21" ht="28" x14ac:dyDescent="0.2">
      <c r="A40" s="23" t="s">
        <v>285</v>
      </c>
      <c r="B40" s="7" t="s">
        <v>286</v>
      </c>
      <c r="C40" s="23">
        <v>3</v>
      </c>
      <c r="D40" s="26">
        <f>D39+Constants!$B$21/1000+IF(O39="ON",(2*Constants!$B$22+Constants!$B$23)/1000,0)</f>
        <v>10</v>
      </c>
      <c r="E40" s="18" t="s">
        <v>283</v>
      </c>
      <c r="F40" s="25">
        <v>400</v>
      </c>
      <c r="G40" s="27">
        <v>0</v>
      </c>
      <c r="H40" s="27">
        <v>0</v>
      </c>
      <c r="I40" s="27">
        <v>-99</v>
      </c>
      <c r="J40" s="21">
        <v>-1</v>
      </c>
      <c r="K40" s="21">
        <v>180</v>
      </c>
      <c r="L40" s="21">
        <v>0</v>
      </c>
      <c r="M40" s="28" t="s">
        <v>212</v>
      </c>
      <c r="N40" s="28" t="s">
        <v>209</v>
      </c>
      <c r="O40" s="28" t="s">
        <v>209</v>
      </c>
      <c r="P40" s="21">
        <v>15797</v>
      </c>
      <c r="Q40" s="21">
        <v>180</v>
      </c>
      <c r="R40" s="28" t="s">
        <v>212</v>
      </c>
      <c r="S40" s="28" t="s">
        <v>209</v>
      </c>
      <c r="T40" s="28" t="s">
        <v>209</v>
      </c>
      <c r="U40" s="7" t="s">
        <v>287</v>
      </c>
    </row>
    <row r="41" spans="1:21" ht="28" x14ac:dyDescent="0.2">
      <c r="A41" s="23" t="s">
        <v>285</v>
      </c>
      <c r="B41" s="7" t="s">
        <v>286</v>
      </c>
      <c r="C41" s="23">
        <v>4</v>
      </c>
      <c r="D41" s="26">
        <f>D40+Constants!$B$21/1000+IF(O40="ON",(2*Constants!$B$22+Constants!$B$23)/1000,0)</f>
        <v>15</v>
      </c>
      <c r="E41" s="18" t="s">
        <v>272</v>
      </c>
      <c r="F41" s="25">
        <v>400</v>
      </c>
      <c r="G41" s="27">
        <v>29.98</v>
      </c>
      <c r="H41" s="27">
        <v>86.03</v>
      </c>
      <c r="I41" s="27">
        <v>30</v>
      </c>
      <c r="J41" s="21">
        <v>180</v>
      </c>
      <c r="K41" s="21">
        <v>180</v>
      </c>
      <c r="L41" s="21">
        <v>0</v>
      </c>
      <c r="M41" s="28" t="s">
        <v>209</v>
      </c>
      <c r="N41" s="28" t="s">
        <v>209</v>
      </c>
      <c r="O41" s="28" t="s">
        <v>209</v>
      </c>
      <c r="P41" s="21">
        <v>180</v>
      </c>
      <c r="Q41" s="21">
        <v>180</v>
      </c>
      <c r="R41" s="28" t="s">
        <v>209</v>
      </c>
      <c r="S41" s="28" t="s">
        <v>209</v>
      </c>
      <c r="T41" s="28" t="s">
        <v>209</v>
      </c>
      <c r="U41" s="7" t="s">
        <v>261</v>
      </c>
    </row>
    <row r="43" spans="1:21" x14ac:dyDescent="0.2">
      <c r="A43" s="29" t="s">
        <v>288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</row>
    <row r="44" spans="1:21" ht="28" x14ac:dyDescent="0.2">
      <c r="A44" s="23" t="s">
        <v>289</v>
      </c>
      <c r="B44" s="7" t="s">
        <v>290</v>
      </c>
      <c r="C44" s="23">
        <v>1</v>
      </c>
      <c r="D44" s="26">
        <v>0</v>
      </c>
      <c r="E44" s="18" t="s">
        <v>263</v>
      </c>
      <c r="F44" s="25">
        <v>400</v>
      </c>
      <c r="G44" s="27">
        <v>45.09</v>
      </c>
      <c r="H44" s="27">
        <v>113.09</v>
      </c>
      <c r="I44" s="27">
        <v>45.07</v>
      </c>
      <c r="J44" s="21">
        <v>292</v>
      </c>
      <c r="K44" s="21">
        <v>292</v>
      </c>
      <c r="L44" s="21">
        <v>0</v>
      </c>
      <c r="M44" s="28" t="s">
        <v>209</v>
      </c>
      <c r="N44" s="28" t="s">
        <v>209</v>
      </c>
      <c r="O44" s="28" t="s">
        <v>209</v>
      </c>
      <c r="P44" s="21">
        <v>292</v>
      </c>
      <c r="Q44" s="21">
        <v>292</v>
      </c>
      <c r="R44" s="28" t="s">
        <v>209</v>
      </c>
      <c r="S44" s="28" t="s">
        <v>209</v>
      </c>
      <c r="T44" s="28" t="s">
        <v>209</v>
      </c>
      <c r="U44" s="7" t="s">
        <v>261</v>
      </c>
    </row>
    <row r="45" spans="1:21" ht="28" x14ac:dyDescent="0.2">
      <c r="A45" s="23" t="s">
        <v>289</v>
      </c>
      <c r="B45" s="7" t="s">
        <v>290</v>
      </c>
      <c r="C45" s="23">
        <v>2</v>
      </c>
      <c r="D45" s="26">
        <f>D44+Constants!$B$21/1000+IF(O44="ON",(2*Constants!$B$22+Constants!$B$23)/1000,0)</f>
        <v>5</v>
      </c>
      <c r="E45" s="18" t="s">
        <v>291</v>
      </c>
      <c r="F45" s="25">
        <v>400</v>
      </c>
      <c r="G45" s="27">
        <v>51.91</v>
      </c>
      <c r="H45" s="27">
        <v>125.52</v>
      </c>
      <c r="I45" s="27">
        <v>-99</v>
      </c>
      <c r="J45" s="21">
        <v>-1</v>
      </c>
      <c r="K45" s="21">
        <v>292</v>
      </c>
      <c r="L45" s="21">
        <v>0</v>
      </c>
      <c r="M45" s="28" t="s">
        <v>212</v>
      </c>
      <c r="N45" s="28" t="s">
        <v>209</v>
      </c>
      <c r="O45" s="28" t="s">
        <v>209</v>
      </c>
      <c r="P45" s="21">
        <v>15797</v>
      </c>
      <c r="Q45" s="21">
        <v>292</v>
      </c>
      <c r="R45" s="28" t="s">
        <v>212</v>
      </c>
      <c r="S45" s="28" t="s">
        <v>209</v>
      </c>
      <c r="T45" s="28" t="s">
        <v>209</v>
      </c>
      <c r="U45" s="7" t="s">
        <v>292</v>
      </c>
    </row>
    <row r="46" spans="1:21" ht="28" x14ac:dyDescent="0.2">
      <c r="A46" s="23" t="s">
        <v>289</v>
      </c>
      <c r="B46" s="7" t="s">
        <v>290</v>
      </c>
      <c r="C46" s="23">
        <v>3</v>
      </c>
      <c r="D46" s="26">
        <f>D45+Constants!$B$21/1000+IF(O45="ON",(2*Constants!$B$22+Constants!$B$23)/1000,0)</f>
        <v>10</v>
      </c>
      <c r="E46" s="18" t="s">
        <v>291</v>
      </c>
      <c r="F46" s="25">
        <v>400</v>
      </c>
      <c r="G46" s="27">
        <v>51.91</v>
      </c>
      <c r="H46" s="27">
        <v>125.52</v>
      </c>
      <c r="I46" s="27">
        <v>-99</v>
      </c>
      <c r="J46" s="21">
        <v>-1</v>
      </c>
      <c r="K46" s="21">
        <v>292</v>
      </c>
      <c r="L46" s="21">
        <v>0</v>
      </c>
      <c r="M46" s="28" t="s">
        <v>212</v>
      </c>
      <c r="N46" s="28" t="s">
        <v>209</v>
      </c>
      <c r="O46" s="28" t="s">
        <v>209</v>
      </c>
      <c r="P46" s="21">
        <v>15797</v>
      </c>
      <c r="Q46" s="21">
        <v>292</v>
      </c>
      <c r="R46" s="28" t="s">
        <v>212</v>
      </c>
      <c r="S46" s="28" t="s">
        <v>209</v>
      </c>
      <c r="T46" s="28" t="s">
        <v>209</v>
      </c>
      <c r="U46" s="7" t="s">
        <v>292</v>
      </c>
    </row>
    <row r="47" spans="1:21" ht="28" x14ac:dyDescent="0.2">
      <c r="A47" s="23" t="s">
        <v>289</v>
      </c>
      <c r="B47" s="7" t="s">
        <v>290</v>
      </c>
      <c r="C47" s="23">
        <v>4</v>
      </c>
      <c r="D47" s="26">
        <f>D46+Constants!$B$21/1000+IF(O46="ON",(2*Constants!$B$22+Constants!$B$23)/1000,0)</f>
        <v>15</v>
      </c>
      <c r="E47" s="18" t="s">
        <v>291</v>
      </c>
      <c r="F47" s="25">
        <v>400</v>
      </c>
      <c r="G47" s="27">
        <v>51.91</v>
      </c>
      <c r="H47" s="27">
        <v>125.52</v>
      </c>
      <c r="I47" s="27">
        <v>-99</v>
      </c>
      <c r="J47" s="21">
        <v>-1</v>
      </c>
      <c r="K47" s="21">
        <v>292</v>
      </c>
      <c r="L47" s="21">
        <v>0</v>
      </c>
      <c r="M47" s="28" t="s">
        <v>212</v>
      </c>
      <c r="N47" s="28" t="s">
        <v>209</v>
      </c>
      <c r="O47" s="28" t="s">
        <v>209</v>
      </c>
      <c r="P47" s="21">
        <v>15797</v>
      </c>
      <c r="Q47" s="21">
        <v>292</v>
      </c>
      <c r="R47" s="28" t="s">
        <v>212</v>
      </c>
      <c r="S47" s="28" t="s">
        <v>209</v>
      </c>
      <c r="T47" s="28" t="s">
        <v>209</v>
      </c>
      <c r="U47" s="7" t="s">
        <v>292</v>
      </c>
    </row>
    <row r="48" spans="1:21" ht="28" x14ac:dyDescent="0.2">
      <c r="A48" s="23" t="s">
        <v>289</v>
      </c>
      <c r="B48" s="7" t="s">
        <v>290</v>
      </c>
      <c r="C48" s="23">
        <v>5</v>
      </c>
      <c r="D48" s="26">
        <f>D47+Constants!$B$21/1000+IF(O47="ON",(2*Constants!$B$22+Constants!$B$23)/1000,0)</f>
        <v>20</v>
      </c>
      <c r="E48" s="18" t="s">
        <v>263</v>
      </c>
      <c r="F48" s="25">
        <v>400</v>
      </c>
      <c r="G48" s="27">
        <v>45.09</v>
      </c>
      <c r="H48" s="27">
        <v>113.09</v>
      </c>
      <c r="I48" s="27">
        <v>45.07</v>
      </c>
      <c r="J48" s="21">
        <v>292</v>
      </c>
      <c r="K48" s="21">
        <v>292</v>
      </c>
      <c r="L48" s="21">
        <v>0</v>
      </c>
      <c r="M48" s="28" t="s">
        <v>209</v>
      </c>
      <c r="N48" s="28" t="s">
        <v>209</v>
      </c>
      <c r="O48" s="28" t="s">
        <v>209</v>
      </c>
      <c r="P48" s="21">
        <v>292</v>
      </c>
      <c r="Q48" s="21">
        <v>292</v>
      </c>
      <c r="R48" s="28" t="s">
        <v>209</v>
      </c>
      <c r="S48" s="28" t="s">
        <v>209</v>
      </c>
      <c r="T48" s="28" t="s">
        <v>209</v>
      </c>
      <c r="U48" s="7" t="s">
        <v>261</v>
      </c>
    </row>
    <row r="50" spans="1:21" x14ac:dyDescent="0.2">
      <c r="A50" s="29" t="s">
        <v>293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  <row r="51" spans="1:21" x14ac:dyDescent="0.2">
      <c r="A51" s="23" t="s">
        <v>294</v>
      </c>
      <c r="B51" s="7" t="s">
        <v>295</v>
      </c>
      <c r="C51" s="23">
        <v>1</v>
      </c>
      <c r="D51" s="26">
        <v>0</v>
      </c>
      <c r="E51" s="18" t="s">
        <v>272</v>
      </c>
      <c r="F51" s="25">
        <v>400</v>
      </c>
      <c r="G51" s="27">
        <v>29.98</v>
      </c>
      <c r="H51" s="27">
        <v>86.03</v>
      </c>
      <c r="I51" s="27">
        <v>30</v>
      </c>
      <c r="J51" s="21">
        <v>180</v>
      </c>
      <c r="K51" s="21">
        <v>180</v>
      </c>
      <c r="L51" s="21">
        <v>0</v>
      </c>
      <c r="M51" s="28" t="s">
        <v>209</v>
      </c>
      <c r="N51" s="28" t="s">
        <v>209</v>
      </c>
      <c r="O51" s="28" t="s">
        <v>209</v>
      </c>
      <c r="P51" s="21">
        <v>180</v>
      </c>
      <c r="Q51" s="21">
        <v>180</v>
      </c>
      <c r="R51" s="28" t="s">
        <v>209</v>
      </c>
      <c r="S51" s="28" t="s">
        <v>209</v>
      </c>
      <c r="T51" s="28" t="s">
        <v>209</v>
      </c>
      <c r="U51" s="7" t="s">
        <v>261</v>
      </c>
    </row>
    <row r="52" spans="1:21" x14ac:dyDescent="0.2">
      <c r="A52" s="23" t="s">
        <v>294</v>
      </c>
      <c r="B52" s="7" t="s">
        <v>295</v>
      </c>
      <c r="C52" s="23">
        <v>2</v>
      </c>
      <c r="D52" s="26">
        <f>D51+Constants!$B$21/1000+IF(O51="ON",(2*Constants!$B$22+Constants!$B$23)/1000,0)</f>
        <v>5</v>
      </c>
      <c r="E52" s="18" t="s">
        <v>272</v>
      </c>
      <c r="F52" s="25">
        <v>0</v>
      </c>
      <c r="G52" s="27">
        <v>29.98</v>
      </c>
      <c r="H52" s="27">
        <v>86.03</v>
      </c>
      <c r="I52" s="27">
        <v>30</v>
      </c>
      <c r="J52" s="21">
        <v>180</v>
      </c>
      <c r="K52" s="21">
        <v>180</v>
      </c>
      <c r="L52" s="21">
        <v>0</v>
      </c>
      <c r="M52" s="28" t="s">
        <v>209</v>
      </c>
      <c r="N52" s="28" t="s">
        <v>212</v>
      </c>
      <c r="O52" s="28" t="s">
        <v>212</v>
      </c>
      <c r="P52" s="21">
        <v>180</v>
      </c>
      <c r="Q52" s="21">
        <v>180</v>
      </c>
      <c r="R52" s="28" t="s">
        <v>209</v>
      </c>
      <c r="S52" s="28" t="s">
        <v>212</v>
      </c>
      <c r="T52" s="28" t="s">
        <v>212</v>
      </c>
      <c r="U52" s="7" t="s">
        <v>296</v>
      </c>
    </row>
    <row r="53" spans="1:21" x14ac:dyDescent="0.2">
      <c r="A53" s="23" t="s">
        <v>294</v>
      </c>
      <c r="B53" s="7" t="s">
        <v>295</v>
      </c>
      <c r="C53" s="23">
        <v>3</v>
      </c>
      <c r="D53" s="26">
        <f>D52+Constants!$B$21/1000+IF(O52="ON",(2*Constants!$B$22+Constants!$B$23)/1000,0)</f>
        <v>11.05</v>
      </c>
      <c r="E53" s="18" t="s">
        <v>272</v>
      </c>
      <c r="F53" s="25">
        <v>0</v>
      </c>
      <c r="G53" s="27">
        <v>29.98</v>
      </c>
      <c r="H53" s="27">
        <v>86.03</v>
      </c>
      <c r="I53" s="27">
        <v>30</v>
      </c>
      <c r="J53" s="21">
        <v>180</v>
      </c>
      <c r="K53" s="21">
        <v>180</v>
      </c>
      <c r="L53" s="21">
        <v>0</v>
      </c>
      <c r="M53" s="28" t="s">
        <v>209</v>
      </c>
      <c r="N53" s="28" t="s">
        <v>212</v>
      </c>
      <c r="O53" s="28" t="s">
        <v>212</v>
      </c>
      <c r="P53" s="21">
        <v>180</v>
      </c>
      <c r="Q53" s="21">
        <v>180</v>
      </c>
      <c r="R53" s="28" t="s">
        <v>209</v>
      </c>
      <c r="S53" s="28" t="s">
        <v>212</v>
      </c>
      <c r="T53" s="28" t="s">
        <v>212</v>
      </c>
      <c r="U53" s="7" t="s">
        <v>296</v>
      </c>
    </row>
    <row r="54" spans="1:21" x14ac:dyDescent="0.2">
      <c r="A54" s="23" t="s">
        <v>294</v>
      </c>
      <c r="B54" s="7" t="s">
        <v>295</v>
      </c>
      <c r="C54" s="23">
        <v>4</v>
      </c>
      <c r="D54" s="26">
        <f>D53+Constants!$B$21/1000+IF(O53="ON",(2*Constants!$B$22+Constants!$B$23)/1000,0)</f>
        <v>17.100000000000001</v>
      </c>
      <c r="E54" s="18" t="s">
        <v>272</v>
      </c>
      <c r="F54" s="25">
        <v>400</v>
      </c>
      <c r="G54" s="27">
        <v>29.98</v>
      </c>
      <c r="H54" s="27">
        <v>86.03</v>
      </c>
      <c r="I54" s="27">
        <v>30</v>
      </c>
      <c r="J54" s="21">
        <v>180</v>
      </c>
      <c r="K54" s="21">
        <v>180</v>
      </c>
      <c r="L54" s="21">
        <v>0</v>
      </c>
      <c r="M54" s="28" t="s">
        <v>209</v>
      </c>
      <c r="N54" s="28" t="s">
        <v>209</v>
      </c>
      <c r="O54" s="28" t="s">
        <v>209</v>
      </c>
      <c r="P54" s="21">
        <v>180</v>
      </c>
      <c r="Q54" s="21">
        <v>180</v>
      </c>
      <c r="R54" s="28" t="s">
        <v>209</v>
      </c>
      <c r="S54" s="28" t="s">
        <v>209</v>
      </c>
      <c r="T54" s="28" t="s">
        <v>209</v>
      </c>
      <c r="U54" s="7" t="s">
        <v>261</v>
      </c>
    </row>
    <row r="56" spans="1:21" x14ac:dyDescent="0.2">
      <c r="A56" s="29" t="s">
        <v>297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</row>
    <row r="57" spans="1:21" x14ac:dyDescent="0.2">
      <c r="A57" s="23" t="s">
        <v>298</v>
      </c>
      <c r="B57" s="7" t="s">
        <v>299</v>
      </c>
      <c r="C57" s="23">
        <v>1</v>
      </c>
      <c r="D57" s="26">
        <v>0</v>
      </c>
      <c r="E57" s="18" t="s">
        <v>272</v>
      </c>
      <c r="F57" s="25">
        <v>400</v>
      </c>
      <c r="G57" s="27">
        <v>29.98</v>
      </c>
      <c r="H57" s="27">
        <v>86.03</v>
      </c>
      <c r="I57" s="27">
        <v>30</v>
      </c>
      <c r="J57" s="21">
        <v>180</v>
      </c>
      <c r="K57" s="21">
        <v>180</v>
      </c>
      <c r="L57" s="21">
        <v>0</v>
      </c>
      <c r="M57" s="28" t="s">
        <v>209</v>
      </c>
      <c r="N57" s="28" t="s">
        <v>209</v>
      </c>
      <c r="O57" s="28" t="s">
        <v>209</v>
      </c>
      <c r="P57" s="21">
        <v>180</v>
      </c>
      <c r="Q57" s="21">
        <v>180</v>
      </c>
      <c r="R57" s="28" t="s">
        <v>209</v>
      </c>
      <c r="S57" s="28" t="s">
        <v>209</v>
      </c>
      <c r="T57" s="28" t="s">
        <v>209</v>
      </c>
      <c r="U57" s="7" t="s">
        <v>261</v>
      </c>
    </row>
    <row r="58" spans="1:21" ht="28" x14ac:dyDescent="0.2">
      <c r="A58" s="23" t="s">
        <v>298</v>
      </c>
      <c r="B58" s="7" t="s">
        <v>299</v>
      </c>
      <c r="C58" s="23">
        <v>2</v>
      </c>
      <c r="D58" s="26">
        <f>D57+Constants!$B$21/1000+IF(O57="ON",(2*Constants!$B$22+Constants!$B$23)/1000,0)</f>
        <v>5</v>
      </c>
      <c r="E58" s="18" t="s">
        <v>300</v>
      </c>
      <c r="F58" s="25">
        <v>400</v>
      </c>
      <c r="G58" s="27">
        <v>29.98</v>
      </c>
      <c r="H58" s="27">
        <v>104.07</v>
      </c>
      <c r="I58" s="27">
        <v>-97</v>
      </c>
      <c r="J58" s="21">
        <v>-2</v>
      </c>
      <c r="K58" s="21">
        <v>180</v>
      </c>
      <c r="L58" s="21">
        <v>0</v>
      </c>
      <c r="M58" s="28" t="s">
        <v>212</v>
      </c>
      <c r="N58" s="28" t="s">
        <v>209</v>
      </c>
      <c r="O58" s="28" t="s">
        <v>209</v>
      </c>
      <c r="P58" s="21">
        <v>222</v>
      </c>
      <c r="Q58" s="21">
        <v>222</v>
      </c>
      <c r="R58" s="28" t="s">
        <v>209</v>
      </c>
      <c r="S58" s="28" t="s">
        <v>209</v>
      </c>
      <c r="T58" s="28" t="s">
        <v>209</v>
      </c>
      <c r="U58" s="7" t="s">
        <v>301</v>
      </c>
    </row>
    <row r="59" spans="1:21" ht="28" x14ac:dyDescent="0.2">
      <c r="A59" s="23" t="s">
        <v>298</v>
      </c>
      <c r="B59" s="7" t="s">
        <v>299</v>
      </c>
      <c r="C59" s="23">
        <v>3</v>
      </c>
      <c r="D59" s="26">
        <f>D58+Constants!$B$21/1000+IF(O58="ON",(2*Constants!$B$22+Constants!$B$23)/1000,0)</f>
        <v>10</v>
      </c>
      <c r="E59" s="18" t="s">
        <v>300</v>
      </c>
      <c r="F59" s="25">
        <v>400</v>
      </c>
      <c r="G59" s="27">
        <v>29.98</v>
      </c>
      <c r="H59" s="27">
        <v>104.07</v>
      </c>
      <c r="I59" s="27">
        <v>-97</v>
      </c>
      <c r="J59" s="21">
        <v>-2</v>
      </c>
      <c r="K59" s="21">
        <v>180</v>
      </c>
      <c r="L59" s="21">
        <v>0</v>
      </c>
      <c r="M59" s="28" t="s">
        <v>212</v>
      </c>
      <c r="N59" s="28" t="s">
        <v>209</v>
      </c>
      <c r="O59" s="28" t="s">
        <v>209</v>
      </c>
      <c r="P59" s="21">
        <v>222</v>
      </c>
      <c r="Q59" s="21">
        <v>222</v>
      </c>
      <c r="R59" s="28" t="s">
        <v>209</v>
      </c>
      <c r="S59" s="28" t="s">
        <v>209</v>
      </c>
      <c r="T59" s="28" t="s">
        <v>209</v>
      </c>
      <c r="U59" s="7" t="s">
        <v>301</v>
      </c>
    </row>
    <row r="60" spans="1:21" x14ac:dyDescent="0.2">
      <c r="A60" s="23" t="s">
        <v>298</v>
      </c>
      <c r="B60" s="7" t="s">
        <v>299</v>
      </c>
      <c r="C60" s="23">
        <v>4</v>
      </c>
      <c r="D60" s="26">
        <f>D59+Constants!$B$21/1000+IF(O59="ON",(2*Constants!$B$22+Constants!$B$23)/1000,0)</f>
        <v>15</v>
      </c>
      <c r="E60" s="18" t="s">
        <v>272</v>
      </c>
      <c r="F60" s="25">
        <v>400</v>
      </c>
      <c r="G60" s="27">
        <v>29.98</v>
      </c>
      <c r="H60" s="27">
        <v>86.03</v>
      </c>
      <c r="I60" s="27">
        <v>30</v>
      </c>
      <c r="J60" s="21">
        <v>180</v>
      </c>
      <c r="K60" s="21">
        <v>180</v>
      </c>
      <c r="L60" s="21">
        <v>0</v>
      </c>
      <c r="M60" s="28" t="s">
        <v>209</v>
      </c>
      <c r="N60" s="28" t="s">
        <v>209</v>
      </c>
      <c r="O60" s="28" t="s">
        <v>209</v>
      </c>
      <c r="P60" s="21">
        <v>180</v>
      </c>
      <c r="Q60" s="21">
        <v>180</v>
      </c>
      <c r="R60" s="28" t="s">
        <v>209</v>
      </c>
      <c r="S60" s="28" t="s">
        <v>209</v>
      </c>
      <c r="T60" s="28" t="s">
        <v>209</v>
      </c>
      <c r="U60" s="7" t="s">
        <v>261</v>
      </c>
    </row>
    <row r="62" spans="1:21" x14ac:dyDescent="0.2">
      <c r="A62" s="29" t="s">
        <v>302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</row>
    <row r="63" spans="1:21" x14ac:dyDescent="0.2">
      <c r="A63" s="23" t="s">
        <v>303</v>
      </c>
      <c r="B63" s="7" t="s">
        <v>304</v>
      </c>
      <c r="C63" s="23">
        <v>1</v>
      </c>
      <c r="D63" s="26">
        <v>0</v>
      </c>
      <c r="E63" s="18" t="s">
        <v>305</v>
      </c>
      <c r="F63" s="25">
        <v>400</v>
      </c>
      <c r="G63" s="27">
        <v>5.12</v>
      </c>
      <c r="H63" s="27">
        <v>41.43</v>
      </c>
      <c r="I63" s="27">
        <v>5.18</v>
      </c>
      <c r="J63" s="21">
        <v>12</v>
      </c>
      <c r="K63" s="21">
        <v>12</v>
      </c>
      <c r="L63" s="21">
        <v>0</v>
      </c>
      <c r="M63" s="28" t="s">
        <v>209</v>
      </c>
      <c r="N63" s="28" t="s">
        <v>209</v>
      </c>
      <c r="O63" s="28" t="s">
        <v>209</v>
      </c>
      <c r="P63" s="21">
        <v>12</v>
      </c>
      <c r="Q63" s="21">
        <v>12</v>
      </c>
      <c r="R63" s="28" t="s">
        <v>209</v>
      </c>
      <c r="S63" s="28" t="s">
        <v>209</v>
      </c>
      <c r="T63" s="28" t="s">
        <v>209</v>
      </c>
      <c r="U63" s="7" t="s">
        <v>261</v>
      </c>
    </row>
    <row r="64" spans="1:21" x14ac:dyDescent="0.2">
      <c r="A64" s="23" t="s">
        <v>303</v>
      </c>
      <c r="B64" s="7" t="s">
        <v>304</v>
      </c>
      <c r="C64" s="23">
        <v>2</v>
      </c>
      <c r="D64" s="26">
        <f>D63+Constants!$B$21/1000+IF(O63="ON",(2*Constants!$B$22+Constants!$B$23)/1000,0)</f>
        <v>5</v>
      </c>
      <c r="E64" s="18" t="s">
        <v>306</v>
      </c>
      <c r="F64" s="25">
        <v>400</v>
      </c>
      <c r="G64" s="27">
        <v>5.61</v>
      </c>
      <c r="H64" s="27">
        <v>42.16</v>
      </c>
      <c r="I64" s="27">
        <v>5.63</v>
      </c>
      <c r="J64" s="21">
        <v>12</v>
      </c>
      <c r="K64" s="21">
        <v>12</v>
      </c>
      <c r="L64" s="21">
        <v>0</v>
      </c>
      <c r="M64" s="28" t="s">
        <v>209</v>
      </c>
      <c r="N64" s="28" t="s">
        <v>209</v>
      </c>
      <c r="O64" s="28" t="s">
        <v>209</v>
      </c>
      <c r="P64" s="21">
        <v>12</v>
      </c>
      <c r="Q64" s="21">
        <v>12</v>
      </c>
      <c r="R64" s="28" t="s">
        <v>209</v>
      </c>
      <c r="S64" s="28" t="s">
        <v>209</v>
      </c>
      <c r="T64" s="28" t="s">
        <v>209</v>
      </c>
      <c r="U64" s="7" t="s">
        <v>261</v>
      </c>
    </row>
    <row r="65" spans="1:21" x14ac:dyDescent="0.2">
      <c r="A65" s="23" t="s">
        <v>303</v>
      </c>
      <c r="B65" s="7" t="s">
        <v>304</v>
      </c>
      <c r="C65" s="23">
        <v>3</v>
      </c>
      <c r="D65" s="26">
        <f>D64+Constants!$B$21/1000+IF(O64="ON",(2*Constants!$B$22+Constants!$B$23)/1000,0)</f>
        <v>10</v>
      </c>
      <c r="E65" s="18" t="s">
        <v>307</v>
      </c>
      <c r="F65" s="25">
        <v>400</v>
      </c>
      <c r="G65" s="27">
        <v>6.09</v>
      </c>
      <c r="H65" s="27">
        <v>42.9</v>
      </c>
      <c r="I65" s="27">
        <v>6.07</v>
      </c>
      <c r="J65" s="21">
        <v>19</v>
      </c>
      <c r="K65" s="21">
        <v>19</v>
      </c>
      <c r="L65" s="21">
        <v>0</v>
      </c>
      <c r="M65" s="28" t="s">
        <v>209</v>
      </c>
      <c r="N65" s="28" t="s">
        <v>209</v>
      </c>
      <c r="O65" s="28" t="s">
        <v>209</v>
      </c>
      <c r="P65" s="21">
        <v>19</v>
      </c>
      <c r="Q65" s="21">
        <v>19</v>
      </c>
      <c r="R65" s="28" t="s">
        <v>209</v>
      </c>
      <c r="S65" s="28" t="s">
        <v>209</v>
      </c>
      <c r="T65" s="28" t="s">
        <v>209</v>
      </c>
      <c r="U65" s="7" t="s">
        <v>261</v>
      </c>
    </row>
    <row r="66" spans="1:21" x14ac:dyDescent="0.2">
      <c r="A66" s="23" t="s">
        <v>303</v>
      </c>
      <c r="B66" s="7" t="s">
        <v>304</v>
      </c>
      <c r="C66" s="23">
        <v>4</v>
      </c>
      <c r="D66" s="26">
        <f>D65+Constants!$B$21/1000+IF(O65="ON",(2*Constants!$B$22+Constants!$B$23)/1000,0)</f>
        <v>15</v>
      </c>
      <c r="E66" s="18" t="s">
        <v>308</v>
      </c>
      <c r="F66" s="25">
        <v>400</v>
      </c>
      <c r="G66" s="27">
        <v>4.87</v>
      </c>
      <c r="H66" s="27">
        <v>40.700000000000003</v>
      </c>
      <c r="I66" s="27">
        <v>-99</v>
      </c>
      <c r="J66" s="21">
        <v>-1</v>
      </c>
      <c r="K66" s="21">
        <v>19</v>
      </c>
      <c r="L66" s="21">
        <v>0</v>
      </c>
      <c r="M66" s="28" t="s">
        <v>212</v>
      </c>
      <c r="N66" s="28" t="s">
        <v>209</v>
      </c>
      <c r="O66" s="28" t="s">
        <v>209</v>
      </c>
      <c r="P66" s="21">
        <v>15797</v>
      </c>
      <c r="Q66" s="21">
        <v>19</v>
      </c>
      <c r="R66" s="28" t="s">
        <v>212</v>
      </c>
      <c r="S66" s="28" t="s">
        <v>209</v>
      </c>
      <c r="T66" s="28" t="s">
        <v>209</v>
      </c>
      <c r="U66" s="7" t="s">
        <v>309</v>
      </c>
    </row>
    <row r="67" spans="1:21" x14ac:dyDescent="0.2">
      <c r="A67" s="23" t="s">
        <v>303</v>
      </c>
      <c r="B67" s="7" t="s">
        <v>304</v>
      </c>
      <c r="C67" s="23">
        <v>5</v>
      </c>
      <c r="D67" s="26">
        <f>D66+Constants!$B$21/1000+IF(O66="ON",(2*Constants!$B$22+Constants!$B$23)/1000,0)</f>
        <v>20</v>
      </c>
      <c r="E67" s="18" t="s">
        <v>310</v>
      </c>
      <c r="F67" s="25">
        <v>400</v>
      </c>
      <c r="G67" s="27">
        <v>7.07</v>
      </c>
      <c r="H67" s="27">
        <v>44.6</v>
      </c>
      <c r="I67" s="27">
        <v>7.03</v>
      </c>
      <c r="J67" s="21">
        <v>26</v>
      </c>
      <c r="K67" s="21">
        <v>26</v>
      </c>
      <c r="L67" s="21">
        <v>0</v>
      </c>
      <c r="M67" s="28" t="s">
        <v>209</v>
      </c>
      <c r="N67" s="28" t="s">
        <v>209</v>
      </c>
      <c r="O67" s="28" t="s">
        <v>209</v>
      </c>
      <c r="P67" s="21">
        <v>26</v>
      </c>
      <c r="Q67" s="21">
        <v>26</v>
      </c>
      <c r="R67" s="28" t="s">
        <v>209</v>
      </c>
      <c r="S67" s="28" t="s">
        <v>209</v>
      </c>
      <c r="T67" s="28" t="s">
        <v>209</v>
      </c>
      <c r="U67" s="7" t="s">
        <v>261</v>
      </c>
    </row>
  </sheetData>
  <conditionalFormatting sqref="M5:O68">
    <cfRule type="expression" dxfId="12" priority="2">
      <formula>M5="ON"</formula>
    </cfRule>
  </conditionalFormatting>
  <conditionalFormatting sqref="R5:T68">
    <cfRule type="expression" dxfId="11" priority="3">
      <formula>R5="ON"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0" customWidth="1"/>
    <col min="2" max="2" width="11" customWidth="1"/>
    <col min="3" max="3" width="13" customWidth="1"/>
    <col min="4" max="5" width="12" customWidth="1"/>
    <col min="6" max="7" width="11" customWidth="1"/>
    <col min="8" max="9" width="24" customWidth="1"/>
    <col min="10" max="10" width="42" customWidth="1"/>
    <col min="11" max="11" width="50" customWidth="1"/>
  </cols>
  <sheetData>
    <row r="1" spans="1:11" ht="18" x14ac:dyDescent="0.2">
      <c r="A1" s="3" t="s">
        <v>311</v>
      </c>
    </row>
    <row r="2" spans="1:11" x14ac:dyDescent="0.2">
      <c r="A2" s="4" t="s">
        <v>312</v>
      </c>
    </row>
    <row r="4" spans="1:11" ht="42" x14ac:dyDescent="0.2">
      <c r="A4" s="6" t="s">
        <v>313</v>
      </c>
      <c r="B4" s="6" t="s">
        <v>314</v>
      </c>
      <c r="C4" s="6" t="s">
        <v>315</v>
      </c>
      <c r="D4" s="6" t="s">
        <v>172</v>
      </c>
      <c r="E4" s="19" t="s">
        <v>316</v>
      </c>
      <c r="F4" s="6" t="s">
        <v>317</v>
      </c>
      <c r="G4" s="6" t="s">
        <v>153</v>
      </c>
      <c r="H4" s="6" t="s">
        <v>318</v>
      </c>
      <c r="I4" s="6" t="s">
        <v>319</v>
      </c>
      <c r="J4" s="6" t="s">
        <v>320</v>
      </c>
      <c r="K4" s="6" t="s">
        <v>321</v>
      </c>
    </row>
    <row r="5" spans="1:11" ht="28" x14ac:dyDescent="0.2">
      <c r="A5" s="25">
        <v>0</v>
      </c>
      <c r="B5" s="8">
        <f>A5*Constants!$B$30</f>
        <v>0</v>
      </c>
      <c r="C5" s="23" t="str">
        <f>IF(AND(A5&gt;Constants!$B$14,A5&lt;Constants!$B$15),"PASSED","NOT PASSED")</f>
        <v>NOT PASSED</v>
      </c>
      <c r="D5" s="28" t="s">
        <v>230</v>
      </c>
      <c r="E5" s="28" t="s">
        <v>230</v>
      </c>
      <c r="F5" s="23" t="str">
        <f t="shared" ref="F5:F20" si="0">IF(D5=C5,"OK","CHECK")</f>
        <v>OK</v>
      </c>
      <c r="G5" s="23" t="str">
        <f t="shared" ref="G5:G20" si="1">IF(D5=E5,"Identical","Different")</f>
        <v>Identical</v>
      </c>
      <c r="H5" s="7" t="str">
        <f t="shared" ref="H5:H20" si="2">IF(D5="PASSED","D6 OFF (unless fan stops)","D6 ON permanently")</f>
        <v>D6 ON permanently</v>
      </c>
      <c r="I5" s="7" t="str">
        <f t="shared" ref="I5:I20" si="3">IF(E5="PASSED","D4 OFF (unless temp error)","D4 ON permanently")</f>
        <v>D4 ON permanently</v>
      </c>
      <c r="J5" s="31" t="s">
        <v>322</v>
      </c>
      <c r="K5" s="7" t="s">
        <v>323</v>
      </c>
    </row>
    <row r="6" spans="1:11" ht="28" x14ac:dyDescent="0.2">
      <c r="A6" s="25">
        <v>10</v>
      </c>
      <c r="B6" s="8">
        <f>A6*Constants!$B$30</f>
        <v>300</v>
      </c>
      <c r="C6" s="23" t="str">
        <f>IF(AND(A6&gt;Constants!$B$14,A6&lt;Constants!$B$15),"PASSED","NOT PASSED")</f>
        <v>NOT PASSED</v>
      </c>
      <c r="D6" s="28" t="s">
        <v>230</v>
      </c>
      <c r="E6" s="28" t="s">
        <v>230</v>
      </c>
      <c r="F6" s="23" t="str">
        <f t="shared" si="0"/>
        <v>OK</v>
      </c>
      <c r="G6" s="23" t="str">
        <f t="shared" si="1"/>
        <v>Identical</v>
      </c>
      <c r="H6" s="7" t="str">
        <f t="shared" si="2"/>
        <v>D6 ON permanently</v>
      </c>
      <c r="I6" s="7" t="str">
        <f t="shared" si="3"/>
        <v>D4 ON permanently</v>
      </c>
      <c r="J6" s="31" t="s">
        <v>324</v>
      </c>
      <c r="K6" s="7" t="s">
        <v>325</v>
      </c>
    </row>
    <row r="7" spans="1:11" ht="28" x14ac:dyDescent="0.2">
      <c r="A7" s="25">
        <v>30</v>
      </c>
      <c r="B7" s="8">
        <f>A7*Constants!$B$30</f>
        <v>900</v>
      </c>
      <c r="C7" s="23" t="str">
        <f>IF(AND(A7&gt;Constants!$B$14,A7&lt;Constants!$B$15),"PASSED","NOT PASSED")</f>
        <v>NOT PASSED</v>
      </c>
      <c r="D7" s="28" t="s">
        <v>230</v>
      </c>
      <c r="E7" s="28" t="s">
        <v>230</v>
      </c>
      <c r="F7" s="23" t="str">
        <f t="shared" si="0"/>
        <v>OK</v>
      </c>
      <c r="G7" s="23" t="str">
        <f t="shared" si="1"/>
        <v>Identical</v>
      </c>
      <c r="H7" s="7" t="str">
        <f t="shared" si="2"/>
        <v>D6 ON permanently</v>
      </c>
      <c r="I7" s="7" t="str">
        <f t="shared" si="3"/>
        <v>D4 ON permanently</v>
      </c>
      <c r="J7" s="31" t="s">
        <v>326</v>
      </c>
      <c r="K7" s="7" t="s">
        <v>327</v>
      </c>
    </row>
    <row r="8" spans="1:11" ht="28" x14ac:dyDescent="0.2">
      <c r="A8" s="25">
        <v>45</v>
      </c>
      <c r="B8" s="8">
        <f>A8*Constants!$B$30</f>
        <v>1350</v>
      </c>
      <c r="C8" s="23" t="str">
        <f>IF(AND(A8&gt;Constants!$B$14,A8&lt;Constants!$B$15),"PASSED","NOT PASSED")</f>
        <v>NOT PASSED</v>
      </c>
      <c r="D8" s="28" t="s">
        <v>230</v>
      </c>
      <c r="E8" s="28" t="s">
        <v>230</v>
      </c>
      <c r="F8" s="23" t="str">
        <f t="shared" si="0"/>
        <v>OK</v>
      </c>
      <c r="G8" s="23" t="str">
        <f t="shared" si="1"/>
        <v>Identical</v>
      </c>
      <c r="H8" s="7" t="str">
        <f t="shared" si="2"/>
        <v>D6 ON permanently</v>
      </c>
      <c r="I8" s="7" t="str">
        <f t="shared" si="3"/>
        <v>D4 ON permanently</v>
      </c>
      <c r="J8" s="31" t="s">
        <v>328</v>
      </c>
      <c r="K8" s="7" t="s">
        <v>329</v>
      </c>
    </row>
    <row r="9" spans="1:11" ht="28" x14ac:dyDescent="0.2">
      <c r="A9" s="25">
        <v>50</v>
      </c>
      <c r="B9" s="8">
        <f>A9*Constants!$B$30</f>
        <v>1500</v>
      </c>
      <c r="C9" s="23" t="str">
        <f>IF(AND(A9&gt;Constants!$B$14,A9&lt;Constants!$B$15),"PASSED","NOT PASSED")</f>
        <v>NOT PASSED</v>
      </c>
      <c r="D9" s="28" t="s">
        <v>230</v>
      </c>
      <c r="E9" s="28" t="s">
        <v>230</v>
      </c>
      <c r="F9" s="23" t="str">
        <f t="shared" si="0"/>
        <v>OK</v>
      </c>
      <c r="G9" s="23" t="str">
        <f t="shared" si="1"/>
        <v>Identical</v>
      </c>
      <c r="H9" s="7" t="str">
        <f t="shared" si="2"/>
        <v>D6 ON permanently</v>
      </c>
      <c r="I9" s="7" t="str">
        <f t="shared" si="3"/>
        <v>D4 ON permanently</v>
      </c>
      <c r="J9" s="31" t="s">
        <v>330</v>
      </c>
      <c r="K9" s="7" t="s">
        <v>331</v>
      </c>
    </row>
    <row r="10" spans="1:11" ht="28" x14ac:dyDescent="0.2">
      <c r="A10" s="25">
        <v>52</v>
      </c>
      <c r="B10" s="8">
        <f>A10*Constants!$B$30</f>
        <v>1560</v>
      </c>
      <c r="C10" s="23" t="str">
        <f>IF(AND(A10&gt;Constants!$B$14,A10&lt;Constants!$B$15),"PASSED","NOT PASSED")</f>
        <v>NOT PASSED</v>
      </c>
      <c r="D10" s="28" t="s">
        <v>230</v>
      </c>
      <c r="E10" s="28" t="s">
        <v>230</v>
      </c>
      <c r="F10" s="23" t="str">
        <f t="shared" si="0"/>
        <v>OK</v>
      </c>
      <c r="G10" s="23" t="str">
        <f t="shared" si="1"/>
        <v>Identical</v>
      </c>
      <c r="H10" s="7" t="str">
        <f t="shared" si="2"/>
        <v>D6 ON permanently</v>
      </c>
      <c r="I10" s="7" t="str">
        <f t="shared" si="3"/>
        <v>D4 ON permanently</v>
      </c>
      <c r="J10" s="31" t="s">
        <v>332</v>
      </c>
      <c r="K10" s="7" t="s">
        <v>333</v>
      </c>
    </row>
    <row r="11" spans="1:11" x14ac:dyDescent="0.2">
      <c r="A11" s="25">
        <v>53</v>
      </c>
      <c r="B11" s="8">
        <f>A11*Constants!$B$30</f>
        <v>1590</v>
      </c>
      <c r="C11" s="23" t="str">
        <f>IF(AND(A11&gt;Constants!$B$14,A11&lt;Constants!$B$15),"PASSED","NOT PASSED")</f>
        <v>PASSED</v>
      </c>
      <c r="D11" s="28" t="s">
        <v>206</v>
      </c>
      <c r="E11" s="28" t="s">
        <v>206</v>
      </c>
      <c r="F11" s="23" t="str">
        <f t="shared" si="0"/>
        <v>OK</v>
      </c>
      <c r="G11" s="23" t="str">
        <f t="shared" si="1"/>
        <v>Identical</v>
      </c>
      <c r="H11" s="7" t="str">
        <f t="shared" si="2"/>
        <v>D6 OFF (unless fan stops)</v>
      </c>
      <c r="I11" s="7" t="str">
        <f t="shared" si="3"/>
        <v>D4 OFF (unless temp error)</v>
      </c>
      <c r="J11" s="31" t="s">
        <v>334</v>
      </c>
      <c r="K11" s="7" t="s">
        <v>335</v>
      </c>
    </row>
    <row r="12" spans="1:11" x14ac:dyDescent="0.2">
      <c r="A12" s="25">
        <v>54</v>
      </c>
      <c r="B12" s="8">
        <f>A12*Constants!$B$30</f>
        <v>1620</v>
      </c>
      <c r="C12" s="23" t="str">
        <f>IF(AND(A12&gt;Constants!$B$14,A12&lt;Constants!$B$15),"PASSED","NOT PASSED")</f>
        <v>PASSED</v>
      </c>
      <c r="D12" s="28" t="s">
        <v>206</v>
      </c>
      <c r="E12" s="28" t="s">
        <v>206</v>
      </c>
      <c r="F12" s="23" t="str">
        <f t="shared" si="0"/>
        <v>OK</v>
      </c>
      <c r="G12" s="23" t="str">
        <f t="shared" si="1"/>
        <v>Identical</v>
      </c>
      <c r="H12" s="7" t="str">
        <f t="shared" si="2"/>
        <v>D6 OFF (unless fan stops)</v>
      </c>
      <c r="I12" s="7" t="str">
        <f t="shared" si="3"/>
        <v>D4 OFF (unless temp error)</v>
      </c>
      <c r="J12" s="31" t="s">
        <v>336</v>
      </c>
      <c r="K12" s="7" t="s">
        <v>337</v>
      </c>
    </row>
    <row r="13" spans="1:11" x14ac:dyDescent="0.2">
      <c r="A13" s="25">
        <v>55</v>
      </c>
      <c r="B13" s="8">
        <f>A13*Constants!$B$30</f>
        <v>1650</v>
      </c>
      <c r="C13" s="23" t="str">
        <f>IF(AND(A13&gt;Constants!$B$14,A13&lt;Constants!$B$15),"PASSED","NOT PASSED")</f>
        <v>PASSED</v>
      </c>
      <c r="D13" s="28" t="s">
        <v>206</v>
      </c>
      <c r="E13" s="28" t="s">
        <v>206</v>
      </c>
      <c r="F13" s="23" t="str">
        <f t="shared" si="0"/>
        <v>OK</v>
      </c>
      <c r="G13" s="23" t="str">
        <f t="shared" si="1"/>
        <v>Identical</v>
      </c>
      <c r="H13" s="7" t="str">
        <f t="shared" si="2"/>
        <v>D6 OFF (unless fan stops)</v>
      </c>
      <c r="I13" s="7" t="str">
        <f t="shared" si="3"/>
        <v>D4 OFF (unless temp error)</v>
      </c>
      <c r="J13" s="31" t="s">
        <v>338</v>
      </c>
      <c r="K13" s="7" t="s">
        <v>337</v>
      </c>
    </row>
    <row r="14" spans="1:11" x14ac:dyDescent="0.2">
      <c r="A14" s="25">
        <v>56</v>
      </c>
      <c r="B14" s="8">
        <f>A14*Constants!$B$30</f>
        <v>1680</v>
      </c>
      <c r="C14" s="23" t="str">
        <f>IF(AND(A14&gt;Constants!$B$14,A14&lt;Constants!$B$15),"PASSED","NOT PASSED")</f>
        <v>PASSED</v>
      </c>
      <c r="D14" s="28" t="s">
        <v>206</v>
      </c>
      <c r="E14" s="28" t="s">
        <v>206</v>
      </c>
      <c r="F14" s="23" t="str">
        <f t="shared" si="0"/>
        <v>OK</v>
      </c>
      <c r="G14" s="23" t="str">
        <f t="shared" si="1"/>
        <v>Identical</v>
      </c>
      <c r="H14" s="7" t="str">
        <f t="shared" si="2"/>
        <v>D6 OFF (unless fan stops)</v>
      </c>
      <c r="I14" s="7" t="str">
        <f t="shared" si="3"/>
        <v>D4 OFF (unless temp error)</v>
      </c>
      <c r="J14" s="31" t="s">
        <v>339</v>
      </c>
      <c r="K14" s="7" t="s">
        <v>340</v>
      </c>
    </row>
    <row r="15" spans="1:11" ht="28" x14ac:dyDescent="0.2">
      <c r="A15" s="25">
        <v>57</v>
      </c>
      <c r="B15" s="8">
        <f>A15*Constants!$B$30</f>
        <v>1710</v>
      </c>
      <c r="C15" s="23" t="str">
        <f>IF(AND(A15&gt;Constants!$B$14,A15&lt;Constants!$B$15),"PASSED","NOT PASSED")</f>
        <v>NOT PASSED</v>
      </c>
      <c r="D15" s="28" t="s">
        <v>230</v>
      </c>
      <c r="E15" s="28" t="s">
        <v>230</v>
      </c>
      <c r="F15" s="23" t="str">
        <f t="shared" si="0"/>
        <v>OK</v>
      </c>
      <c r="G15" s="23" t="str">
        <f t="shared" si="1"/>
        <v>Identical</v>
      </c>
      <c r="H15" s="7" t="str">
        <f t="shared" si="2"/>
        <v>D6 ON permanently</v>
      </c>
      <c r="I15" s="7" t="str">
        <f t="shared" si="3"/>
        <v>D4 ON permanently</v>
      </c>
      <c r="J15" s="31" t="s">
        <v>341</v>
      </c>
      <c r="K15" s="7" t="s">
        <v>342</v>
      </c>
    </row>
    <row r="16" spans="1:11" ht="28" x14ac:dyDescent="0.2">
      <c r="A16" s="25">
        <v>58</v>
      </c>
      <c r="B16" s="8">
        <f>A16*Constants!$B$30</f>
        <v>1740</v>
      </c>
      <c r="C16" s="23" t="str">
        <f>IF(AND(A16&gt;Constants!$B$14,A16&lt;Constants!$B$15),"PASSED","NOT PASSED")</f>
        <v>NOT PASSED</v>
      </c>
      <c r="D16" s="28" t="s">
        <v>230</v>
      </c>
      <c r="E16" s="28" t="s">
        <v>230</v>
      </c>
      <c r="F16" s="23" t="str">
        <f t="shared" si="0"/>
        <v>OK</v>
      </c>
      <c r="G16" s="23" t="str">
        <f t="shared" si="1"/>
        <v>Identical</v>
      </c>
      <c r="H16" s="7" t="str">
        <f t="shared" si="2"/>
        <v>D6 ON permanently</v>
      </c>
      <c r="I16" s="7" t="str">
        <f t="shared" si="3"/>
        <v>D4 ON permanently</v>
      </c>
      <c r="J16" s="31" t="s">
        <v>343</v>
      </c>
      <c r="K16" s="7" t="s">
        <v>344</v>
      </c>
    </row>
    <row r="17" spans="1:11" ht="28" x14ac:dyDescent="0.2">
      <c r="A17" s="25">
        <v>65</v>
      </c>
      <c r="B17" s="8">
        <f>A17*Constants!$B$30</f>
        <v>1950</v>
      </c>
      <c r="C17" s="23" t="str">
        <f>IF(AND(A17&gt;Constants!$B$14,A17&lt;Constants!$B$15),"PASSED","NOT PASSED")</f>
        <v>NOT PASSED</v>
      </c>
      <c r="D17" s="28" t="s">
        <v>230</v>
      </c>
      <c r="E17" s="28" t="s">
        <v>230</v>
      </c>
      <c r="F17" s="23" t="str">
        <f t="shared" si="0"/>
        <v>OK</v>
      </c>
      <c r="G17" s="23" t="str">
        <f t="shared" si="1"/>
        <v>Identical</v>
      </c>
      <c r="H17" s="7" t="str">
        <f t="shared" si="2"/>
        <v>D6 ON permanently</v>
      </c>
      <c r="I17" s="7" t="str">
        <f t="shared" si="3"/>
        <v>D4 ON permanently</v>
      </c>
      <c r="J17" s="31" t="s">
        <v>345</v>
      </c>
      <c r="K17" s="7" t="s">
        <v>346</v>
      </c>
    </row>
    <row r="18" spans="1:11" ht="28" x14ac:dyDescent="0.2">
      <c r="A18" s="25">
        <v>100</v>
      </c>
      <c r="B18" s="8">
        <f>A18*Constants!$B$30</f>
        <v>3000</v>
      </c>
      <c r="C18" s="23" t="str">
        <f>IF(AND(A18&gt;Constants!$B$14,A18&lt;Constants!$B$15),"PASSED","NOT PASSED")</f>
        <v>NOT PASSED</v>
      </c>
      <c r="D18" s="28" t="s">
        <v>230</v>
      </c>
      <c r="E18" s="28" t="s">
        <v>230</v>
      </c>
      <c r="F18" s="23" t="str">
        <f t="shared" si="0"/>
        <v>OK</v>
      </c>
      <c r="G18" s="23" t="str">
        <f t="shared" si="1"/>
        <v>Identical</v>
      </c>
      <c r="H18" s="7" t="str">
        <f t="shared" si="2"/>
        <v>D6 ON permanently</v>
      </c>
      <c r="I18" s="7" t="str">
        <f t="shared" si="3"/>
        <v>D4 ON permanently</v>
      </c>
      <c r="J18" s="31" t="s">
        <v>347</v>
      </c>
      <c r="K18" s="7" t="s">
        <v>348</v>
      </c>
    </row>
    <row r="19" spans="1:11" ht="28" x14ac:dyDescent="0.2">
      <c r="A19" s="25">
        <v>130</v>
      </c>
      <c r="B19" s="8">
        <f>A19*Constants!$B$30</f>
        <v>3900</v>
      </c>
      <c r="C19" s="23" t="str">
        <f>IF(AND(A19&gt;Constants!$B$14,A19&lt;Constants!$B$15),"PASSED","NOT PASSED")</f>
        <v>NOT PASSED</v>
      </c>
      <c r="D19" s="28" t="s">
        <v>230</v>
      </c>
      <c r="E19" s="28" t="s">
        <v>230</v>
      </c>
      <c r="F19" s="23" t="str">
        <f t="shared" si="0"/>
        <v>OK</v>
      </c>
      <c r="G19" s="23" t="str">
        <f t="shared" si="1"/>
        <v>Identical</v>
      </c>
      <c r="H19" s="7" t="str">
        <f t="shared" si="2"/>
        <v>D6 ON permanently</v>
      </c>
      <c r="I19" s="7" t="str">
        <f t="shared" si="3"/>
        <v>D4 ON permanently</v>
      </c>
      <c r="J19" s="31" t="s">
        <v>349</v>
      </c>
      <c r="K19" s="7" t="s">
        <v>350</v>
      </c>
    </row>
    <row r="20" spans="1:11" ht="28" x14ac:dyDescent="0.2">
      <c r="A20" s="25">
        <v>135</v>
      </c>
      <c r="B20" s="8">
        <f>A20*Constants!$B$30</f>
        <v>4050</v>
      </c>
      <c r="C20" s="23" t="str">
        <f>IF(AND(A20&gt;Constants!$B$14,A20&lt;Constants!$B$15),"PASSED","NOT PASSED")</f>
        <v>NOT PASSED</v>
      </c>
      <c r="D20" s="28" t="s">
        <v>230</v>
      </c>
      <c r="E20" s="28" t="s">
        <v>230</v>
      </c>
      <c r="F20" s="23" t="str">
        <f t="shared" si="0"/>
        <v>OK</v>
      </c>
      <c r="G20" s="23" t="str">
        <f t="shared" si="1"/>
        <v>Identical</v>
      </c>
      <c r="H20" s="7" t="str">
        <f t="shared" si="2"/>
        <v>D6 ON permanently</v>
      </c>
      <c r="I20" s="7" t="str">
        <f t="shared" si="3"/>
        <v>D4 ON permanently</v>
      </c>
      <c r="J20" s="31" t="s">
        <v>351</v>
      </c>
      <c r="K20" s="7" t="s">
        <v>350</v>
      </c>
    </row>
  </sheetData>
  <conditionalFormatting sqref="F5:G20">
    <cfRule type="expression" dxfId="10" priority="2">
      <formula>OR(NOT(ISERROR(SEARCH("Identical",F5))),NOT(ISERROR(SEARCH("Same",F5))),NOT(ISERROR(SEARCH("OK",F5))),NOT(ISERROR(SEARCH("Both error",F5))),NOT(ISERROR(SEARCH("Match",F5))))</formula>
    </cfRule>
    <cfRule type="expression" dxfId="9" priority="3">
      <formula>OR(NOT(ISERROR(SEARCH("Fixed",F5))),NOT(ISERROR(SEARCH("Changed",F5))),NOT(ISERROR(SEARCH("New:",F5))),NOT(ISERROR(SEARCH("Intended",F5))))</formula>
    </cfRule>
    <cfRule type="expression" dxfId="8" priority="4">
      <formula>OR(NOT(ISERROR(SEARCH("Different",F5))),NOT(ISERROR(SEARCH("CHECK",F5))),NOT(ISERROR(SEARCH("MISMATCH",F5))))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zoomScale="90" zoomScaleNormal="90" workbookViewId="0"/>
  </sheetViews>
  <sheetFormatPr baseColWidth="10" defaultColWidth="8.6640625" defaultRowHeight="15" x14ac:dyDescent="0.2"/>
  <cols>
    <col min="1" max="1" width="46" customWidth="1"/>
    <col min="2" max="2" width="16" customWidth="1"/>
    <col min="3" max="3" width="11" customWidth="1"/>
    <col min="4" max="4" width="66" customWidth="1"/>
  </cols>
  <sheetData>
    <row r="1" spans="1:4" ht="18" x14ac:dyDescent="0.2">
      <c r="A1" s="3" t="s">
        <v>352</v>
      </c>
    </row>
    <row r="2" spans="1:4" x14ac:dyDescent="0.2">
      <c r="A2" s="4" t="s">
        <v>353</v>
      </c>
    </row>
    <row r="4" spans="1:4" x14ac:dyDescent="0.2">
      <c r="A4" s="6" t="s">
        <v>354</v>
      </c>
      <c r="B4" s="6" t="s">
        <v>355</v>
      </c>
      <c r="C4" s="6" t="s">
        <v>356</v>
      </c>
      <c r="D4" s="6" t="s">
        <v>55</v>
      </c>
    </row>
    <row r="5" spans="1:4" x14ac:dyDescent="0.2">
      <c r="A5" s="7" t="s">
        <v>357</v>
      </c>
      <c r="B5" s="32">
        <v>989461</v>
      </c>
      <c r="C5" s="33">
        <f t="shared" ref="C5:C10" si="0">B5/$B$11</f>
        <v>0.94362354278564453</v>
      </c>
      <c r="D5" s="7" t="s">
        <v>358</v>
      </c>
    </row>
    <row r="6" spans="1:4" x14ac:dyDescent="0.2">
      <c r="A6" s="7" t="s">
        <v>359</v>
      </c>
      <c r="B6" s="32">
        <v>12603</v>
      </c>
      <c r="C6" s="33">
        <f t="shared" si="0"/>
        <v>1.2019157409667969E-2</v>
      </c>
      <c r="D6" s="7" t="s">
        <v>360</v>
      </c>
    </row>
    <row r="7" spans="1:4" x14ac:dyDescent="0.2">
      <c r="A7" s="7" t="s">
        <v>361</v>
      </c>
      <c r="B7" s="32">
        <v>0</v>
      </c>
      <c r="C7" s="33">
        <f t="shared" si="0"/>
        <v>0</v>
      </c>
      <c r="D7" s="7" t="s">
        <v>362</v>
      </c>
    </row>
    <row r="8" spans="1:4" x14ac:dyDescent="0.2">
      <c r="A8" s="7" t="s">
        <v>363</v>
      </c>
      <c r="B8" s="32">
        <v>304</v>
      </c>
      <c r="C8" s="33">
        <f t="shared" si="0"/>
        <v>2.899169921875E-4</v>
      </c>
      <c r="D8" s="7" t="s">
        <v>364</v>
      </c>
    </row>
    <row r="9" spans="1:4" x14ac:dyDescent="0.2">
      <c r="A9" s="7" t="s">
        <v>365</v>
      </c>
      <c r="B9" s="32">
        <v>46208</v>
      </c>
      <c r="C9" s="33">
        <f t="shared" si="0"/>
        <v>4.40673828125E-2</v>
      </c>
      <c r="D9" s="7" t="s">
        <v>366</v>
      </c>
    </row>
    <row r="10" spans="1:4" x14ac:dyDescent="0.2">
      <c r="A10" s="7" t="s">
        <v>367</v>
      </c>
      <c r="B10" s="32">
        <v>0</v>
      </c>
      <c r="C10" s="33">
        <f t="shared" si="0"/>
        <v>0</v>
      </c>
      <c r="D10" s="7" t="s">
        <v>368</v>
      </c>
    </row>
    <row r="11" spans="1:4" x14ac:dyDescent="0.2">
      <c r="A11" s="34" t="s">
        <v>369</v>
      </c>
      <c r="B11" s="8">
        <f>SUM(B5:B10)</f>
        <v>1048576</v>
      </c>
      <c r="C11" s="33">
        <f>SUM(C5:C10)</f>
        <v>1</v>
      </c>
    </row>
    <row r="12" spans="1:4" x14ac:dyDescent="0.2">
      <c r="A12" s="7" t="s">
        <v>370</v>
      </c>
      <c r="B12" s="23" t="str">
        <f>IF(B11=1024*1024,"OK","CHECK")</f>
        <v>OK</v>
      </c>
    </row>
    <row r="13" spans="1:4" x14ac:dyDescent="0.2">
      <c r="A13" s="34" t="s">
        <v>371</v>
      </c>
      <c r="B13" s="1" t="str">
        <f>IF(AND(B7=0,B10=0),"Match: identical to v0.2.1 for every valid reading","MISMATCH")</f>
        <v>Match: identical to v0.2.1 for every valid reading</v>
      </c>
      <c r="C13" s="1"/>
      <c r="D13" s="1"/>
    </row>
  </sheetData>
  <mergeCells count="1">
    <mergeCell ref="B13:D13"/>
  </mergeCells>
  <conditionalFormatting sqref="B12:B13">
    <cfRule type="expression" dxfId="7" priority="2">
      <formula>OR(NOT(ISERROR(SEARCH("Identical",B12))),NOT(ISERROR(SEARCH("Same",B12))),NOT(ISERROR(SEARCH("OK",B12))),NOT(ISERROR(SEARCH("Both error",B12))),NOT(ISERROR(SEARCH("Match",B12))))</formula>
    </cfRule>
    <cfRule type="expression" dxfId="6" priority="3">
      <formula>OR(NOT(ISERROR(SEARCH("Fixed",B12))),NOT(ISERROR(SEARCH("Changed",B12))),NOT(ISERROR(SEARCH("New:",B12))),NOT(ISERROR(SEARCH("Intended",B12))))</formula>
    </cfRule>
    <cfRule type="expression" dxfId="5" priority="4">
      <formula>OR(NOT(ISERROR(SEARCH("Different",B12))),NOT(ISERROR(SEARCH("CHECK",B12))),NOT(ISERROR(SEARCH("MISMATCH",B12))))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zoomScale="90" zoomScaleNormal="90" workbookViewId="0"/>
  </sheetViews>
  <sheetFormatPr baseColWidth="10" defaultColWidth="8.6640625" defaultRowHeight="15" x14ac:dyDescent="0.2"/>
  <cols>
    <col min="1" max="1" width="62" customWidth="1"/>
    <col min="2" max="3" width="15" customWidth="1"/>
    <col min="4" max="4" width="62" customWidth="1"/>
  </cols>
  <sheetData>
    <row r="1" spans="1:4" ht="18" x14ac:dyDescent="0.2">
      <c r="A1" s="3" t="s">
        <v>372</v>
      </c>
    </row>
    <row r="2" spans="1:4" x14ac:dyDescent="0.2">
      <c r="A2" s="4" t="s">
        <v>373</v>
      </c>
    </row>
    <row r="4" spans="1:4" x14ac:dyDescent="0.2">
      <c r="A4" s="6" t="s">
        <v>374</v>
      </c>
      <c r="B4" s="6" t="s">
        <v>375</v>
      </c>
      <c r="C4" s="6" t="s">
        <v>376</v>
      </c>
      <c r="D4" s="6" t="s">
        <v>56</v>
      </c>
    </row>
    <row r="5" spans="1:4" x14ac:dyDescent="0.2">
      <c r="A5" s="7" t="s">
        <v>377</v>
      </c>
      <c r="B5" s="8">
        <f>Constants!$B$17</f>
        <v>300</v>
      </c>
      <c r="C5" s="8">
        <f>B5</f>
        <v>300</v>
      </c>
      <c r="D5" s="7" t="s">
        <v>98</v>
      </c>
    </row>
    <row r="6" spans="1:4" x14ac:dyDescent="0.2">
      <c r="A6" s="7" t="s">
        <v>378</v>
      </c>
      <c r="B6" s="8">
        <f>Constants!$B$18</f>
        <v>3000</v>
      </c>
      <c r="C6" s="8">
        <f>C5+B6</f>
        <v>3300</v>
      </c>
      <c r="D6" s="7" t="s">
        <v>102</v>
      </c>
    </row>
    <row r="7" spans="1:4" x14ac:dyDescent="0.2">
      <c r="A7" s="7" t="s">
        <v>379</v>
      </c>
      <c r="B7" s="8">
        <f>Constants!$B$19</f>
        <v>1000</v>
      </c>
      <c r="C7" s="8">
        <f>C6+B7</f>
        <v>4300</v>
      </c>
      <c r="D7" s="7" t="s">
        <v>105</v>
      </c>
    </row>
    <row r="8" spans="1:4" x14ac:dyDescent="0.2">
      <c r="A8" s="7" t="s">
        <v>380</v>
      </c>
      <c r="B8" s="8">
        <f>Constants!$B$20</f>
        <v>1000</v>
      </c>
      <c r="C8" s="8">
        <f>C7+B8</f>
        <v>5300</v>
      </c>
      <c r="D8" s="7" t="s">
        <v>108</v>
      </c>
    </row>
    <row r="9" spans="1:4" x14ac:dyDescent="0.2">
      <c r="A9" s="34" t="s">
        <v>381</v>
      </c>
      <c r="B9" s="8">
        <f>SUM(B5:B8)</f>
        <v>5300</v>
      </c>
    </row>
    <row r="10" spans="1:4" x14ac:dyDescent="0.2">
      <c r="A10" s="7" t="s">
        <v>382</v>
      </c>
      <c r="B10" s="23" t="str">
        <f>IF(B9&lt;Constants!$B$26,"yes","no")</f>
        <v>yes</v>
      </c>
    </row>
    <row r="11" spans="1:4" ht="28" x14ac:dyDescent="0.2">
      <c r="A11" s="7" t="s">
        <v>383</v>
      </c>
      <c r="B11" s="23" t="str">
        <f>IF(B9&lt;16,"yes","NO → reset loop")</f>
        <v>NO → reset loop</v>
      </c>
    </row>
    <row r="13" spans="1:4" x14ac:dyDescent="0.2">
      <c r="A13" s="6" t="s">
        <v>384</v>
      </c>
      <c r="B13" s="6" t="s">
        <v>385</v>
      </c>
      <c r="C13" s="6" t="s">
        <v>386</v>
      </c>
      <c r="D13" s="6" t="s">
        <v>387</v>
      </c>
    </row>
    <row r="14" spans="1:4" x14ac:dyDescent="0.2">
      <c r="A14" s="7" t="s">
        <v>388</v>
      </c>
      <c r="B14" s="35">
        <v>0.5</v>
      </c>
      <c r="C14" s="35">
        <v>0.5</v>
      </c>
      <c r="D14" s="7" t="s">
        <v>389</v>
      </c>
    </row>
    <row r="15" spans="1:4" x14ac:dyDescent="0.2">
      <c r="A15" s="7" t="s">
        <v>390</v>
      </c>
      <c r="B15" s="36">
        <f>2*Constants!$B$22+Constants!$B$23</f>
        <v>1050</v>
      </c>
      <c r="C15" s="36">
        <f>2*Constants!$B$22+Constants!$B$23</f>
        <v>1050</v>
      </c>
      <c r="D15" s="7" t="s">
        <v>391</v>
      </c>
    </row>
    <row r="16" spans="1:4" x14ac:dyDescent="0.2">
      <c r="A16" s="7" t="s">
        <v>392</v>
      </c>
      <c r="B16" s="35">
        <v>0</v>
      </c>
      <c r="C16" s="35">
        <v>200</v>
      </c>
      <c r="D16" s="7" t="s">
        <v>393</v>
      </c>
    </row>
    <row r="17" spans="1:4" x14ac:dyDescent="0.2">
      <c r="A17" s="7" t="s">
        <v>111</v>
      </c>
      <c r="B17" s="36">
        <f>Constants!$B$21</f>
        <v>5000</v>
      </c>
      <c r="C17" s="36">
        <f>Constants!$B$21</f>
        <v>5000</v>
      </c>
      <c r="D17" s="7" t="s">
        <v>394</v>
      </c>
    </row>
    <row r="18" spans="1:4" x14ac:dyDescent="0.2">
      <c r="A18" s="34" t="s">
        <v>395</v>
      </c>
      <c r="B18" s="36">
        <f>SUM(B14:B17)</f>
        <v>6050.5</v>
      </c>
      <c r="C18" s="36">
        <f>SUM(C14:C17)</f>
        <v>6250.5</v>
      </c>
    </row>
    <row r="19" spans="1:4" x14ac:dyDescent="0.2">
      <c r="A19" s="7" t="s">
        <v>396</v>
      </c>
      <c r="B19" s="8">
        <f>Constants!$B$26</f>
        <v>8000</v>
      </c>
      <c r="C19" s="8">
        <f>Constants!$B$26</f>
        <v>8000</v>
      </c>
    </row>
    <row r="20" spans="1:4" x14ac:dyDescent="0.2">
      <c r="A20" s="7" t="s">
        <v>397</v>
      </c>
      <c r="B20" s="36">
        <f>B19-B18</f>
        <v>1949.5</v>
      </c>
      <c r="C20" s="36">
        <f>C19-C18</f>
        <v>1749.5</v>
      </c>
    </row>
    <row r="21" spans="1:4" x14ac:dyDescent="0.2">
      <c r="A21" s="7" t="s">
        <v>398</v>
      </c>
      <c r="B21" s="24">
        <f>B20/B19</f>
        <v>0.2436875</v>
      </c>
      <c r="C21" s="24">
        <f>C20/C19</f>
        <v>0.21868750000000001</v>
      </c>
    </row>
    <row r="22" spans="1:4" x14ac:dyDescent="0.2">
      <c r="A22" s="34" t="s">
        <v>399</v>
      </c>
      <c r="B22" s="23" t="str">
        <f>IF(B18&lt;B19,"OK","CHECK")</f>
        <v>OK</v>
      </c>
      <c r="C22" s="23" t="str">
        <f>IF(C18&lt;C19,"OK","CHECK")</f>
        <v>OK</v>
      </c>
    </row>
    <row r="24" spans="1:4" x14ac:dyDescent="0.2">
      <c r="A24" s="4" t="s">
        <v>400</v>
      </c>
    </row>
  </sheetData>
  <conditionalFormatting sqref="B22:C22">
    <cfRule type="expression" dxfId="4" priority="2">
      <formula>OR(NOT(ISERROR(SEARCH("Identical",B22))),NOT(ISERROR(SEARCH("Same",B22))),NOT(ISERROR(SEARCH("OK",B22))),NOT(ISERROR(SEARCH("Both error",B22))),NOT(ISERROR(SEARCH("Match",B22))))</formula>
    </cfRule>
    <cfRule type="expression" dxfId="3" priority="3">
      <formula>OR(NOT(ISERROR(SEARCH("Fixed",B22))),NOT(ISERROR(SEARCH("Changed",B22))),NOT(ISERROR(SEARCH("New:",B22))),NOT(ISERROR(SEARCH("Intended",B22))))</formula>
    </cfRule>
    <cfRule type="expression" dxfId="2" priority="4">
      <formula>OR(NOT(ISERROR(SEARCH("Different",B22))),NOT(ISERROR(SEARCH("CHECK",B22))),NOT(ISERROR(SEARCH("MISMATCH",B22))))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3"/>
  <sheetViews>
    <sheetView zoomScale="90" zoomScaleNormal="9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2" customWidth="1"/>
    <col min="2" max="2" width="6" customWidth="1"/>
    <col min="3" max="3" width="60" customWidth="1"/>
  </cols>
  <sheetData>
    <row r="1" spans="1:3" ht="18" x14ac:dyDescent="0.2">
      <c r="A1" s="3" t="s">
        <v>401</v>
      </c>
    </row>
    <row r="2" spans="1:3" x14ac:dyDescent="0.2">
      <c r="A2" s="4" t="s">
        <v>402</v>
      </c>
    </row>
    <row r="4" spans="1:3" x14ac:dyDescent="0.2">
      <c r="A4" s="6" t="s">
        <v>246</v>
      </c>
      <c r="B4" s="6" t="s">
        <v>403</v>
      </c>
      <c r="C4" s="6" t="s">
        <v>404</v>
      </c>
    </row>
    <row r="5" spans="1:3" x14ac:dyDescent="0.2">
      <c r="A5" s="7" t="s">
        <v>405</v>
      </c>
      <c r="B5" s="23">
        <v>1</v>
      </c>
      <c r="C5" s="37" t="s">
        <v>406</v>
      </c>
    </row>
    <row r="6" spans="1:3" x14ac:dyDescent="0.2">
      <c r="A6" s="7"/>
      <c r="B6" s="23">
        <v>2</v>
      </c>
      <c r="C6" s="37" t="s">
        <v>407</v>
      </c>
    </row>
    <row r="8" spans="1:3" x14ac:dyDescent="0.2">
      <c r="A8" s="7" t="s">
        <v>408</v>
      </c>
      <c r="B8" s="23">
        <v>1</v>
      </c>
      <c r="C8" s="37" t="s">
        <v>409</v>
      </c>
    </row>
    <row r="9" spans="1:3" x14ac:dyDescent="0.2">
      <c r="A9" s="7"/>
      <c r="B9" s="23">
        <v>2</v>
      </c>
      <c r="C9" s="37" t="s">
        <v>410</v>
      </c>
    </row>
    <row r="11" spans="1:3" x14ac:dyDescent="0.2">
      <c r="A11" s="7" t="s">
        <v>411</v>
      </c>
      <c r="B11" s="23">
        <v>1</v>
      </c>
      <c r="C11" s="37" t="s">
        <v>412</v>
      </c>
    </row>
    <row r="12" spans="1:3" x14ac:dyDescent="0.2">
      <c r="A12" s="7"/>
      <c r="B12" s="23">
        <v>2</v>
      </c>
      <c r="C12" s="37" t="s">
        <v>413</v>
      </c>
    </row>
    <row r="13" spans="1:3" x14ac:dyDescent="0.2">
      <c r="A13" s="7"/>
      <c r="B13" s="23">
        <v>3</v>
      </c>
      <c r="C13" s="37" t="s">
        <v>414</v>
      </c>
    </row>
    <row r="14" spans="1:3" x14ac:dyDescent="0.2">
      <c r="A14" s="7"/>
      <c r="B14" s="23">
        <v>4</v>
      </c>
      <c r="C14" s="37" t="s">
        <v>415</v>
      </c>
    </row>
    <row r="16" spans="1:3" x14ac:dyDescent="0.2">
      <c r="A16" s="7" t="s">
        <v>416</v>
      </c>
      <c r="B16" s="23">
        <v>1</v>
      </c>
      <c r="C16" s="37" t="s">
        <v>412</v>
      </c>
    </row>
    <row r="17" spans="1:3" x14ac:dyDescent="0.2">
      <c r="A17" s="7"/>
      <c r="B17" s="23">
        <v>2</v>
      </c>
      <c r="C17" s="37" t="s">
        <v>417</v>
      </c>
    </row>
    <row r="18" spans="1:3" x14ac:dyDescent="0.2">
      <c r="A18" s="7"/>
      <c r="B18" s="23">
        <v>3</v>
      </c>
      <c r="C18" s="37" t="s">
        <v>418</v>
      </c>
    </row>
    <row r="19" spans="1:3" x14ac:dyDescent="0.2">
      <c r="A19" s="7"/>
      <c r="B19" s="23">
        <v>4</v>
      </c>
      <c r="C19" s="37" t="s">
        <v>419</v>
      </c>
    </row>
    <row r="20" spans="1:3" x14ac:dyDescent="0.2">
      <c r="A20" s="7"/>
      <c r="B20" s="23">
        <v>5</v>
      </c>
      <c r="C20" s="37" t="s">
        <v>415</v>
      </c>
    </row>
    <row r="22" spans="1:3" x14ac:dyDescent="0.2">
      <c r="A22" s="7" t="s">
        <v>420</v>
      </c>
      <c r="B22" s="23">
        <v>1</v>
      </c>
      <c r="C22" s="37" t="s">
        <v>412</v>
      </c>
    </row>
    <row r="23" spans="1:3" x14ac:dyDescent="0.2">
      <c r="A23" s="7"/>
      <c r="B23" s="23">
        <v>2</v>
      </c>
      <c r="C23" s="37" t="s">
        <v>421</v>
      </c>
    </row>
    <row r="24" spans="1:3" x14ac:dyDescent="0.2">
      <c r="A24" s="7"/>
      <c r="B24" s="23">
        <v>3</v>
      </c>
      <c r="C24" s="37" t="s">
        <v>422</v>
      </c>
    </row>
    <row r="25" spans="1:3" x14ac:dyDescent="0.2">
      <c r="A25" s="7"/>
      <c r="B25" s="23">
        <v>4</v>
      </c>
      <c r="C25" s="37" t="s">
        <v>423</v>
      </c>
    </row>
    <row r="26" spans="1:3" x14ac:dyDescent="0.2">
      <c r="A26" s="7"/>
      <c r="B26" s="23">
        <v>5</v>
      </c>
      <c r="C26" s="37" t="s">
        <v>424</v>
      </c>
    </row>
    <row r="27" spans="1:3" x14ac:dyDescent="0.2">
      <c r="A27" s="7"/>
      <c r="B27" s="23">
        <v>6</v>
      </c>
      <c r="C27" s="37" t="s">
        <v>425</v>
      </c>
    </row>
    <row r="28" spans="1:3" x14ac:dyDescent="0.2">
      <c r="A28" s="7"/>
      <c r="B28" s="23">
        <v>7</v>
      </c>
      <c r="C28" s="37" t="s">
        <v>415</v>
      </c>
    </row>
    <row r="30" spans="1:3" x14ac:dyDescent="0.2">
      <c r="A30" s="7" t="s">
        <v>426</v>
      </c>
      <c r="B30" s="23">
        <v>1</v>
      </c>
      <c r="C30" s="37" t="s">
        <v>412</v>
      </c>
    </row>
    <row r="31" spans="1:3" x14ac:dyDescent="0.2">
      <c r="A31" s="7"/>
      <c r="B31" s="23">
        <v>2</v>
      </c>
      <c r="C31" s="37" t="s">
        <v>427</v>
      </c>
    </row>
    <row r="32" spans="1:3" x14ac:dyDescent="0.2">
      <c r="A32" s="7"/>
      <c r="B32" s="23">
        <v>3</v>
      </c>
      <c r="C32" s="37" t="s">
        <v>413</v>
      </c>
    </row>
    <row r="33" spans="1:3" x14ac:dyDescent="0.2">
      <c r="A33" s="7"/>
      <c r="B33" s="23">
        <v>4</v>
      </c>
      <c r="C33" s="37" t="s">
        <v>414</v>
      </c>
    </row>
    <row r="34" spans="1:3" x14ac:dyDescent="0.2">
      <c r="A34" s="7"/>
      <c r="B34" s="23">
        <v>5</v>
      </c>
      <c r="C34" s="37" t="s">
        <v>415</v>
      </c>
    </row>
    <row r="36" spans="1:3" x14ac:dyDescent="0.2">
      <c r="A36" s="7" t="s">
        <v>428</v>
      </c>
      <c r="B36" s="23">
        <v>1</v>
      </c>
      <c r="C36" s="37" t="s">
        <v>412</v>
      </c>
    </row>
    <row r="37" spans="1:3" x14ac:dyDescent="0.2">
      <c r="A37" s="7"/>
      <c r="B37" s="23">
        <v>2</v>
      </c>
      <c r="C37" s="37" t="s">
        <v>427</v>
      </c>
    </row>
    <row r="38" spans="1:3" x14ac:dyDescent="0.2">
      <c r="A38" s="7"/>
      <c r="B38" s="23">
        <v>3</v>
      </c>
      <c r="C38" s="37" t="s">
        <v>429</v>
      </c>
    </row>
    <row r="39" spans="1:3" x14ac:dyDescent="0.2">
      <c r="A39" s="7"/>
      <c r="B39" s="23">
        <v>4</v>
      </c>
      <c r="C39" s="37" t="s">
        <v>430</v>
      </c>
    </row>
    <row r="40" spans="1:3" x14ac:dyDescent="0.2">
      <c r="A40" s="7"/>
      <c r="B40" s="23">
        <v>5</v>
      </c>
      <c r="C40" s="37" t="s">
        <v>431</v>
      </c>
    </row>
    <row r="42" spans="1:3" x14ac:dyDescent="0.2">
      <c r="A42" s="7" t="s">
        <v>432</v>
      </c>
      <c r="B42" s="23">
        <v>1</v>
      </c>
      <c r="C42" s="37" t="s">
        <v>412</v>
      </c>
    </row>
    <row r="43" spans="1:3" x14ac:dyDescent="0.2">
      <c r="A43" s="7"/>
      <c r="B43" s="23">
        <v>2</v>
      </c>
      <c r="C43" s="37" t="s">
        <v>417</v>
      </c>
    </row>
    <row r="44" spans="1:3" x14ac:dyDescent="0.2">
      <c r="A44" s="7"/>
      <c r="B44" s="23">
        <v>3</v>
      </c>
      <c r="C44" s="37" t="s">
        <v>427</v>
      </c>
    </row>
    <row r="45" spans="1:3" x14ac:dyDescent="0.2">
      <c r="A45" s="7"/>
      <c r="B45" s="23">
        <v>4</v>
      </c>
      <c r="C45" s="37" t="s">
        <v>418</v>
      </c>
    </row>
    <row r="46" spans="1:3" x14ac:dyDescent="0.2">
      <c r="A46" s="7"/>
      <c r="B46" s="23">
        <v>5</v>
      </c>
      <c r="C46" s="37" t="s">
        <v>419</v>
      </c>
    </row>
    <row r="47" spans="1:3" x14ac:dyDescent="0.2">
      <c r="A47" s="7"/>
      <c r="B47" s="23">
        <v>6</v>
      </c>
      <c r="C47" s="37" t="s">
        <v>431</v>
      </c>
    </row>
    <row r="49" spans="1:3" x14ac:dyDescent="0.2">
      <c r="A49" s="7" t="s">
        <v>433</v>
      </c>
      <c r="B49" s="23">
        <v>1</v>
      </c>
      <c r="C49" s="37" t="s">
        <v>412</v>
      </c>
    </row>
    <row r="50" spans="1:3" x14ac:dyDescent="0.2">
      <c r="A50" s="7"/>
      <c r="B50" s="23">
        <v>2</v>
      </c>
      <c r="C50" s="37" t="s">
        <v>427</v>
      </c>
    </row>
    <row r="51" spans="1:3" x14ac:dyDescent="0.2">
      <c r="A51" s="7"/>
      <c r="B51" s="23">
        <v>3</v>
      </c>
      <c r="C51" s="37" t="s">
        <v>429</v>
      </c>
    </row>
    <row r="52" spans="1:3" x14ac:dyDescent="0.2">
      <c r="A52" s="7"/>
      <c r="B52" s="23">
        <v>4</v>
      </c>
      <c r="C52" s="37" t="s">
        <v>430</v>
      </c>
    </row>
    <row r="53" spans="1:3" x14ac:dyDescent="0.2">
      <c r="A53" s="7"/>
      <c r="B53" s="23">
        <v>5</v>
      </c>
      <c r="C53" s="37" t="s">
        <v>431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zoomScale="90" zoomScaleNormal="90" workbookViewId="0"/>
  </sheetViews>
  <sheetFormatPr baseColWidth="10" defaultColWidth="8.6640625" defaultRowHeight="15" x14ac:dyDescent="0.2"/>
  <cols>
    <col min="1" max="1" width="4" customWidth="1"/>
    <col min="2" max="2" width="26" customWidth="1"/>
    <col min="3" max="3" width="44" customWidth="1"/>
    <col min="4" max="4" width="46" customWidth="1"/>
    <col min="5" max="5" width="44" customWidth="1"/>
    <col min="6" max="6" width="20" customWidth="1"/>
  </cols>
  <sheetData>
    <row r="1" spans="1:6" ht="18" x14ac:dyDescent="0.2">
      <c r="A1" s="3" t="s">
        <v>434</v>
      </c>
    </row>
    <row r="2" spans="1:6" x14ac:dyDescent="0.2">
      <c r="A2" s="4" t="s">
        <v>435</v>
      </c>
    </row>
    <row r="4" spans="1:6" x14ac:dyDescent="0.2">
      <c r="A4" s="6" t="s">
        <v>160</v>
      </c>
      <c r="B4" s="6" t="s">
        <v>436</v>
      </c>
      <c r="C4" s="6" t="s">
        <v>437</v>
      </c>
      <c r="D4" s="6" t="s">
        <v>438</v>
      </c>
      <c r="E4" s="6" t="s">
        <v>439</v>
      </c>
      <c r="F4" s="6" t="s">
        <v>440</v>
      </c>
    </row>
    <row r="5" spans="1:6" ht="28" x14ac:dyDescent="0.2">
      <c r="A5" s="23">
        <v>1</v>
      </c>
      <c r="B5" s="7" t="s">
        <v>441</v>
      </c>
      <c r="C5" s="7" t="s">
        <v>442</v>
      </c>
      <c r="D5" s="7" t="s">
        <v>443</v>
      </c>
      <c r="E5" s="7" t="s">
        <v>444</v>
      </c>
      <c r="F5" s="7" t="s">
        <v>445</v>
      </c>
    </row>
    <row r="6" spans="1:6" x14ac:dyDescent="0.2">
      <c r="A6" s="23">
        <v>2</v>
      </c>
      <c r="B6" s="7" t="s">
        <v>446</v>
      </c>
      <c r="C6" s="7" t="s">
        <v>447</v>
      </c>
      <c r="D6" s="7" t="s">
        <v>448</v>
      </c>
      <c r="E6" s="7" t="s">
        <v>449</v>
      </c>
      <c r="F6" s="7" t="s">
        <v>450</v>
      </c>
    </row>
    <row r="7" spans="1:6" ht="28" x14ac:dyDescent="0.2">
      <c r="A7" s="23">
        <v>3</v>
      </c>
      <c r="B7" s="7" t="s">
        <v>451</v>
      </c>
      <c r="C7" s="7" t="s">
        <v>452</v>
      </c>
      <c r="D7" s="7" t="s">
        <v>453</v>
      </c>
      <c r="E7" s="7" t="s">
        <v>454</v>
      </c>
      <c r="F7" s="7" t="s">
        <v>455</v>
      </c>
    </row>
    <row r="8" spans="1:6" ht="28" x14ac:dyDescent="0.2">
      <c r="A8" s="23">
        <v>4</v>
      </c>
      <c r="B8" s="7" t="s">
        <v>456</v>
      </c>
      <c r="C8" s="7" t="s">
        <v>457</v>
      </c>
      <c r="D8" s="7" t="s">
        <v>458</v>
      </c>
      <c r="E8" s="7" t="s">
        <v>459</v>
      </c>
      <c r="F8" s="7" t="s">
        <v>455</v>
      </c>
    </row>
    <row r="9" spans="1:6" x14ac:dyDescent="0.2">
      <c r="A9" s="23">
        <v>5</v>
      </c>
      <c r="B9" s="7" t="s">
        <v>460</v>
      </c>
      <c r="C9" s="7" t="s">
        <v>461</v>
      </c>
      <c r="D9" s="7" t="s">
        <v>462</v>
      </c>
      <c r="E9" s="7" t="s">
        <v>463</v>
      </c>
      <c r="F9" s="7" t="s">
        <v>464</v>
      </c>
    </row>
    <row r="10" spans="1:6" x14ac:dyDescent="0.2">
      <c r="A10" s="23">
        <v>6</v>
      </c>
      <c r="B10" s="7" t="s">
        <v>465</v>
      </c>
      <c r="C10" s="7" t="s">
        <v>466</v>
      </c>
      <c r="D10" s="7" t="s">
        <v>467</v>
      </c>
      <c r="E10" s="7" t="s">
        <v>468</v>
      </c>
      <c r="F10" s="7" t="s">
        <v>450</v>
      </c>
    </row>
    <row r="11" spans="1:6" ht="28" x14ac:dyDescent="0.2">
      <c r="A11" s="23">
        <v>7</v>
      </c>
      <c r="B11" s="7" t="s">
        <v>469</v>
      </c>
      <c r="C11" s="7" t="s">
        <v>470</v>
      </c>
      <c r="D11" s="7" t="s">
        <v>471</v>
      </c>
      <c r="E11" s="7" t="s">
        <v>472</v>
      </c>
      <c r="F11" s="7" t="s">
        <v>473</v>
      </c>
    </row>
    <row r="12" spans="1:6" ht="28" x14ac:dyDescent="0.2">
      <c r="A12" s="23">
        <v>8</v>
      </c>
      <c r="B12" s="7" t="s">
        <v>474</v>
      </c>
      <c r="C12" s="7" t="s">
        <v>475</v>
      </c>
      <c r="D12" s="7" t="s">
        <v>476</v>
      </c>
      <c r="E12" s="7" t="s">
        <v>477</v>
      </c>
      <c r="F12" s="7" t="s">
        <v>455</v>
      </c>
    </row>
    <row r="13" spans="1:6" x14ac:dyDescent="0.2">
      <c r="A13" s="23">
        <v>9</v>
      </c>
      <c r="B13" s="7" t="s">
        <v>478</v>
      </c>
      <c r="C13" s="7" t="s">
        <v>479</v>
      </c>
      <c r="D13" s="7" t="s">
        <v>480</v>
      </c>
      <c r="E13" s="7" t="s">
        <v>481</v>
      </c>
      <c r="F13" s="7" t="s">
        <v>482</v>
      </c>
    </row>
    <row r="14" spans="1:6" x14ac:dyDescent="0.2">
      <c r="A14" s="23">
        <v>10</v>
      </c>
      <c r="B14" s="7" t="s">
        <v>483</v>
      </c>
      <c r="C14" s="7" t="s">
        <v>484</v>
      </c>
      <c r="D14" s="7" t="s">
        <v>485</v>
      </c>
      <c r="E14" s="7" t="s">
        <v>486</v>
      </c>
      <c r="F14" s="7" t="s">
        <v>482</v>
      </c>
    </row>
    <row r="15" spans="1:6" x14ac:dyDescent="0.2">
      <c r="A15" s="23">
        <v>11</v>
      </c>
      <c r="B15" s="7" t="s">
        <v>487</v>
      </c>
      <c r="C15" s="7" t="s">
        <v>488</v>
      </c>
      <c r="D15" s="7" t="s">
        <v>489</v>
      </c>
      <c r="E15" s="7" t="s">
        <v>490</v>
      </c>
      <c r="F15" s="7" t="s">
        <v>482</v>
      </c>
    </row>
    <row r="16" spans="1:6" x14ac:dyDescent="0.2">
      <c r="A16" s="23">
        <v>12</v>
      </c>
      <c r="B16" s="7" t="s">
        <v>491</v>
      </c>
      <c r="C16" s="7" t="s">
        <v>492</v>
      </c>
      <c r="D16" s="7" t="s">
        <v>493</v>
      </c>
      <c r="E16" s="7" t="s">
        <v>494</v>
      </c>
      <c r="F16" s="7" t="s">
        <v>495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"/>
  <sheetViews>
    <sheetView zoomScale="90" zoomScaleNormal="90" workbookViewId="0"/>
  </sheetViews>
  <sheetFormatPr baseColWidth="10" defaultColWidth="8.6640625" defaultRowHeight="15" x14ac:dyDescent="0.2"/>
  <cols>
    <col min="1" max="1" width="4" customWidth="1"/>
    <col min="2" max="2" width="58" customWidth="1"/>
    <col min="3" max="3" width="20" customWidth="1"/>
    <col min="4" max="4" width="18" customWidth="1"/>
    <col min="5" max="5" width="26" customWidth="1"/>
  </cols>
  <sheetData>
    <row r="1" spans="1:5" ht="18" x14ac:dyDescent="0.2">
      <c r="A1" s="3" t="s">
        <v>496</v>
      </c>
    </row>
    <row r="2" spans="1:5" x14ac:dyDescent="0.2">
      <c r="A2" s="4" t="s">
        <v>497</v>
      </c>
    </row>
    <row r="4" spans="1:5" x14ac:dyDescent="0.2">
      <c r="A4" s="6" t="s">
        <v>160</v>
      </c>
      <c r="B4" s="6" t="s">
        <v>498</v>
      </c>
      <c r="C4" s="6" t="s">
        <v>499</v>
      </c>
      <c r="D4" s="6" t="s">
        <v>500</v>
      </c>
      <c r="E4" s="6" t="s">
        <v>399</v>
      </c>
    </row>
    <row r="5" spans="1:5" x14ac:dyDescent="0.2">
      <c r="A5" s="23">
        <v>1</v>
      </c>
      <c r="B5" s="7" t="s">
        <v>501</v>
      </c>
      <c r="C5" s="7" t="s">
        <v>502</v>
      </c>
      <c r="D5" s="7" t="s">
        <v>503</v>
      </c>
      <c r="E5" s="23" t="s">
        <v>504</v>
      </c>
    </row>
    <row r="6" spans="1:5" x14ac:dyDescent="0.2">
      <c r="A6" s="23">
        <v>2</v>
      </c>
      <c r="B6" s="7" t="s">
        <v>505</v>
      </c>
      <c r="C6" s="7" t="s">
        <v>506</v>
      </c>
      <c r="D6" s="7" t="s">
        <v>503</v>
      </c>
      <c r="E6" s="23" t="s">
        <v>504</v>
      </c>
    </row>
    <row r="7" spans="1:5" x14ac:dyDescent="0.2">
      <c r="A7" s="23">
        <v>3</v>
      </c>
      <c r="B7" s="7" t="s">
        <v>507</v>
      </c>
      <c r="C7" s="7" t="s">
        <v>508</v>
      </c>
      <c r="D7" s="7" t="s">
        <v>503</v>
      </c>
      <c r="E7" s="23" t="s">
        <v>504</v>
      </c>
    </row>
    <row r="8" spans="1:5" x14ac:dyDescent="0.2">
      <c r="A8" s="23">
        <v>4</v>
      </c>
      <c r="B8" s="7" t="s">
        <v>509</v>
      </c>
      <c r="C8" s="7" t="s">
        <v>510</v>
      </c>
      <c r="D8" s="7" t="s">
        <v>503</v>
      </c>
      <c r="E8" s="23" t="s">
        <v>504</v>
      </c>
    </row>
    <row r="9" spans="1:5" x14ac:dyDescent="0.2">
      <c r="A9" s="23">
        <v>5</v>
      </c>
      <c r="B9" s="7" t="s">
        <v>511</v>
      </c>
      <c r="C9" s="7" t="s">
        <v>512</v>
      </c>
      <c r="D9" s="7" t="s">
        <v>503</v>
      </c>
      <c r="E9" s="23" t="s">
        <v>504</v>
      </c>
    </row>
    <row r="10" spans="1:5" x14ac:dyDescent="0.2">
      <c r="A10" s="23">
        <v>6</v>
      </c>
      <c r="B10" s="7" t="s">
        <v>513</v>
      </c>
      <c r="C10" s="7" t="s">
        <v>514</v>
      </c>
      <c r="D10" s="7" t="s">
        <v>515</v>
      </c>
      <c r="E10" s="23" t="s">
        <v>504</v>
      </c>
    </row>
    <row r="11" spans="1:5" x14ac:dyDescent="0.2">
      <c r="A11" s="23">
        <v>7</v>
      </c>
      <c r="B11" s="7" t="s">
        <v>516</v>
      </c>
      <c r="C11" s="7" t="s">
        <v>517</v>
      </c>
      <c r="D11" s="7" t="s">
        <v>515</v>
      </c>
      <c r="E11" s="23" t="s">
        <v>504</v>
      </c>
    </row>
    <row r="12" spans="1:5" x14ac:dyDescent="0.2">
      <c r="A12" s="23">
        <v>8</v>
      </c>
      <c r="B12" s="7" t="s">
        <v>518</v>
      </c>
      <c r="C12" s="7" t="s">
        <v>519</v>
      </c>
      <c r="D12" s="7" t="s">
        <v>520</v>
      </c>
      <c r="E12" s="23" t="s">
        <v>504</v>
      </c>
    </row>
    <row r="13" spans="1:5" x14ac:dyDescent="0.2">
      <c r="A13" s="23">
        <v>9</v>
      </c>
      <c r="B13" s="7" t="s">
        <v>521</v>
      </c>
      <c r="C13" s="7" t="s">
        <v>522</v>
      </c>
      <c r="D13" s="7" t="s">
        <v>520</v>
      </c>
      <c r="E13" s="23" t="s">
        <v>504</v>
      </c>
    </row>
    <row r="14" spans="1:5" x14ac:dyDescent="0.2">
      <c r="A14" s="23">
        <v>10</v>
      </c>
      <c r="B14" s="7" t="s">
        <v>523</v>
      </c>
      <c r="C14" s="7" t="s">
        <v>524</v>
      </c>
      <c r="D14" s="7" t="s">
        <v>520</v>
      </c>
      <c r="E14" s="23" t="s">
        <v>504</v>
      </c>
    </row>
    <row r="15" spans="1:5" x14ac:dyDescent="0.2">
      <c r="A15" s="23">
        <v>11</v>
      </c>
      <c r="B15" s="7" t="s">
        <v>525</v>
      </c>
      <c r="C15" s="7" t="s">
        <v>526</v>
      </c>
      <c r="D15" s="7" t="s">
        <v>520</v>
      </c>
      <c r="E15" s="23" t="s">
        <v>504</v>
      </c>
    </row>
    <row r="16" spans="1:5" x14ac:dyDescent="0.2">
      <c r="A16" s="23">
        <v>12</v>
      </c>
      <c r="B16" s="7" t="s">
        <v>527</v>
      </c>
      <c r="C16" s="7" t="s">
        <v>528</v>
      </c>
      <c r="D16" s="7" t="s">
        <v>529</v>
      </c>
      <c r="E16" s="23" t="s">
        <v>504</v>
      </c>
    </row>
    <row r="17" spans="1:5" x14ac:dyDescent="0.2">
      <c r="A17" s="23">
        <v>13</v>
      </c>
      <c r="B17" s="7" t="s">
        <v>530</v>
      </c>
      <c r="C17" s="7" t="s">
        <v>531</v>
      </c>
      <c r="D17" s="7" t="s">
        <v>529</v>
      </c>
      <c r="E17" s="23" t="s">
        <v>504</v>
      </c>
    </row>
    <row r="18" spans="1:5" x14ac:dyDescent="0.2">
      <c r="A18" s="23">
        <v>14</v>
      </c>
      <c r="B18" s="7" t="s">
        <v>532</v>
      </c>
      <c r="C18" s="7" t="s">
        <v>533</v>
      </c>
      <c r="D18" s="7" t="s">
        <v>529</v>
      </c>
      <c r="E18" s="23" t="s">
        <v>504</v>
      </c>
    </row>
    <row r="19" spans="1:5" x14ac:dyDescent="0.2">
      <c r="A19" s="23">
        <v>15</v>
      </c>
      <c r="B19" s="7" t="s">
        <v>534</v>
      </c>
      <c r="C19" s="7" t="s">
        <v>535</v>
      </c>
      <c r="D19" s="7" t="s">
        <v>529</v>
      </c>
      <c r="E19" s="23" t="s">
        <v>504</v>
      </c>
    </row>
    <row r="20" spans="1:5" x14ac:dyDescent="0.2">
      <c r="A20" s="23">
        <v>16</v>
      </c>
      <c r="B20" s="7" t="s">
        <v>536</v>
      </c>
      <c r="C20" s="7" t="s">
        <v>537</v>
      </c>
      <c r="D20" s="7" t="s">
        <v>529</v>
      </c>
      <c r="E20" s="23" t="s">
        <v>504</v>
      </c>
    </row>
    <row r="21" spans="1:5" x14ac:dyDescent="0.2">
      <c r="A21" s="23">
        <v>17</v>
      </c>
      <c r="B21" s="7" t="s">
        <v>538</v>
      </c>
      <c r="C21" s="7" t="s">
        <v>539</v>
      </c>
      <c r="D21" s="7" t="s">
        <v>540</v>
      </c>
      <c r="E21" s="23" t="s">
        <v>541</v>
      </c>
    </row>
    <row r="22" spans="1:5" x14ac:dyDescent="0.2">
      <c r="A22" s="23">
        <v>18</v>
      </c>
      <c r="B22" s="7" t="s">
        <v>542</v>
      </c>
      <c r="C22" s="7" t="s">
        <v>543</v>
      </c>
      <c r="D22" s="7" t="s">
        <v>540</v>
      </c>
      <c r="E22" s="23" t="s">
        <v>541</v>
      </c>
    </row>
    <row r="23" spans="1:5" x14ac:dyDescent="0.2">
      <c r="A23" s="23">
        <v>19</v>
      </c>
      <c r="B23" s="7" t="s">
        <v>544</v>
      </c>
      <c r="C23" s="7" t="s">
        <v>545</v>
      </c>
      <c r="D23" s="7" t="s">
        <v>540</v>
      </c>
      <c r="E23" s="23" t="s">
        <v>541</v>
      </c>
    </row>
  </sheetData>
  <conditionalFormatting sqref="E5:E23">
    <cfRule type="expression" dxfId="1" priority="2">
      <formula>E5="Done"</formula>
    </cfRule>
    <cfRule type="expression" dxfId="0" priority="3">
      <formula>LEFT(E5,4)="Open"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Constants</vt:lpstr>
      <vt:lpstr>Temp_to_PWM</vt:lpstr>
      <vt:lpstr>Sensor_Inputs</vt:lpstr>
      <vt:lpstr>LED_Alarm_Matrix</vt:lpstr>
      <vt:lpstr>Sequences</vt:lpstr>
      <vt:lpstr>Fan_Startup_Test</vt:lpstr>
      <vt:lpstr>ADC_Sweep</vt:lpstr>
      <vt:lpstr>Watchdog_Timing</vt:lpstr>
      <vt:lpstr>Serial_Output</vt:lpstr>
      <vt:lpstr>Changes_vs_v0.2.1</vt:lpstr>
      <vt:lpstr>Corrections_Log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buydid</dc:creator>
  <cp:keywords/>
  <dc:description/>
  <cp:lastModifiedBy>marcos buydid</cp:lastModifiedBy>
  <cp:revision>0</cp:revision>
  <dcterms:created xsi:type="dcterms:W3CDTF">2026-09-24T01:17:26Z</dcterms:created>
  <dcterms:modified xsi:type="dcterms:W3CDTF">2026-09-24T01:59:51Z</dcterms:modified>
  <cp:category/>
  <dc:language>en-US</dc:language>
</cp:coreProperties>
</file>